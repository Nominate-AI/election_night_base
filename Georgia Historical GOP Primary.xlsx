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Tracker" sheetId="1" r:id="rId4"/>
    <sheet state="visible" name="External Tracker Data" sheetId="2" r:id="rId5"/>
    <sheet state="visible" name="RegionTops" sheetId="3" r:id="rId6"/>
    <sheet state="visible" name="CountyTops" sheetId="4" r:id="rId7"/>
    <sheet state="visible" name="Yr By Yr" sheetId="5" r:id="rId8"/>
    <sheet state="visible" name="VoteMethod" sheetId="6" r:id="rId9"/>
    <sheet state="visible" name="FORSORTING" sheetId="7" r:id="rId10"/>
    <sheet state="visible" name="CustomRegionSorting" sheetId="8" r:id="rId11"/>
  </sheets>
  <definedNames>
    <definedName hidden="1" localSheetId="3" name="_xlnm._FilterDatabase">CountyTops!$A$5:$AK$164</definedName>
    <definedName hidden="1" localSheetId="4" name="_xlnm._FilterDatabase">'Yr By Yr'!$A$3:$I$162</definedName>
    <definedName hidden="1" localSheetId="7" name="_xlnm._FilterDatabase">CustomRegionSorting!$A$5:$AD$5</definedName>
  </definedNames>
  <calcPr/>
  <extLst>
    <ext uri="GoogleSheetsCustomDataVersion2">
      <go:sheetsCustomData xmlns:go="http://customooxmlschemas.google.com/" r:id="rId12" roundtripDataChecksum="p0n93VEc64IAMrPov8SIccteXFJcIIf8iGxcmdY7Kpk="/>
    </ext>
  </extLst>
</workbook>
</file>

<file path=xl/sharedStrings.xml><?xml version="1.0" encoding="utf-8"?>
<sst xmlns="http://schemas.openxmlformats.org/spreadsheetml/2006/main" count="2552" uniqueCount="298">
  <si>
    <t>Area</t>
  </si>
  <si>
    <t>Predicted Votes</t>
  </si>
  <si>
    <t>Actual Votes</t>
  </si>
  <si>
    <t>Jackson % Predicted</t>
  </si>
  <si>
    <t xml:space="preserve">Jackson Count Predicted </t>
  </si>
  <si>
    <t xml:space="preserve">Jones % Predicted </t>
  </si>
  <si>
    <t xml:space="preserve">Jones Count Predicted </t>
  </si>
  <si>
    <t>ROF % Predicted</t>
  </si>
  <si>
    <t xml:space="preserve">ROF Count Predicted </t>
  </si>
  <si>
    <t>Cobb</t>
  </si>
  <si>
    <t>Gwinnett</t>
  </si>
  <si>
    <t>Fulton</t>
  </si>
  <si>
    <t>Cherokee</t>
  </si>
  <si>
    <t>Forsyth</t>
  </si>
  <si>
    <t>Hall</t>
  </si>
  <si>
    <t>DeKalb</t>
  </si>
  <si>
    <t>Columbia</t>
  </si>
  <si>
    <t>Chatham</t>
  </si>
  <si>
    <t>Coweta</t>
  </si>
  <si>
    <t>Paulding</t>
  </si>
  <si>
    <t>Henry</t>
  </si>
  <si>
    <t>Fayette</t>
  </si>
  <si>
    <t>Walton</t>
  </si>
  <si>
    <t>Carroll</t>
  </si>
  <si>
    <t>Houston</t>
  </si>
  <si>
    <t>Bartow</t>
  </si>
  <si>
    <t>Floyd</t>
  </si>
  <si>
    <t>Richmond</t>
  </si>
  <si>
    <t>Jackson</t>
  </si>
  <si>
    <t>Bibb</t>
  </si>
  <si>
    <t>Muscogee</t>
  </si>
  <si>
    <t>Glynn</t>
  </si>
  <si>
    <t>Small</t>
  </si>
  <si>
    <t>Very Small</t>
  </si>
  <si>
    <t>Micro</t>
  </si>
  <si>
    <t>DMA</t>
  </si>
  <si>
    <t>Average</t>
  </si>
  <si>
    <t>Avg %</t>
  </si>
  <si>
    <t>Pres Yr Avg</t>
  </si>
  <si>
    <t>Pres Yr Avg %</t>
  </si>
  <si>
    <t>Off Yr Avg</t>
  </si>
  <si>
    <t>Off Yr Avg %</t>
  </si>
  <si>
    <t>Sum of 2024 Pres Total</t>
  </si>
  <si>
    <t>Sum of 2022 Sen Total</t>
  </si>
  <si>
    <t>Sum of 2022 Gov Total</t>
  </si>
  <si>
    <t>Sum of 2022 Lt Gov Total</t>
  </si>
  <si>
    <t>Sum of 2020 Trump Total</t>
  </si>
  <si>
    <t>Sum of 2020 Perdue Total</t>
  </si>
  <si>
    <t>Sum of 2018 Gov RO Total</t>
  </si>
  <si>
    <t>Sum of 2018 Gov Int Total</t>
  </si>
  <si>
    <t>Sum of 2016 Pres Pref Total</t>
  </si>
  <si>
    <t>Sum of 20216 Sen Total</t>
  </si>
  <si>
    <t>Albany</t>
  </si>
  <si>
    <t>Atlanta</t>
  </si>
  <si>
    <t>Augusta</t>
  </si>
  <si>
    <t>Chattanooga</t>
  </si>
  <si>
    <t>Columbus</t>
  </si>
  <si>
    <t>Dothan, AL</t>
  </si>
  <si>
    <t>Greenville, SC</t>
  </si>
  <si>
    <t>Jacksonville, FL</t>
  </si>
  <si>
    <t>Macon</t>
  </si>
  <si>
    <t>Savannah</t>
  </si>
  <si>
    <t>Tallahassee, FL</t>
  </si>
  <si>
    <t>TOTAL</t>
  </si>
  <si>
    <t>Custom Region 1</t>
  </si>
  <si>
    <t>Sum of Average</t>
  </si>
  <si>
    <t>Sum of Pres Yr Avg</t>
  </si>
  <si>
    <t>Sum of Off Yr Avg</t>
  </si>
  <si>
    <t>Athens Area</t>
  </si>
  <si>
    <t>Augusta Area</t>
  </si>
  <si>
    <t>Coastal GA</t>
  </si>
  <si>
    <t>Columbus/Phenix</t>
  </si>
  <si>
    <t>Greater Metro Atlanta</t>
  </si>
  <si>
    <t>Macon Metro</t>
  </si>
  <si>
    <t>Metro Atlanta</t>
  </si>
  <si>
    <t>Middle GA</t>
  </si>
  <si>
    <t>N GA</t>
  </si>
  <si>
    <t>NW GA</t>
  </si>
  <si>
    <t>S GA</t>
  </si>
  <si>
    <t>West GA</t>
  </si>
  <si>
    <t>Grand Total</t>
  </si>
  <si>
    <t>Custom Region 2</t>
  </si>
  <si>
    <t>Total Counties</t>
  </si>
  <si>
    <t>Avg/County By Off Yr Avg</t>
  </si>
  <si>
    <t>22 GOP Primary i360 Ind</t>
  </si>
  <si>
    <t>HH</t>
  </si>
  <si>
    <t>Total Phone</t>
  </si>
  <si>
    <t>Cells</t>
  </si>
  <si>
    <t>Mega</t>
  </si>
  <si>
    <t>Large</t>
  </si>
  <si>
    <t>Mid-Large</t>
  </si>
  <si>
    <t>Mid-Small</t>
  </si>
  <si>
    <t>2024 Pres</t>
  </si>
  <si>
    <t>2022 US Sen</t>
  </si>
  <si>
    <t>2022 Gov</t>
  </si>
  <si>
    <t>2022 Lt Gov</t>
  </si>
  <si>
    <t>2020 Pres</t>
  </si>
  <si>
    <t>2020 US Sen</t>
  </si>
  <si>
    <t>2018 Gov RO</t>
  </si>
  <si>
    <t>2018 Gov Int.</t>
  </si>
  <si>
    <t>2016 Pres Pref.</t>
  </si>
  <si>
    <t>2016 US Sen</t>
  </si>
  <si>
    <t>2022 Primary (i360)</t>
  </si>
  <si>
    <t>Custom Geo I</t>
  </si>
  <si>
    <t>Custom Geo II</t>
  </si>
  <si>
    <t>County</t>
  </si>
  <si>
    <t>2022 Avg</t>
  </si>
  <si>
    <t>2022 Avg %</t>
  </si>
  <si>
    <t>Total</t>
  </si>
  <si>
    <t>% Cont.</t>
  </si>
  <si>
    <t>Trump Total</t>
  </si>
  <si>
    <t>Perdue Total</t>
  </si>
  <si>
    <t>Individuals</t>
  </si>
  <si>
    <t>Mailing Addresses</t>
  </si>
  <si>
    <t>Total Phones (LL + Cell)</t>
  </si>
  <si>
    <t>Whitfield</t>
  </si>
  <si>
    <t>Douglas</t>
  </si>
  <si>
    <t>Newton</t>
  </si>
  <si>
    <t>Barrow</t>
  </si>
  <si>
    <t>Catoosa</t>
  </si>
  <si>
    <t>Oconee</t>
  </si>
  <si>
    <t>Walker</t>
  </si>
  <si>
    <t>Lowndes</t>
  </si>
  <si>
    <t>Habersham</t>
  </si>
  <si>
    <t>Spalding</t>
  </si>
  <si>
    <t>Bulloch</t>
  </si>
  <si>
    <t>Effingham</t>
  </si>
  <si>
    <t>Troup</t>
  </si>
  <si>
    <t>Gordon</t>
  </si>
  <si>
    <t>Clarke</t>
  </si>
  <si>
    <t>Pickens</t>
  </si>
  <si>
    <t>Gilmer</t>
  </si>
  <si>
    <t>Union</t>
  </si>
  <si>
    <t>Laurens</t>
  </si>
  <si>
    <t>White</t>
  </si>
  <si>
    <t>Polk</t>
  </si>
  <si>
    <t>Fannin</t>
  </si>
  <si>
    <t>Dawson</t>
  </si>
  <si>
    <t>Rockdale</t>
  </si>
  <si>
    <t>Lumpkin</t>
  </si>
  <si>
    <t>Harris</t>
  </si>
  <si>
    <t>Madison</t>
  </si>
  <si>
    <t>Haralson</t>
  </si>
  <si>
    <t>Murray</t>
  </si>
  <si>
    <t>Monroe</t>
  </si>
  <si>
    <t>Camden</t>
  </si>
  <si>
    <t>Colquitt</t>
  </si>
  <si>
    <t>Bryan</t>
  </si>
  <si>
    <t>Lee</t>
  </si>
  <si>
    <t>Tift</t>
  </si>
  <si>
    <t>Clayton</t>
  </si>
  <si>
    <t>Wayne</t>
  </si>
  <si>
    <t>Thomas</t>
  </si>
  <si>
    <t>Ware</t>
  </si>
  <si>
    <t>Franklin</t>
  </si>
  <si>
    <t>Stephens</t>
  </si>
  <si>
    <t>Hart</t>
  </si>
  <si>
    <t>Jones</t>
  </si>
  <si>
    <t>Pike</t>
  </si>
  <si>
    <t>Baldwin</t>
  </si>
  <si>
    <t>Morgan</t>
  </si>
  <si>
    <t>Putnam</t>
  </si>
  <si>
    <t>Upson</t>
  </si>
  <si>
    <t>Coffee</t>
  </si>
  <si>
    <t>Rabun</t>
  </si>
  <si>
    <t>Dougherty</t>
  </si>
  <si>
    <t>Butts</t>
  </si>
  <si>
    <t>Greene</t>
  </si>
  <si>
    <t>Pierce</t>
  </si>
  <si>
    <t>Banks</t>
  </si>
  <si>
    <t>Toombs</t>
  </si>
  <si>
    <t>Appling</t>
  </si>
  <si>
    <t>Worth</t>
  </si>
  <si>
    <t>Chattooga</t>
  </si>
  <si>
    <t>Emanuel</t>
  </si>
  <si>
    <t>Towns</t>
  </si>
  <si>
    <t>Dodge</t>
  </si>
  <si>
    <t>Oglethorpe</t>
  </si>
  <si>
    <t>Grady</t>
  </si>
  <si>
    <t>Berrien</t>
  </si>
  <si>
    <t>Elbert</t>
  </si>
  <si>
    <t>Brantley</t>
  </si>
  <si>
    <t>Meriwether</t>
  </si>
  <si>
    <t>Tattnall</t>
  </si>
  <si>
    <t>Dade</t>
  </si>
  <si>
    <t>Sumter</t>
  </si>
  <si>
    <t>Lamar</t>
  </si>
  <si>
    <t>McDuffie</t>
  </si>
  <si>
    <t>Peach</t>
  </si>
  <si>
    <t>Jasper</t>
  </si>
  <si>
    <t>Crisp</t>
  </si>
  <si>
    <t>Decatur</t>
  </si>
  <si>
    <t>Liberty</t>
  </si>
  <si>
    <t>Bleckley</t>
  </si>
  <si>
    <t>McIntosh</t>
  </si>
  <si>
    <t>Mitchell</t>
  </si>
  <si>
    <t>Jeff Davis</t>
  </si>
  <si>
    <t>Burke</t>
  </si>
  <si>
    <t>Bacon</t>
  </si>
  <si>
    <t>Cook</t>
  </si>
  <si>
    <t>Heard</t>
  </si>
  <si>
    <t>Crawford</t>
  </si>
  <si>
    <t>Brooks</t>
  </si>
  <si>
    <t>Lincoln</t>
  </si>
  <si>
    <t>Ben Hill</t>
  </si>
  <si>
    <t>Montgomery</t>
  </si>
  <si>
    <t>Screven</t>
  </si>
  <si>
    <t>Pulaski</t>
  </si>
  <si>
    <t>Irwin</t>
  </si>
  <si>
    <t>Johnson</t>
  </si>
  <si>
    <t>Charlton</t>
  </si>
  <si>
    <t>Washington</t>
  </si>
  <si>
    <t>Candler</t>
  </si>
  <si>
    <t>Early</t>
  </si>
  <si>
    <t>Jefferson</t>
  </si>
  <si>
    <t>Evans</t>
  </si>
  <si>
    <t>Long</t>
  </si>
  <si>
    <t>Wilcox</t>
  </si>
  <si>
    <t>Wilkinson</t>
  </si>
  <si>
    <t>Telfair</t>
  </si>
  <si>
    <t>Wilkes</t>
  </si>
  <si>
    <t>Seminole</t>
  </si>
  <si>
    <t>Turner</t>
  </si>
  <si>
    <t>Taylor</t>
  </si>
  <si>
    <t>Marion</t>
  </si>
  <si>
    <t>Lanier</t>
  </si>
  <si>
    <t>Clinch</t>
  </si>
  <si>
    <t>Atkinson</t>
  </si>
  <si>
    <t>Twiggs</t>
  </si>
  <si>
    <t>Schley</t>
  </si>
  <si>
    <t>Treutlen</t>
  </si>
  <si>
    <t>Terrell</t>
  </si>
  <si>
    <t>Dooly</t>
  </si>
  <si>
    <t>Miller</t>
  </si>
  <si>
    <t>Jenkins</t>
  </si>
  <si>
    <t>Glascock</t>
  </si>
  <si>
    <t>Wheeler</t>
  </si>
  <si>
    <t>Echols</t>
  </si>
  <si>
    <t>Talbot</t>
  </si>
  <si>
    <t>Randolph</t>
  </si>
  <si>
    <t>Warren</t>
  </si>
  <si>
    <t>Hancock</t>
  </si>
  <si>
    <t>Calhoun</t>
  </si>
  <si>
    <t>Baker</t>
  </si>
  <si>
    <t>Clay</t>
  </si>
  <si>
    <t>Stewart</t>
  </si>
  <si>
    <t>Chattahoochee</t>
  </si>
  <si>
    <t>Webster</t>
  </si>
  <si>
    <t>Quitman</t>
  </si>
  <si>
    <t>Taliaferro</t>
  </si>
  <si>
    <t>2024 President</t>
  </si>
  <si>
    <t>2022 US Senate</t>
  </si>
  <si>
    <t>2022 Governor</t>
  </si>
  <si>
    <t>2022 Lt. Governor</t>
  </si>
  <si>
    <t>2020 President</t>
  </si>
  <si>
    <t>2020 US Senate</t>
  </si>
  <si>
    <t>2018 Governor Run Off</t>
  </si>
  <si>
    <t>2018 Governor Initial</t>
  </si>
  <si>
    <t>2016 Pres Preference</t>
  </si>
  <si>
    <t>Trump</t>
  </si>
  <si>
    <t>Trump %</t>
  </si>
  <si>
    <t>Haley</t>
  </si>
  <si>
    <t>Haley %</t>
  </si>
  <si>
    <t>Other</t>
  </si>
  <si>
    <t>Other %</t>
  </si>
  <si>
    <t>Herschel Walker</t>
  </si>
  <si>
    <t>Walker %</t>
  </si>
  <si>
    <t>Gary Black</t>
  </si>
  <si>
    <t>Black %</t>
  </si>
  <si>
    <t>Brian Kemp</t>
  </si>
  <si>
    <t>Kemp %</t>
  </si>
  <si>
    <t>David Perdue</t>
  </si>
  <si>
    <t>Perdue %</t>
  </si>
  <si>
    <t>Burt Jones</t>
  </si>
  <si>
    <t>Jones %</t>
  </si>
  <si>
    <t>Butch Miller</t>
  </si>
  <si>
    <t>Miller %</t>
  </si>
  <si>
    <t>Casey Cagle</t>
  </si>
  <si>
    <t>Cagle %</t>
  </si>
  <si>
    <t>Hunter Hill</t>
  </si>
  <si>
    <t>Hill %</t>
  </si>
  <si>
    <t>Rubio</t>
  </si>
  <si>
    <t>Rubio %</t>
  </si>
  <si>
    <t>Cruz</t>
  </si>
  <si>
    <t>Cruz %</t>
  </si>
  <si>
    <t>Johnny Isakson</t>
  </si>
  <si>
    <t>Isakson %</t>
  </si>
  <si>
    <t>Savanna</t>
  </si>
  <si>
    <t>2018 Gov Run Off</t>
  </si>
  <si>
    <t>2018 Gov Initial</t>
  </si>
  <si>
    <t>2016 Pres</t>
  </si>
  <si>
    <t>% of Vote</t>
  </si>
  <si>
    <t>Absentee VBM</t>
  </si>
  <si>
    <t>Advance Voting</t>
  </si>
  <si>
    <t>Election Day</t>
  </si>
  <si>
    <t>Provisional</t>
  </si>
  <si>
    <t>COUNT</t>
  </si>
  <si>
    <t>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</si>
</sst>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2.0"/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  <font>
      <sz val="12.0"/>
      <color rgb="FF000000"/>
      <name val="Aptos Narrow"/>
    </font>
    <font>
      <b/>
      <sz val="12.0"/>
      <color theme="1"/>
      <name val="Aptos Narrow"/>
    </font>
    <font>
      <b/>
      <sz val="12.0"/>
      <color rgb="FF000000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7">
    <border/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1" fillId="0" fontId="2" numFmtId="0" xfId="0" applyBorder="1" applyFont="1"/>
    <xf borderId="0" fillId="0" fontId="3" numFmtId="3" xfId="0" applyFont="1" applyNumberFormat="1"/>
    <xf borderId="0" fillId="0" fontId="3" numFmtId="0" xfId="0" applyFont="1"/>
    <xf borderId="0" fillId="0" fontId="3" numFmtId="9" xfId="0" applyFont="1" applyNumberFormat="1"/>
    <xf borderId="0" fillId="0" fontId="3" numFmtId="10" xfId="0" applyFont="1" applyNumberFormat="1"/>
    <xf borderId="0" fillId="0" fontId="2" numFmtId="0" xfId="0" applyAlignment="1" applyFont="1">
      <alignment horizontal="center" shrinkToFit="0" vertical="center" wrapText="1"/>
    </xf>
    <xf borderId="2" fillId="0" fontId="2" numFmtId="0" xfId="0" applyBorder="1" applyFont="1"/>
    <xf borderId="0" fillId="0" fontId="2" numFmtId="164" xfId="0" applyFont="1" applyNumberFormat="1"/>
    <xf borderId="3" fillId="0" fontId="2" numFmtId="164" xfId="0" applyBorder="1" applyFont="1" applyNumberFormat="1"/>
    <xf borderId="4" fillId="2" fontId="2" numFmtId="0" xfId="0" applyBorder="1" applyFill="1" applyFont="1"/>
    <xf borderId="2" fillId="0" fontId="2" numFmtId="3" xfId="0" applyBorder="1" applyFont="1" applyNumberFormat="1"/>
    <xf borderId="0" fillId="0" fontId="2" numFmtId="3" xfId="0" applyFont="1" applyNumberFormat="1"/>
    <xf quotePrefix="1" borderId="0" fillId="0" fontId="2" numFmtId="0" xfId="0" applyFont="1"/>
    <xf borderId="0" fillId="0" fontId="4" numFmtId="3" xfId="0" applyFont="1" applyNumberFormat="1"/>
    <xf borderId="5" fillId="0" fontId="2" numFmtId="0" xfId="0" applyBorder="1" applyFont="1"/>
    <xf borderId="5" fillId="0" fontId="2" numFmtId="3" xfId="0" applyBorder="1" applyFont="1" applyNumberFormat="1"/>
    <xf borderId="1" fillId="0" fontId="2" numFmtId="164" xfId="0" applyBorder="1" applyFont="1" applyNumberFormat="1"/>
    <xf borderId="0" fillId="0" fontId="5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shrinkToFit="0" wrapText="1"/>
    </xf>
    <xf borderId="0" fillId="0" fontId="5" numFmtId="164" xfId="0" applyAlignment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4" numFmtId="164" xfId="0" applyFont="1" applyNumberFormat="1"/>
    <xf borderId="3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7" numFmtId="0" xfId="0" applyBorder="1" applyFont="1"/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6" fillId="0" fontId="2" numFmtId="0" xfId="0" applyBorder="1" applyFont="1"/>
    <xf borderId="3" fillId="0" fontId="2" numFmtId="3" xfId="0" applyBorder="1" applyFont="1" applyNumberFormat="1"/>
    <xf borderId="6" fillId="0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33"/>
    <col customWidth="1" min="3" max="3" width="10.78"/>
    <col customWidth="1" min="4" max="4" width="15.44"/>
    <col customWidth="1" min="5" max="5" width="20.67"/>
    <col customWidth="1" min="6" max="6" width="13.67"/>
    <col customWidth="1" min="7" max="7" width="18.89"/>
    <col customWidth="1" min="8" max="8" width="12.67"/>
    <col customWidth="1" min="9" max="9" width="17.8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>
      <c r="A2" s="4" t="s">
        <v>9</v>
      </c>
      <c r="B2" s="5">
        <f>CountyTops!E6</f>
        <v>67850.6</v>
      </c>
      <c r="D2" s="2">
        <v>0.34</v>
      </c>
      <c r="E2" s="5">
        <f t="shared" ref="E2:E27" si="1">B2*D2</f>
        <v>23069.204</v>
      </c>
      <c r="F2" s="2">
        <v>0.25</v>
      </c>
      <c r="G2" s="5">
        <f t="shared" ref="G2:G27" si="2">B2*F2</f>
        <v>16962.65</v>
      </c>
      <c r="H2" s="2">
        <v>0.41</v>
      </c>
      <c r="I2" s="5">
        <f t="shared" ref="I2:I27" si="3">B2-(E2+G2)</f>
        <v>27818.746</v>
      </c>
    </row>
    <row r="3">
      <c r="A3" s="4" t="s">
        <v>10</v>
      </c>
      <c r="B3" s="5">
        <f>CountyTops!E7</f>
        <v>54995.7</v>
      </c>
      <c r="D3" s="2">
        <v>0.35</v>
      </c>
      <c r="E3" s="5">
        <f t="shared" si="1"/>
        <v>19248.495</v>
      </c>
      <c r="F3" s="2">
        <v>0.27</v>
      </c>
      <c r="G3" s="5">
        <f t="shared" si="2"/>
        <v>14848.839</v>
      </c>
      <c r="H3" s="2">
        <v>0.38</v>
      </c>
      <c r="I3" s="5">
        <f t="shared" si="3"/>
        <v>20898.366</v>
      </c>
    </row>
    <row r="4">
      <c r="A4" s="4" t="s">
        <v>11</v>
      </c>
      <c r="B4" s="5">
        <f>CountyTops!E8</f>
        <v>47204.3</v>
      </c>
      <c r="D4" s="2">
        <v>0.34</v>
      </c>
      <c r="E4" s="5">
        <f t="shared" si="1"/>
        <v>16049.462</v>
      </c>
      <c r="F4" s="2">
        <v>0.24</v>
      </c>
      <c r="G4" s="5">
        <f t="shared" si="2"/>
        <v>11329.032</v>
      </c>
      <c r="H4" s="2">
        <v>0.42</v>
      </c>
      <c r="I4" s="5">
        <f t="shared" si="3"/>
        <v>19825.806</v>
      </c>
    </row>
    <row r="5">
      <c r="A5" s="4" t="s">
        <v>12</v>
      </c>
      <c r="B5" s="5">
        <f>CountyTops!E9</f>
        <v>36394.2</v>
      </c>
      <c r="D5" s="2">
        <v>0.42</v>
      </c>
      <c r="E5" s="5">
        <f t="shared" si="1"/>
        <v>15285.564</v>
      </c>
      <c r="F5" s="2">
        <v>0.23</v>
      </c>
      <c r="G5" s="5">
        <f t="shared" si="2"/>
        <v>8370.666</v>
      </c>
      <c r="H5" s="2">
        <v>0.35</v>
      </c>
      <c r="I5" s="5">
        <f t="shared" si="3"/>
        <v>12737.97</v>
      </c>
    </row>
    <row r="6">
      <c r="A6" s="4" t="s">
        <v>13</v>
      </c>
      <c r="B6" s="5">
        <f>CountyTops!E10</f>
        <v>30326.3</v>
      </c>
      <c r="D6" s="2">
        <v>0.4</v>
      </c>
      <c r="E6" s="5">
        <f t="shared" si="1"/>
        <v>12130.52</v>
      </c>
      <c r="F6" s="2">
        <v>0.3</v>
      </c>
      <c r="G6" s="5">
        <f t="shared" si="2"/>
        <v>9097.89</v>
      </c>
      <c r="H6" s="2">
        <v>0.3</v>
      </c>
      <c r="I6" s="5">
        <f t="shared" si="3"/>
        <v>9097.89</v>
      </c>
    </row>
    <row r="7">
      <c r="A7" s="4" t="s">
        <v>14</v>
      </c>
      <c r="B7" s="5">
        <f>CountyTops!E11</f>
        <v>24588.3</v>
      </c>
      <c r="D7" s="2">
        <v>0.36</v>
      </c>
      <c r="E7" s="5">
        <f t="shared" si="1"/>
        <v>8851.788</v>
      </c>
      <c r="F7" s="2">
        <v>0.28</v>
      </c>
      <c r="G7" s="5">
        <f t="shared" si="2"/>
        <v>6884.724</v>
      </c>
      <c r="H7" s="2">
        <v>0.36</v>
      </c>
      <c r="I7" s="5">
        <f t="shared" si="3"/>
        <v>8851.788</v>
      </c>
    </row>
    <row r="8">
      <c r="A8" s="4" t="s">
        <v>15</v>
      </c>
      <c r="B8" s="5">
        <f>CountyTops!E12</f>
        <v>22326.8</v>
      </c>
      <c r="D8" s="2">
        <v>0.44</v>
      </c>
      <c r="E8" s="5">
        <f t="shared" si="1"/>
        <v>9823.792</v>
      </c>
      <c r="F8" s="2">
        <v>0.25</v>
      </c>
      <c r="G8" s="5">
        <f t="shared" si="2"/>
        <v>5581.7</v>
      </c>
      <c r="H8" s="2">
        <v>0.31</v>
      </c>
      <c r="I8" s="5">
        <f t="shared" si="3"/>
        <v>6921.308</v>
      </c>
    </row>
    <row r="9">
      <c r="A9" s="4" t="s">
        <v>16</v>
      </c>
      <c r="B9" s="5">
        <f>CountyTops!E13</f>
        <v>18897.9</v>
      </c>
      <c r="D9" s="2">
        <v>0.46</v>
      </c>
      <c r="E9" s="5">
        <f t="shared" si="1"/>
        <v>8693.034</v>
      </c>
      <c r="F9" s="2">
        <v>0.3</v>
      </c>
      <c r="G9" s="5">
        <f t="shared" si="2"/>
        <v>5669.37</v>
      </c>
      <c r="H9" s="2">
        <v>0.24</v>
      </c>
      <c r="I9" s="5">
        <f t="shared" si="3"/>
        <v>4535.496</v>
      </c>
    </row>
    <row r="10">
      <c r="A10" s="4" t="s">
        <v>17</v>
      </c>
      <c r="B10" s="5">
        <f>CountyTops!E14</f>
        <v>18257.1</v>
      </c>
      <c r="D10" s="2">
        <v>0.37</v>
      </c>
      <c r="E10" s="5">
        <f t="shared" si="1"/>
        <v>6755.127</v>
      </c>
      <c r="F10" s="2">
        <v>0.29</v>
      </c>
      <c r="G10" s="5">
        <f t="shared" si="2"/>
        <v>5294.559</v>
      </c>
      <c r="H10" s="2">
        <v>0.34</v>
      </c>
      <c r="I10" s="5">
        <f t="shared" si="3"/>
        <v>6207.414</v>
      </c>
    </row>
    <row r="11">
      <c r="A11" s="4" t="s">
        <v>18</v>
      </c>
      <c r="B11" s="5">
        <f>CountyTops!E15</f>
        <v>17804.8</v>
      </c>
      <c r="D11" s="2">
        <v>0.4</v>
      </c>
      <c r="E11" s="5">
        <f t="shared" si="1"/>
        <v>7121.92</v>
      </c>
      <c r="F11" s="2">
        <v>0.35</v>
      </c>
      <c r="G11" s="5">
        <f t="shared" si="2"/>
        <v>6231.68</v>
      </c>
      <c r="H11" s="2">
        <v>0.25</v>
      </c>
      <c r="I11" s="5">
        <f t="shared" si="3"/>
        <v>4451.2</v>
      </c>
    </row>
    <row r="12">
      <c r="A12" s="4" t="s">
        <v>19</v>
      </c>
      <c r="B12" s="5">
        <f>CountyTops!E16</f>
        <v>17306.2</v>
      </c>
      <c r="D12" s="2">
        <v>0.37</v>
      </c>
      <c r="E12" s="5">
        <f t="shared" si="1"/>
        <v>6403.294</v>
      </c>
      <c r="F12" s="2">
        <v>0.28</v>
      </c>
      <c r="G12" s="5">
        <f t="shared" si="2"/>
        <v>4845.736</v>
      </c>
      <c r="H12" s="2">
        <v>0.35</v>
      </c>
      <c r="I12" s="5">
        <f t="shared" si="3"/>
        <v>6057.17</v>
      </c>
    </row>
    <row r="13">
      <c r="A13" s="4" t="s">
        <v>20</v>
      </c>
      <c r="B13" s="5">
        <f>CountyTops!E17</f>
        <v>17008.4</v>
      </c>
      <c r="D13" s="2">
        <v>0.34</v>
      </c>
      <c r="E13" s="5">
        <f t="shared" si="1"/>
        <v>5782.856</v>
      </c>
      <c r="F13" s="2">
        <v>0.32</v>
      </c>
      <c r="G13" s="5">
        <f t="shared" si="2"/>
        <v>5442.688</v>
      </c>
      <c r="H13" s="2">
        <v>0.34</v>
      </c>
      <c r="I13" s="5">
        <f t="shared" si="3"/>
        <v>5782.856</v>
      </c>
    </row>
    <row r="14">
      <c r="A14" s="4" t="s">
        <v>21</v>
      </c>
      <c r="B14" s="5">
        <f>CountyTops!E18</f>
        <v>16042.1</v>
      </c>
      <c r="D14" s="2">
        <v>0.35</v>
      </c>
      <c r="E14" s="5">
        <f t="shared" si="1"/>
        <v>5614.735</v>
      </c>
      <c r="F14" s="2">
        <v>0.36</v>
      </c>
      <c r="G14" s="5">
        <f t="shared" si="2"/>
        <v>5775.156</v>
      </c>
      <c r="H14" s="2">
        <v>0.29</v>
      </c>
      <c r="I14" s="5">
        <f t="shared" si="3"/>
        <v>4652.209</v>
      </c>
    </row>
    <row r="15">
      <c r="A15" s="4" t="s">
        <v>22</v>
      </c>
      <c r="B15" s="5">
        <f>CountyTops!E19</f>
        <v>14265.7</v>
      </c>
      <c r="D15" s="2">
        <v>0.35</v>
      </c>
      <c r="E15" s="5">
        <f t="shared" si="1"/>
        <v>4992.995</v>
      </c>
      <c r="F15" s="2">
        <v>0.26</v>
      </c>
      <c r="G15" s="5">
        <f t="shared" si="2"/>
        <v>3709.082</v>
      </c>
      <c r="H15" s="2">
        <v>0.39</v>
      </c>
      <c r="I15" s="5">
        <f t="shared" si="3"/>
        <v>5563.623</v>
      </c>
    </row>
    <row r="16">
      <c r="A16" s="4" t="s">
        <v>23</v>
      </c>
      <c r="B16" s="5">
        <f>CountyTops!E20</f>
        <v>13886.1</v>
      </c>
      <c r="D16" s="2">
        <v>0.43</v>
      </c>
      <c r="E16" s="5">
        <f t="shared" si="1"/>
        <v>5971.023</v>
      </c>
      <c r="F16" s="2">
        <v>0.28</v>
      </c>
      <c r="G16" s="5">
        <f t="shared" si="2"/>
        <v>3888.108</v>
      </c>
      <c r="H16" s="2">
        <v>0.29</v>
      </c>
      <c r="I16" s="5">
        <f t="shared" si="3"/>
        <v>4026.969</v>
      </c>
    </row>
    <row r="17">
      <c r="A17" s="4" t="s">
        <v>24</v>
      </c>
      <c r="B17" s="5">
        <f>CountyTops!E21</f>
        <v>13347.7</v>
      </c>
      <c r="D17" s="2">
        <v>0.29</v>
      </c>
      <c r="E17" s="5">
        <f t="shared" si="1"/>
        <v>3870.833</v>
      </c>
      <c r="F17" s="2">
        <v>0.38</v>
      </c>
      <c r="G17" s="5">
        <f t="shared" si="2"/>
        <v>5072.126</v>
      </c>
      <c r="H17" s="2">
        <v>0.33</v>
      </c>
      <c r="I17" s="5">
        <f t="shared" si="3"/>
        <v>4404.741</v>
      </c>
    </row>
    <row r="18">
      <c r="A18" s="4" t="s">
        <v>25</v>
      </c>
      <c r="B18" s="5">
        <f>CountyTops!E22</f>
        <v>12705</v>
      </c>
      <c r="D18" s="2">
        <v>0.35</v>
      </c>
      <c r="E18" s="5">
        <f t="shared" si="1"/>
        <v>4446.75</v>
      </c>
      <c r="F18" s="2">
        <v>0.32</v>
      </c>
      <c r="G18" s="5">
        <f t="shared" si="2"/>
        <v>4065.6</v>
      </c>
      <c r="H18" s="2">
        <v>0.33</v>
      </c>
      <c r="I18" s="5">
        <f t="shared" si="3"/>
        <v>4192.65</v>
      </c>
    </row>
    <row r="19">
      <c r="A19" s="4" t="s">
        <v>26</v>
      </c>
      <c r="B19" s="5">
        <f>CountyTops!E23</f>
        <v>10914.7</v>
      </c>
      <c r="D19" s="2">
        <v>0.38</v>
      </c>
      <c r="E19" s="5">
        <f t="shared" si="1"/>
        <v>4147.586</v>
      </c>
      <c r="F19" s="2">
        <v>0.29</v>
      </c>
      <c r="G19" s="5">
        <f t="shared" si="2"/>
        <v>3165.263</v>
      </c>
      <c r="H19" s="2">
        <v>0.33</v>
      </c>
      <c r="I19" s="5">
        <f t="shared" si="3"/>
        <v>3601.851</v>
      </c>
    </row>
    <row r="20">
      <c r="A20" s="4" t="s">
        <v>27</v>
      </c>
      <c r="B20" s="5">
        <f>CountyTops!E24</f>
        <v>10455.8</v>
      </c>
      <c r="D20" s="2">
        <v>0.44</v>
      </c>
      <c r="E20" s="5">
        <f t="shared" si="1"/>
        <v>4600.552</v>
      </c>
      <c r="F20" s="2">
        <v>0.28</v>
      </c>
      <c r="G20" s="5">
        <f t="shared" si="2"/>
        <v>2927.624</v>
      </c>
      <c r="H20" s="2">
        <v>0.28</v>
      </c>
      <c r="I20" s="5">
        <f t="shared" si="3"/>
        <v>2927.624</v>
      </c>
    </row>
    <row r="21">
      <c r="A21" s="4" t="s">
        <v>28</v>
      </c>
      <c r="B21" s="5">
        <f>CountyTops!E25</f>
        <v>10258.6</v>
      </c>
      <c r="D21" s="2">
        <v>0.45</v>
      </c>
      <c r="E21" s="5">
        <f t="shared" si="1"/>
        <v>4616.37</v>
      </c>
      <c r="F21" s="2">
        <v>0.27</v>
      </c>
      <c r="G21" s="5">
        <f t="shared" si="2"/>
        <v>2769.822</v>
      </c>
      <c r="H21" s="2">
        <v>0.28</v>
      </c>
      <c r="I21" s="5">
        <f t="shared" si="3"/>
        <v>2872.408</v>
      </c>
    </row>
    <row r="22">
      <c r="A22" s="4" t="s">
        <v>29</v>
      </c>
      <c r="B22" s="5">
        <f>CountyTops!E26</f>
        <v>10234.8</v>
      </c>
      <c r="D22" s="2">
        <v>0.35</v>
      </c>
      <c r="E22" s="5">
        <f t="shared" si="1"/>
        <v>3582.18</v>
      </c>
      <c r="F22" s="2">
        <v>0.3</v>
      </c>
      <c r="G22" s="5">
        <f t="shared" si="2"/>
        <v>3070.44</v>
      </c>
      <c r="H22" s="2">
        <v>0.35</v>
      </c>
      <c r="I22" s="5">
        <f t="shared" si="3"/>
        <v>3582.18</v>
      </c>
    </row>
    <row r="23">
      <c r="A23" s="4" t="s">
        <v>30</v>
      </c>
      <c r="B23" s="5">
        <f>CountyTops!E27</f>
        <v>10030.2</v>
      </c>
      <c r="D23" s="2">
        <v>0.46</v>
      </c>
      <c r="E23" s="5">
        <f t="shared" si="1"/>
        <v>4613.892</v>
      </c>
      <c r="F23" s="2">
        <v>0.28</v>
      </c>
      <c r="G23" s="5">
        <f t="shared" si="2"/>
        <v>2808.456</v>
      </c>
      <c r="H23" s="2">
        <v>0.26</v>
      </c>
      <c r="I23" s="5">
        <f t="shared" si="3"/>
        <v>2607.852</v>
      </c>
    </row>
    <row r="24">
      <c r="A24" s="4" t="s">
        <v>31</v>
      </c>
      <c r="B24" s="5">
        <f>CountyTops!E28</f>
        <v>9843.1</v>
      </c>
      <c r="D24" s="2">
        <v>0.47</v>
      </c>
      <c r="E24" s="5">
        <f t="shared" si="1"/>
        <v>4626.257</v>
      </c>
      <c r="F24" s="2">
        <v>0.27</v>
      </c>
      <c r="G24" s="5">
        <f t="shared" si="2"/>
        <v>2657.637</v>
      </c>
      <c r="H24" s="2">
        <v>0.26</v>
      </c>
      <c r="I24" s="5">
        <f t="shared" si="3"/>
        <v>2559.206</v>
      </c>
    </row>
    <row r="25">
      <c r="A25" s="6" t="s">
        <v>32</v>
      </c>
      <c r="B25" s="3">
        <f>sum(CountyTops!E29:E52,CountyTops!E54,CountyTops!E58,CountyTops!E59)</f>
        <v>179600.3</v>
      </c>
      <c r="D25" s="2">
        <v>0.39</v>
      </c>
      <c r="E25" s="5">
        <f t="shared" si="1"/>
        <v>70044.117</v>
      </c>
      <c r="F25" s="2">
        <v>0.34</v>
      </c>
      <c r="G25" s="5">
        <f t="shared" si="2"/>
        <v>61064.102</v>
      </c>
      <c r="H25" s="2">
        <v>0.27</v>
      </c>
      <c r="I25" s="5">
        <f t="shared" si="3"/>
        <v>48492.081</v>
      </c>
    </row>
    <row r="26">
      <c r="A26" s="6" t="s">
        <v>33</v>
      </c>
      <c r="B26" s="3">
        <f>sum(CountyTops!E53,CountyTops!E55:E57,CountyTops!E60:E135)</f>
        <v>209092.6</v>
      </c>
      <c r="D26" s="2">
        <v>0.34</v>
      </c>
      <c r="E26" s="5">
        <f t="shared" si="1"/>
        <v>71091.484</v>
      </c>
      <c r="F26" s="2">
        <v>0.38</v>
      </c>
      <c r="G26" s="5">
        <f t="shared" si="2"/>
        <v>79455.188</v>
      </c>
      <c r="H26" s="2">
        <v>0.28</v>
      </c>
      <c r="I26" s="5">
        <f t="shared" si="3"/>
        <v>58545.928</v>
      </c>
    </row>
    <row r="27">
      <c r="A27" s="6" t="s">
        <v>34</v>
      </c>
      <c r="B27" s="3">
        <f>sum(CountyTops!E136:E164)</f>
        <v>16188.7</v>
      </c>
      <c r="D27" s="2">
        <v>0.37</v>
      </c>
      <c r="E27" s="5">
        <f t="shared" si="1"/>
        <v>5989.819</v>
      </c>
      <c r="F27" s="2">
        <v>0.38</v>
      </c>
      <c r="G27" s="5">
        <f t="shared" si="2"/>
        <v>6151.706</v>
      </c>
      <c r="H27" s="2">
        <v>0.25</v>
      </c>
      <c r="I27" s="5">
        <f t="shared" si="3"/>
        <v>4047.175</v>
      </c>
    </row>
    <row r="28">
      <c r="D28" s="7"/>
      <c r="E28" s="5"/>
      <c r="F28" s="7"/>
      <c r="G28" s="5"/>
      <c r="H28" s="7"/>
      <c r="I28" s="5"/>
    </row>
    <row r="29">
      <c r="D29" s="7"/>
      <c r="E29" s="5"/>
      <c r="F29" s="7"/>
      <c r="G29" s="5"/>
      <c r="H29" s="7"/>
      <c r="I29" s="5"/>
    </row>
    <row r="30">
      <c r="D30" s="7"/>
      <c r="E30" s="5"/>
      <c r="F30" s="7"/>
      <c r="G30" s="5"/>
      <c r="H30" s="7"/>
      <c r="I30" s="5"/>
    </row>
    <row r="31">
      <c r="D31" s="7"/>
      <c r="E31" s="5"/>
      <c r="F31" s="7"/>
      <c r="G31" s="5"/>
      <c r="H31" s="7"/>
      <c r="I31" s="5"/>
    </row>
    <row r="32">
      <c r="D32" s="7"/>
      <c r="E32" s="5"/>
      <c r="F32" s="7"/>
      <c r="G32" s="5"/>
      <c r="H32" s="7"/>
      <c r="I32" s="5"/>
    </row>
    <row r="33">
      <c r="D33" s="7"/>
      <c r="E33" s="5"/>
      <c r="F33" s="7"/>
      <c r="G33" s="5"/>
      <c r="H33" s="7"/>
      <c r="I33" s="5"/>
    </row>
    <row r="34">
      <c r="D34" s="7"/>
      <c r="E34" s="5"/>
      <c r="F34" s="7"/>
      <c r="G34" s="5"/>
      <c r="H34" s="7"/>
      <c r="I34" s="5"/>
    </row>
    <row r="35">
      <c r="D35" s="7"/>
      <c r="E35" s="5"/>
      <c r="F35" s="7"/>
      <c r="G35" s="5"/>
      <c r="H35" s="7"/>
      <c r="I35" s="5"/>
    </row>
    <row r="36">
      <c r="D36" s="7"/>
      <c r="E36" s="5"/>
      <c r="F36" s="7"/>
      <c r="G36" s="5"/>
      <c r="H36" s="7"/>
      <c r="I36" s="5"/>
    </row>
    <row r="37">
      <c r="D37" s="7"/>
      <c r="E37" s="5"/>
      <c r="F37" s="7"/>
      <c r="G37" s="5"/>
      <c r="H37" s="7"/>
      <c r="I37" s="5"/>
    </row>
    <row r="38">
      <c r="D38" s="7"/>
      <c r="E38" s="5"/>
      <c r="F38" s="7"/>
      <c r="G38" s="5"/>
      <c r="H38" s="7"/>
      <c r="I38" s="5"/>
    </row>
    <row r="39">
      <c r="D39" s="7"/>
      <c r="E39" s="5"/>
      <c r="F39" s="7"/>
      <c r="G39" s="5"/>
      <c r="H39" s="7"/>
      <c r="I39" s="5"/>
    </row>
    <row r="40">
      <c r="D40" s="7"/>
      <c r="E40" s="5"/>
      <c r="F40" s="7"/>
      <c r="G40" s="5"/>
      <c r="H40" s="7"/>
      <c r="I40" s="5"/>
    </row>
    <row r="41">
      <c r="D41" s="7"/>
      <c r="E41" s="5"/>
      <c r="F41" s="7"/>
      <c r="G41" s="5"/>
      <c r="H41" s="7"/>
      <c r="I41" s="5"/>
    </row>
    <row r="42">
      <c r="D42" s="7"/>
      <c r="E42" s="5"/>
      <c r="F42" s="7"/>
      <c r="G42" s="5"/>
      <c r="H42" s="7"/>
      <c r="I42" s="5"/>
    </row>
    <row r="43">
      <c r="D43" s="7"/>
      <c r="E43" s="5"/>
      <c r="F43" s="7"/>
      <c r="G43" s="5"/>
      <c r="H43" s="7"/>
      <c r="I43" s="5"/>
    </row>
    <row r="44">
      <c r="D44" s="7"/>
      <c r="E44" s="5"/>
      <c r="F44" s="7"/>
      <c r="G44" s="5"/>
      <c r="H44" s="7"/>
      <c r="I44" s="5"/>
    </row>
    <row r="45">
      <c r="D45" s="7"/>
      <c r="E45" s="5"/>
      <c r="F45" s="7"/>
      <c r="G45" s="5"/>
      <c r="H45" s="7"/>
      <c r="I45" s="5"/>
    </row>
    <row r="46">
      <c r="D46" s="7"/>
      <c r="E46" s="5"/>
      <c r="F46" s="7"/>
      <c r="G46" s="5"/>
      <c r="H46" s="7"/>
      <c r="I46" s="5"/>
    </row>
    <row r="47">
      <c r="D47" s="7"/>
      <c r="E47" s="5"/>
      <c r="F47" s="7"/>
      <c r="G47" s="5"/>
      <c r="H47" s="7"/>
      <c r="I47" s="5"/>
    </row>
    <row r="48">
      <c r="D48" s="7"/>
      <c r="E48" s="5"/>
      <c r="F48" s="7"/>
      <c r="G48" s="5"/>
      <c r="H48" s="7"/>
      <c r="I48" s="5"/>
    </row>
    <row r="49">
      <c r="D49" s="7"/>
      <c r="E49" s="5"/>
      <c r="F49" s="7"/>
      <c r="G49" s="5"/>
      <c r="H49" s="7"/>
      <c r="I49" s="5"/>
    </row>
    <row r="50">
      <c r="D50" s="7"/>
      <c r="E50" s="5"/>
      <c r="F50" s="7"/>
      <c r="G50" s="5"/>
      <c r="H50" s="7"/>
      <c r="I50" s="5"/>
    </row>
    <row r="51">
      <c r="D51" s="7"/>
      <c r="E51" s="5"/>
      <c r="F51" s="7"/>
      <c r="G51" s="5"/>
      <c r="H51" s="7"/>
      <c r="I51" s="5"/>
    </row>
    <row r="52">
      <c r="D52" s="7"/>
      <c r="E52" s="5"/>
      <c r="F52" s="7"/>
      <c r="G52" s="5"/>
      <c r="H52" s="7"/>
      <c r="I52" s="5"/>
    </row>
    <row r="53">
      <c r="D53" s="7"/>
      <c r="E53" s="5"/>
      <c r="F53" s="7"/>
      <c r="G53" s="5"/>
      <c r="H53" s="7"/>
      <c r="I53" s="5"/>
    </row>
    <row r="54">
      <c r="D54" s="7"/>
      <c r="E54" s="5"/>
      <c r="F54" s="7"/>
      <c r="G54" s="5"/>
      <c r="H54" s="7"/>
      <c r="I54" s="5"/>
    </row>
    <row r="55">
      <c r="D55" s="7"/>
      <c r="E55" s="5"/>
      <c r="F55" s="7"/>
      <c r="G55" s="5"/>
      <c r="H55" s="7"/>
      <c r="I55" s="5"/>
    </row>
    <row r="56">
      <c r="D56" s="7"/>
      <c r="E56" s="5"/>
      <c r="F56" s="7"/>
      <c r="G56" s="5"/>
      <c r="H56" s="7"/>
      <c r="I56" s="5"/>
    </row>
    <row r="57">
      <c r="D57" s="7"/>
      <c r="E57" s="5"/>
      <c r="F57" s="7"/>
      <c r="G57" s="5"/>
      <c r="H57" s="7"/>
      <c r="I57" s="5"/>
    </row>
    <row r="58">
      <c r="D58" s="7"/>
      <c r="E58" s="5"/>
      <c r="F58" s="7"/>
      <c r="G58" s="5"/>
      <c r="H58" s="7"/>
      <c r="I58" s="5"/>
    </row>
    <row r="59">
      <c r="D59" s="7"/>
      <c r="E59" s="5"/>
      <c r="F59" s="7"/>
      <c r="G59" s="5"/>
      <c r="H59" s="7"/>
      <c r="I59" s="5"/>
    </row>
    <row r="60">
      <c r="D60" s="7"/>
      <c r="E60" s="5"/>
      <c r="F60" s="7"/>
      <c r="G60" s="5"/>
      <c r="H60" s="7"/>
      <c r="I60" s="5"/>
    </row>
    <row r="61">
      <c r="D61" s="7"/>
      <c r="E61" s="5"/>
      <c r="F61" s="7"/>
      <c r="G61" s="5"/>
      <c r="H61" s="7"/>
      <c r="I61" s="5"/>
    </row>
    <row r="62">
      <c r="D62" s="7"/>
      <c r="E62" s="5"/>
      <c r="F62" s="7"/>
      <c r="G62" s="5"/>
      <c r="H62" s="7"/>
      <c r="I62" s="5"/>
    </row>
    <row r="63">
      <c r="D63" s="7"/>
      <c r="E63" s="5"/>
      <c r="F63" s="7"/>
      <c r="G63" s="5"/>
      <c r="H63" s="7"/>
      <c r="I63" s="5"/>
    </row>
    <row r="64">
      <c r="D64" s="7"/>
      <c r="E64" s="5"/>
      <c r="F64" s="7"/>
      <c r="G64" s="5"/>
      <c r="H64" s="7"/>
      <c r="I64" s="5"/>
    </row>
    <row r="65">
      <c r="D65" s="7"/>
      <c r="E65" s="5"/>
      <c r="F65" s="7"/>
      <c r="G65" s="5"/>
      <c r="H65" s="7"/>
      <c r="I65" s="5"/>
    </row>
    <row r="66">
      <c r="D66" s="7"/>
      <c r="E66" s="5"/>
      <c r="F66" s="7"/>
      <c r="G66" s="5"/>
      <c r="H66" s="7"/>
      <c r="I66" s="5"/>
    </row>
    <row r="67">
      <c r="D67" s="7"/>
      <c r="E67" s="5"/>
      <c r="F67" s="7"/>
      <c r="G67" s="5"/>
      <c r="H67" s="7"/>
      <c r="I67" s="5"/>
    </row>
    <row r="68">
      <c r="D68" s="7"/>
      <c r="E68" s="5"/>
      <c r="F68" s="7"/>
      <c r="G68" s="5"/>
      <c r="H68" s="7"/>
      <c r="I68" s="5"/>
    </row>
    <row r="69">
      <c r="D69" s="7"/>
      <c r="E69" s="5"/>
      <c r="F69" s="7"/>
      <c r="G69" s="5"/>
      <c r="H69" s="7"/>
      <c r="I69" s="5"/>
    </row>
    <row r="70">
      <c r="D70" s="7"/>
      <c r="E70" s="5"/>
      <c r="F70" s="7"/>
      <c r="G70" s="5"/>
      <c r="H70" s="7"/>
      <c r="I70" s="5"/>
    </row>
    <row r="71">
      <c r="D71" s="7"/>
      <c r="E71" s="5"/>
      <c r="F71" s="7"/>
      <c r="G71" s="5"/>
      <c r="H71" s="7"/>
      <c r="I71" s="5"/>
    </row>
    <row r="72">
      <c r="D72" s="7"/>
      <c r="E72" s="5"/>
      <c r="F72" s="7"/>
      <c r="G72" s="5"/>
      <c r="H72" s="7"/>
      <c r="I72" s="5"/>
    </row>
    <row r="73">
      <c r="D73" s="7"/>
      <c r="E73" s="5"/>
      <c r="F73" s="7"/>
      <c r="G73" s="5"/>
      <c r="H73" s="7"/>
      <c r="I73" s="5"/>
    </row>
    <row r="74">
      <c r="D74" s="7"/>
      <c r="E74" s="5"/>
      <c r="F74" s="7"/>
      <c r="G74" s="5"/>
      <c r="H74" s="7"/>
      <c r="I74" s="5"/>
    </row>
    <row r="75">
      <c r="D75" s="7"/>
      <c r="E75" s="5"/>
      <c r="F75" s="7"/>
      <c r="G75" s="5"/>
      <c r="H75" s="7"/>
      <c r="I75" s="5"/>
    </row>
    <row r="76">
      <c r="D76" s="7"/>
      <c r="E76" s="5"/>
      <c r="F76" s="7"/>
      <c r="G76" s="5"/>
      <c r="H76" s="7"/>
      <c r="I76" s="5"/>
    </row>
    <row r="77">
      <c r="D77" s="7"/>
      <c r="E77" s="5"/>
      <c r="F77" s="7"/>
      <c r="G77" s="5"/>
      <c r="H77" s="7"/>
      <c r="I77" s="5"/>
    </row>
    <row r="78">
      <c r="D78" s="7"/>
      <c r="E78" s="5"/>
      <c r="F78" s="7"/>
      <c r="G78" s="5"/>
      <c r="H78" s="7"/>
      <c r="I78" s="5"/>
    </row>
    <row r="79">
      <c r="D79" s="7"/>
      <c r="E79" s="5"/>
      <c r="F79" s="7"/>
      <c r="G79" s="5"/>
      <c r="H79" s="7"/>
      <c r="I79" s="5"/>
    </row>
    <row r="80">
      <c r="D80" s="7"/>
      <c r="E80" s="5"/>
      <c r="F80" s="7"/>
      <c r="G80" s="5"/>
      <c r="H80" s="7"/>
      <c r="I80" s="5"/>
    </row>
    <row r="81">
      <c r="D81" s="7"/>
      <c r="E81" s="5"/>
      <c r="F81" s="7"/>
      <c r="G81" s="5"/>
      <c r="H81" s="7"/>
      <c r="I81" s="5"/>
    </row>
    <row r="82">
      <c r="D82" s="7"/>
      <c r="E82" s="5"/>
      <c r="F82" s="7"/>
      <c r="G82" s="5"/>
      <c r="H82" s="7"/>
      <c r="I82" s="5"/>
    </row>
    <row r="83">
      <c r="D83" s="7"/>
      <c r="E83" s="5"/>
      <c r="F83" s="7"/>
      <c r="G83" s="5"/>
      <c r="H83" s="7"/>
      <c r="I83" s="5"/>
    </row>
    <row r="84">
      <c r="D84" s="7"/>
      <c r="E84" s="5"/>
      <c r="F84" s="7"/>
      <c r="G84" s="5"/>
      <c r="H84" s="7"/>
      <c r="I84" s="5"/>
    </row>
    <row r="85">
      <c r="D85" s="7"/>
      <c r="E85" s="5"/>
      <c r="F85" s="7"/>
      <c r="G85" s="5"/>
      <c r="H85" s="7"/>
      <c r="I85" s="5"/>
    </row>
    <row r="86">
      <c r="D86" s="7"/>
      <c r="E86" s="5"/>
      <c r="F86" s="7"/>
      <c r="G86" s="5"/>
      <c r="H86" s="7"/>
      <c r="I86" s="5"/>
    </row>
    <row r="87">
      <c r="D87" s="7"/>
      <c r="E87" s="5"/>
      <c r="F87" s="7"/>
      <c r="G87" s="5"/>
      <c r="H87" s="7"/>
      <c r="I87" s="5"/>
    </row>
    <row r="88">
      <c r="D88" s="7"/>
      <c r="E88" s="5"/>
      <c r="F88" s="7"/>
      <c r="G88" s="5"/>
      <c r="H88" s="7"/>
      <c r="I88" s="5"/>
    </row>
    <row r="89">
      <c r="D89" s="7"/>
      <c r="E89" s="5"/>
      <c r="F89" s="7"/>
      <c r="G89" s="5"/>
      <c r="H89" s="7"/>
      <c r="I89" s="5"/>
    </row>
    <row r="90">
      <c r="D90" s="7"/>
      <c r="E90" s="5"/>
      <c r="F90" s="7"/>
      <c r="G90" s="5"/>
      <c r="H90" s="7"/>
      <c r="I90" s="5"/>
    </row>
    <row r="91">
      <c r="D91" s="7"/>
      <c r="E91" s="5"/>
      <c r="F91" s="7"/>
      <c r="G91" s="5"/>
      <c r="H91" s="7"/>
      <c r="I91" s="5"/>
    </row>
    <row r="92">
      <c r="D92" s="7"/>
      <c r="E92" s="5"/>
      <c r="F92" s="7"/>
      <c r="G92" s="5"/>
      <c r="H92" s="7"/>
      <c r="I92" s="5"/>
    </row>
    <row r="93">
      <c r="D93" s="7"/>
      <c r="E93" s="5"/>
      <c r="F93" s="7"/>
      <c r="G93" s="5"/>
      <c r="H93" s="7"/>
      <c r="I93" s="5"/>
    </row>
    <row r="94">
      <c r="D94" s="7"/>
      <c r="E94" s="5"/>
      <c r="F94" s="7"/>
      <c r="G94" s="5"/>
      <c r="H94" s="7"/>
      <c r="I94" s="5"/>
    </row>
    <row r="95">
      <c r="D95" s="7"/>
      <c r="E95" s="5"/>
      <c r="F95" s="7"/>
      <c r="G95" s="5"/>
      <c r="H95" s="7"/>
      <c r="I95" s="5"/>
    </row>
    <row r="96">
      <c r="D96" s="7"/>
      <c r="E96" s="5"/>
      <c r="F96" s="7"/>
      <c r="G96" s="5"/>
      <c r="H96" s="7"/>
      <c r="I96" s="5"/>
    </row>
    <row r="97">
      <c r="D97" s="7"/>
      <c r="E97" s="5"/>
      <c r="F97" s="7"/>
      <c r="G97" s="5"/>
      <c r="H97" s="7"/>
      <c r="I97" s="5"/>
    </row>
    <row r="98">
      <c r="D98" s="7"/>
      <c r="E98" s="5"/>
      <c r="F98" s="7"/>
      <c r="G98" s="5"/>
      <c r="H98" s="7"/>
      <c r="I98" s="5"/>
    </row>
    <row r="99">
      <c r="D99" s="7"/>
      <c r="E99" s="5"/>
      <c r="F99" s="7"/>
      <c r="G99" s="5"/>
      <c r="H99" s="7"/>
      <c r="I99" s="5"/>
    </row>
    <row r="100">
      <c r="D100" s="7"/>
      <c r="E100" s="5"/>
      <c r="F100" s="7"/>
      <c r="G100" s="5"/>
      <c r="H100" s="7"/>
      <c r="I100" s="5"/>
    </row>
    <row r="101">
      <c r="D101" s="7"/>
      <c r="E101" s="5"/>
      <c r="F101" s="7"/>
      <c r="G101" s="5"/>
      <c r="H101" s="7"/>
      <c r="I101" s="5"/>
    </row>
    <row r="102">
      <c r="D102" s="7"/>
      <c r="E102" s="5"/>
      <c r="F102" s="7"/>
      <c r="G102" s="5"/>
      <c r="H102" s="7"/>
      <c r="I102" s="5"/>
    </row>
    <row r="103">
      <c r="D103" s="7"/>
      <c r="E103" s="5"/>
      <c r="F103" s="7"/>
      <c r="G103" s="5"/>
      <c r="H103" s="7"/>
      <c r="I103" s="5"/>
    </row>
    <row r="104">
      <c r="D104" s="7"/>
      <c r="E104" s="5"/>
      <c r="F104" s="7"/>
      <c r="G104" s="5"/>
      <c r="H104" s="7"/>
      <c r="I104" s="5"/>
    </row>
    <row r="105">
      <c r="D105" s="7"/>
      <c r="E105" s="5"/>
      <c r="F105" s="7"/>
      <c r="G105" s="5"/>
      <c r="H105" s="7"/>
      <c r="I105" s="5"/>
    </row>
    <row r="106">
      <c r="D106" s="7"/>
      <c r="E106" s="5"/>
      <c r="F106" s="7"/>
      <c r="G106" s="5"/>
      <c r="H106" s="7"/>
      <c r="I106" s="5"/>
    </row>
    <row r="107">
      <c r="D107" s="7"/>
      <c r="E107" s="5"/>
      <c r="F107" s="7"/>
      <c r="G107" s="5"/>
      <c r="H107" s="7"/>
      <c r="I107" s="5"/>
    </row>
    <row r="108">
      <c r="D108" s="7"/>
      <c r="E108" s="5"/>
      <c r="F108" s="7"/>
      <c r="G108" s="5"/>
      <c r="H108" s="7"/>
      <c r="I108" s="5"/>
    </row>
    <row r="109">
      <c r="D109" s="7"/>
      <c r="E109" s="5"/>
      <c r="F109" s="7"/>
      <c r="G109" s="5"/>
      <c r="H109" s="7"/>
      <c r="I109" s="5"/>
    </row>
    <row r="110">
      <c r="D110" s="7"/>
      <c r="E110" s="5"/>
      <c r="F110" s="7"/>
      <c r="G110" s="5"/>
      <c r="H110" s="7"/>
      <c r="I110" s="5"/>
    </row>
    <row r="111">
      <c r="D111" s="7"/>
      <c r="E111" s="5"/>
      <c r="F111" s="7"/>
      <c r="G111" s="5"/>
      <c r="H111" s="7"/>
      <c r="I111" s="5"/>
    </row>
    <row r="112">
      <c r="D112" s="7"/>
      <c r="E112" s="5"/>
      <c r="F112" s="7"/>
      <c r="G112" s="5"/>
      <c r="H112" s="7"/>
      <c r="I112" s="5"/>
    </row>
    <row r="113">
      <c r="D113" s="7"/>
      <c r="E113" s="5"/>
      <c r="F113" s="7"/>
      <c r="G113" s="5"/>
      <c r="H113" s="7"/>
      <c r="I113" s="5"/>
    </row>
    <row r="114">
      <c r="D114" s="7"/>
      <c r="E114" s="5"/>
      <c r="F114" s="7"/>
      <c r="G114" s="5"/>
      <c r="H114" s="7"/>
      <c r="I114" s="5"/>
    </row>
    <row r="115">
      <c r="D115" s="7"/>
      <c r="E115" s="5"/>
      <c r="F115" s="7"/>
      <c r="G115" s="5"/>
      <c r="H115" s="7"/>
      <c r="I115" s="5"/>
    </row>
    <row r="116">
      <c r="D116" s="7"/>
      <c r="E116" s="5"/>
      <c r="F116" s="7"/>
      <c r="G116" s="5"/>
      <c r="H116" s="7"/>
      <c r="I116" s="5"/>
    </row>
    <row r="117">
      <c r="D117" s="7"/>
      <c r="E117" s="5"/>
      <c r="F117" s="7"/>
      <c r="G117" s="5"/>
      <c r="H117" s="7"/>
      <c r="I117" s="5"/>
    </row>
    <row r="118">
      <c r="D118" s="7"/>
      <c r="E118" s="5"/>
      <c r="F118" s="7"/>
      <c r="G118" s="5"/>
      <c r="H118" s="7"/>
      <c r="I118" s="5"/>
    </row>
    <row r="119">
      <c r="D119" s="7"/>
      <c r="E119" s="5"/>
      <c r="F119" s="7"/>
      <c r="G119" s="5"/>
      <c r="H119" s="7"/>
      <c r="I119" s="5"/>
    </row>
    <row r="120">
      <c r="D120" s="7"/>
      <c r="E120" s="5"/>
      <c r="F120" s="7"/>
      <c r="G120" s="5"/>
      <c r="H120" s="7"/>
      <c r="I120" s="5"/>
    </row>
    <row r="121">
      <c r="D121" s="7"/>
      <c r="E121" s="5"/>
      <c r="F121" s="7"/>
      <c r="G121" s="5"/>
      <c r="H121" s="7"/>
      <c r="I121" s="5"/>
    </row>
    <row r="122">
      <c r="D122" s="7"/>
      <c r="E122" s="5"/>
      <c r="F122" s="7"/>
      <c r="G122" s="5"/>
      <c r="H122" s="7"/>
      <c r="I122" s="5"/>
    </row>
    <row r="123">
      <c r="D123" s="7"/>
      <c r="E123" s="5"/>
      <c r="F123" s="7"/>
      <c r="G123" s="5"/>
      <c r="H123" s="7"/>
      <c r="I123" s="5"/>
    </row>
    <row r="124">
      <c r="D124" s="7"/>
      <c r="E124" s="5"/>
      <c r="F124" s="7"/>
      <c r="G124" s="5"/>
      <c r="H124" s="7"/>
      <c r="I124" s="5"/>
    </row>
    <row r="125">
      <c r="D125" s="7"/>
      <c r="E125" s="5"/>
      <c r="F125" s="7"/>
      <c r="G125" s="5"/>
      <c r="H125" s="7"/>
      <c r="I125" s="5"/>
    </row>
    <row r="126">
      <c r="D126" s="7"/>
      <c r="E126" s="5"/>
      <c r="F126" s="7"/>
      <c r="G126" s="5"/>
      <c r="H126" s="7"/>
      <c r="I126" s="5"/>
    </row>
    <row r="127">
      <c r="D127" s="7"/>
      <c r="E127" s="5"/>
      <c r="F127" s="7"/>
      <c r="G127" s="5"/>
      <c r="H127" s="7"/>
      <c r="I127" s="5"/>
    </row>
    <row r="128">
      <c r="D128" s="7"/>
      <c r="E128" s="5"/>
      <c r="F128" s="7"/>
      <c r="G128" s="5"/>
      <c r="H128" s="7"/>
      <c r="I128" s="5"/>
    </row>
    <row r="129">
      <c r="D129" s="7"/>
      <c r="E129" s="5"/>
      <c r="F129" s="7"/>
      <c r="G129" s="5"/>
      <c r="H129" s="7"/>
      <c r="I129" s="5"/>
    </row>
    <row r="130">
      <c r="D130" s="7"/>
      <c r="E130" s="5"/>
      <c r="F130" s="7"/>
      <c r="G130" s="5"/>
      <c r="H130" s="7"/>
      <c r="I130" s="5"/>
    </row>
    <row r="131">
      <c r="D131" s="7"/>
      <c r="E131" s="5"/>
      <c r="F131" s="7"/>
      <c r="G131" s="5"/>
      <c r="H131" s="7"/>
      <c r="I131" s="5"/>
    </row>
    <row r="132">
      <c r="D132" s="7"/>
      <c r="E132" s="5"/>
      <c r="F132" s="7"/>
      <c r="G132" s="5"/>
      <c r="H132" s="7"/>
      <c r="I132" s="5"/>
    </row>
    <row r="133">
      <c r="D133" s="7"/>
      <c r="E133" s="5"/>
      <c r="F133" s="7"/>
      <c r="G133" s="5"/>
      <c r="H133" s="7"/>
      <c r="I133" s="5"/>
    </row>
    <row r="134">
      <c r="D134" s="7"/>
      <c r="E134" s="5"/>
      <c r="F134" s="7"/>
      <c r="G134" s="5"/>
      <c r="H134" s="7"/>
      <c r="I134" s="5"/>
    </row>
    <row r="135">
      <c r="D135" s="7"/>
      <c r="E135" s="5"/>
      <c r="F135" s="7"/>
      <c r="G135" s="5"/>
      <c r="H135" s="7"/>
      <c r="I135" s="5"/>
    </row>
    <row r="136">
      <c r="D136" s="7"/>
      <c r="E136" s="5"/>
      <c r="F136" s="7"/>
      <c r="G136" s="5"/>
      <c r="H136" s="7"/>
      <c r="I136" s="5"/>
    </row>
    <row r="137">
      <c r="D137" s="7"/>
      <c r="E137" s="5"/>
      <c r="F137" s="7"/>
      <c r="G137" s="5"/>
      <c r="H137" s="7"/>
      <c r="I137" s="5"/>
    </row>
    <row r="138">
      <c r="D138" s="7"/>
      <c r="E138" s="5"/>
      <c r="F138" s="7"/>
      <c r="G138" s="5"/>
      <c r="H138" s="7"/>
      <c r="I138" s="5"/>
    </row>
    <row r="139">
      <c r="D139" s="7"/>
      <c r="E139" s="5"/>
      <c r="F139" s="7"/>
      <c r="G139" s="5"/>
      <c r="H139" s="7"/>
      <c r="I139" s="5"/>
    </row>
    <row r="140">
      <c r="D140" s="7"/>
      <c r="E140" s="5"/>
      <c r="F140" s="7"/>
      <c r="G140" s="5"/>
      <c r="H140" s="7"/>
      <c r="I140" s="5"/>
    </row>
    <row r="141">
      <c r="D141" s="7"/>
      <c r="E141" s="5"/>
      <c r="F141" s="7"/>
      <c r="G141" s="5"/>
      <c r="H141" s="7"/>
      <c r="I141" s="5"/>
    </row>
    <row r="142">
      <c r="D142" s="7"/>
      <c r="E142" s="5"/>
      <c r="F142" s="7"/>
      <c r="G142" s="5"/>
      <c r="H142" s="7"/>
      <c r="I142" s="5"/>
    </row>
    <row r="143">
      <c r="D143" s="7"/>
      <c r="E143" s="5"/>
      <c r="F143" s="7"/>
      <c r="G143" s="5"/>
      <c r="H143" s="7"/>
      <c r="I143" s="5"/>
    </row>
    <row r="144">
      <c r="D144" s="7"/>
      <c r="E144" s="5"/>
      <c r="F144" s="7"/>
      <c r="G144" s="5"/>
      <c r="H144" s="7"/>
      <c r="I144" s="5"/>
    </row>
    <row r="145">
      <c r="D145" s="7"/>
      <c r="E145" s="5"/>
      <c r="F145" s="7"/>
      <c r="G145" s="5"/>
      <c r="H145" s="7"/>
      <c r="I145" s="5"/>
    </row>
    <row r="146">
      <c r="D146" s="7"/>
      <c r="E146" s="5"/>
      <c r="F146" s="7"/>
      <c r="G146" s="5"/>
      <c r="H146" s="7"/>
      <c r="I146" s="5"/>
    </row>
    <row r="147">
      <c r="D147" s="7"/>
      <c r="E147" s="5"/>
      <c r="F147" s="7"/>
      <c r="G147" s="5"/>
      <c r="H147" s="7"/>
      <c r="I147" s="5"/>
    </row>
    <row r="148">
      <c r="D148" s="7"/>
      <c r="E148" s="5"/>
      <c r="F148" s="7"/>
      <c r="G148" s="5"/>
      <c r="H148" s="7"/>
      <c r="I148" s="5"/>
    </row>
    <row r="149">
      <c r="D149" s="7"/>
      <c r="E149" s="5"/>
      <c r="F149" s="7"/>
      <c r="G149" s="5"/>
      <c r="H149" s="7"/>
      <c r="I149" s="5"/>
    </row>
    <row r="150">
      <c r="D150" s="7"/>
      <c r="E150" s="5"/>
      <c r="F150" s="7"/>
      <c r="G150" s="5"/>
      <c r="H150" s="7"/>
      <c r="I150" s="5"/>
    </row>
    <row r="151">
      <c r="D151" s="7"/>
      <c r="E151" s="5"/>
      <c r="F151" s="7"/>
      <c r="G151" s="5"/>
      <c r="H151" s="7"/>
      <c r="I151" s="5"/>
    </row>
    <row r="152">
      <c r="D152" s="7"/>
      <c r="E152" s="5"/>
      <c r="F152" s="7"/>
      <c r="G152" s="5"/>
      <c r="H152" s="7"/>
      <c r="I152" s="5"/>
    </row>
    <row r="153">
      <c r="D153" s="7"/>
      <c r="E153" s="5"/>
      <c r="F153" s="7"/>
      <c r="G153" s="5"/>
      <c r="H153" s="7"/>
      <c r="I153" s="5"/>
    </row>
    <row r="154">
      <c r="D154" s="7"/>
      <c r="E154" s="5"/>
      <c r="F154" s="7"/>
      <c r="G154" s="5"/>
      <c r="H154" s="7"/>
      <c r="I154" s="5"/>
    </row>
    <row r="155">
      <c r="D155" s="7"/>
      <c r="E155" s="5"/>
      <c r="F155" s="7"/>
      <c r="G155" s="5"/>
      <c r="H155" s="7"/>
      <c r="I155" s="5"/>
    </row>
    <row r="156">
      <c r="D156" s="7"/>
      <c r="E156" s="5"/>
      <c r="F156" s="7"/>
      <c r="G156" s="5"/>
      <c r="H156" s="7"/>
      <c r="I156" s="5"/>
    </row>
    <row r="157">
      <c r="D157" s="7"/>
      <c r="E157" s="5"/>
      <c r="F157" s="7"/>
      <c r="G157" s="5"/>
      <c r="H157" s="7"/>
      <c r="I157" s="5"/>
    </row>
    <row r="158">
      <c r="D158" s="7"/>
      <c r="E158" s="5"/>
      <c r="F158" s="7"/>
      <c r="G158" s="5"/>
      <c r="H158" s="7"/>
      <c r="I158" s="5"/>
    </row>
    <row r="159">
      <c r="D159" s="7"/>
      <c r="E159" s="5"/>
      <c r="F159" s="7"/>
      <c r="G159" s="5"/>
      <c r="H159" s="7"/>
      <c r="I159" s="5"/>
    </row>
    <row r="160">
      <c r="D160" s="7"/>
      <c r="E160" s="5"/>
      <c r="F160" s="7"/>
      <c r="G160" s="5"/>
      <c r="H160" s="7"/>
      <c r="I160" s="5"/>
    </row>
    <row r="161">
      <c r="D161" s="7"/>
      <c r="E161" s="5"/>
      <c r="F161" s="7"/>
      <c r="G161" s="5"/>
      <c r="H161" s="7"/>
      <c r="I161" s="5"/>
    </row>
    <row r="162">
      <c r="D162" s="7"/>
      <c r="E162" s="5"/>
      <c r="F162" s="7"/>
      <c r="G162" s="5"/>
      <c r="H162" s="7"/>
      <c r="I162" s="5"/>
    </row>
    <row r="163">
      <c r="D163" s="7"/>
      <c r="E163" s="5"/>
      <c r="F163" s="7"/>
      <c r="G163" s="5"/>
      <c r="H163" s="7"/>
      <c r="I163" s="5"/>
    </row>
    <row r="164">
      <c r="D164" s="7"/>
      <c r="E164" s="5"/>
      <c r="F164" s="7"/>
      <c r="G164" s="5"/>
      <c r="H164" s="7"/>
      <c r="I164" s="5"/>
    </row>
    <row r="165">
      <c r="D165" s="7"/>
      <c r="E165" s="5"/>
      <c r="F165" s="7"/>
      <c r="G165" s="5"/>
      <c r="H165" s="7"/>
      <c r="I165" s="5"/>
    </row>
    <row r="166">
      <c r="D166" s="7"/>
      <c r="E166" s="5"/>
      <c r="F166" s="7"/>
      <c r="G166" s="5"/>
      <c r="H166" s="7"/>
      <c r="I166" s="5"/>
    </row>
    <row r="167">
      <c r="D167" s="7"/>
      <c r="E167" s="5"/>
      <c r="F167" s="7"/>
      <c r="G167" s="5"/>
      <c r="H167" s="7"/>
      <c r="I167" s="5"/>
    </row>
    <row r="168">
      <c r="D168" s="7"/>
      <c r="E168" s="5"/>
      <c r="F168" s="7"/>
      <c r="G168" s="5"/>
      <c r="H168" s="7"/>
      <c r="I168" s="5"/>
    </row>
    <row r="169">
      <c r="D169" s="7"/>
      <c r="E169" s="5"/>
      <c r="F169" s="7"/>
      <c r="G169" s="5"/>
      <c r="H169" s="7"/>
      <c r="I169" s="5"/>
    </row>
    <row r="170">
      <c r="D170" s="7"/>
      <c r="E170" s="5"/>
      <c r="F170" s="7"/>
      <c r="G170" s="5"/>
      <c r="H170" s="7"/>
      <c r="I170" s="5"/>
    </row>
    <row r="171">
      <c r="D171" s="7"/>
      <c r="E171" s="5"/>
      <c r="F171" s="7"/>
      <c r="G171" s="5"/>
      <c r="H171" s="7"/>
      <c r="I171" s="5"/>
    </row>
    <row r="172">
      <c r="D172" s="7"/>
      <c r="E172" s="5"/>
      <c r="F172" s="7"/>
      <c r="G172" s="5"/>
      <c r="H172" s="7"/>
      <c r="I172" s="5"/>
    </row>
    <row r="173">
      <c r="D173" s="7"/>
      <c r="E173" s="5"/>
      <c r="F173" s="7"/>
      <c r="G173" s="5"/>
      <c r="H173" s="7"/>
      <c r="I173" s="5"/>
    </row>
    <row r="174">
      <c r="D174" s="7"/>
      <c r="E174" s="5"/>
      <c r="F174" s="7"/>
      <c r="G174" s="5"/>
      <c r="H174" s="7"/>
      <c r="I174" s="5"/>
    </row>
    <row r="175">
      <c r="D175" s="7"/>
      <c r="E175" s="5"/>
      <c r="F175" s="7"/>
      <c r="G175" s="5"/>
      <c r="H175" s="7"/>
      <c r="I175" s="5"/>
    </row>
    <row r="176">
      <c r="D176" s="7"/>
      <c r="E176" s="5"/>
      <c r="F176" s="7"/>
      <c r="G176" s="5"/>
      <c r="H176" s="7"/>
      <c r="I176" s="5"/>
    </row>
    <row r="177">
      <c r="D177" s="7"/>
      <c r="E177" s="5"/>
      <c r="F177" s="7"/>
      <c r="G177" s="5"/>
      <c r="H177" s="7"/>
      <c r="I177" s="5"/>
    </row>
    <row r="178">
      <c r="D178" s="7"/>
      <c r="E178" s="5"/>
      <c r="F178" s="7"/>
      <c r="G178" s="5"/>
      <c r="H178" s="7"/>
      <c r="I178" s="5"/>
    </row>
    <row r="179">
      <c r="D179" s="7"/>
      <c r="E179" s="5"/>
      <c r="F179" s="7"/>
      <c r="G179" s="5"/>
      <c r="H179" s="7"/>
      <c r="I179" s="5"/>
    </row>
    <row r="180">
      <c r="D180" s="7"/>
      <c r="E180" s="5"/>
      <c r="F180" s="7"/>
      <c r="G180" s="5"/>
      <c r="H180" s="7"/>
      <c r="I180" s="5"/>
    </row>
    <row r="181">
      <c r="D181" s="7"/>
      <c r="E181" s="5"/>
      <c r="F181" s="7"/>
      <c r="G181" s="5"/>
      <c r="H181" s="7"/>
      <c r="I181" s="5"/>
    </row>
    <row r="182">
      <c r="D182" s="7"/>
      <c r="E182" s="5"/>
      <c r="F182" s="7"/>
      <c r="G182" s="5"/>
      <c r="H182" s="7"/>
      <c r="I182" s="5"/>
    </row>
    <row r="183">
      <c r="D183" s="7"/>
      <c r="E183" s="5"/>
      <c r="F183" s="7"/>
      <c r="G183" s="5"/>
      <c r="H183" s="7"/>
      <c r="I183" s="5"/>
    </row>
    <row r="184">
      <c r="D184" s="7"/>
      <c r="E184" s="5"/>
      <c r="F184" s="7"/>
      <c r="G184" s="5"/>
      <c r="H184" s="7"/>
      <c r="I184" s="5"/>
    </row>
    <row r="185">
      <c r="D185" s="7"/>
      <c r="E185" s="5"/>
      <c r="F185" s="7"/>
      <c r="G185" s="5"/>
      <c r="H185" s="7"/>
      <c r="I185" s="5"/>
    </row>
    <row r="186">
      <c r="D186" s="7"/>
      <c r="E186" s="5"/>
      <c r="F186" s="7"/>
      <c r="G186" s="5"/>
      <c r="H186" s="7"/>
      <c r="I186" s="5"/>
    </row>
    <row r="187">
      <c r="D187" s="7"/>
      <c r="E187" s="5"/>
      <c r="F187" s="7"/>
      <c r="G187" s="5"/>
      <c r="H187" s="7"/>
      <c r="I187" s="5"/>
    </row>
    <row r="188">
      <c r="D188" s="7"/>
      <c r="E188" s="5"/>
      <c r="F188" s="7"/>
      <c r="G188" s="5"/>
      <c r="H188" s="7"/>
      <c r="I188" s="5"/>
    </row>
    <row r="189">
      <c r="D189" s="7"/>
      <c r="E189" s="5"/>
      <c r="F189" s="7"/>
      <c r="G189" s="5"/>
      <c r="H189" s="7"/>
      <c r="I189" s="5"/>
    </row>
    <row r="190">
      <c r="D190" s="7"/>
      <c r="E190" s="5"/>
      <c r="F190" s="7"/>
      <c r="G190" s="5"/>
      <c r="H190" s="7"/>
      <c r="I190" s="5"/>
    </row>
    <row r="191">
      <c r="D191" s="7"/>
      <c r="E191" s="5"/>
      <c r="F191" s="7"/>
      <c r="G191" s="5"/>
      <c r="H191" s="7"/>
      <c r="I191" s="5"/>
    </row>
    <row r="192">
      <c r="D192" s="7"/>
      <c r="E192" s="5"/>
      <c r="F192" s="7"/>
      <c r="G192" s="5"/>
      <c r="H192" s="7"/>
      <c r="I192" s="5"/>
    </row>
    <row r="193">
      <c r="D193" s="7"/>
      <c r="E193" s="5"/>
      <c r="F193" s="7"/>
      <c r="G193" s="5"/>
      <c r="H193" s="7"/>
      <c r="I193" s="5"/>
    </row>
    <row r="194">
      <c r="D194" s="7"/>
      <c r="E194" s="5"/>
      <c r="F194" s="7"/>
      <c r="G194" s="5"/>
      <c r="H194" s="7"/>
      <c r="I194" s="5"/>
    </row>
    <row r="195">
      <c r="D195" s="7"/>
      <c r="E195" s="5"/>
      <c r="F195" s="7"/>
      <c r="G195" s="5"/>
      <c r="H195" s="7"/>
      <c r="I195" s="5"/>
    </row>
    <row r="196">
      <c r="D196" s="7"/>
      <c r="E196" s="5"/>
      <c r="F196" s="7"/>
      <c r="G196" s="5"/>
      <c r="H196" s="7"/>
      <c r="I196" s="5"/>
    </row>
    <row r="197">
      <c r="D197" s="7"/>
      <c r="E197" s="5"/>
      <c r="F197" s="7"/>
      <c r="G197" s="5"/>
      <c r="H197" s="7"/>
      <c r="I197" s="5"/>
    </row>
    <row r="198">
      <c r="D198" s="7"/>
      <c r="E198" s="5"/>
      <c r="F198" s="7"/>
      <c r="G198" s="5"/>
      <c r="H198" s="7"/>
      <c r="I198" s="5"/>
    </row>
    <row r="199">
      <c r="D199" s="7"/>
      <c r="E199" s="5"/>
      <c r="F199" s="7"/>
      <c r="G199" s="5"/>
      <c r="H199" s="7"/>
      <c r="I199" s="5"/>
    </row>
    <row r="200">
      <c r="D200" s="7"/>
      <c r="E200" s="5"/>
      <c r="F200" s="7"/>
      <c r="G200" s="5"/>
      <c r="H200" s="7"/>
      <c r="I200" s="5"/>
    </row>
    <row r="201">
      <c r="D201" s="7"/>
      <c r="E201" s="5"/>
      <c r="F201" s="7"/>
      <c r="G201" s="5"/>
      <c r="H201" s="7"/>
      <c r="I201" s="5"/>
    </row>
    <row r="202">
      <c r="D202" s="7"/>
      <c r="E202" s="5"/>
      <c r="F202" s="7"/>
      <c r="G202" s="5"/>
      <c r="H202" s="7"/>
      <c r="I202" s="5"/>
    </row>
    <row r="203">
      <c r="D203" s="7"/>
      <c r="E203" s="5"/>
      <c r="F203" s="7"/>
      <c r="G203" s="5"/>
      <c r="H203" s="7"/>
      <c r="I203" s="5"/>
    </row>
    <row r="204">
      <c r="D204" s="7"/>
      <c r="E204" s="5"/>
      <c r="F204" s="7"/>
      <c r="G204" s="5"/>
      <c r="H204" s="7"/>
      <c r="I204" s="5"/>
    </row>
    <row r="205">
      <c r="D205" s="7"/>
      <c r="E205" s="5"/>
      <c r="F205" s="7"/>
      <c r="G205" s="5"/>
      <c r="H205" s="7"/>
      <c r="I205" s="5"/>
    </row>
    <row r="206">
      <c r="D206" s="7"/>
      <c r="E206" s="5"/>
      <c r="F206" s="7"/>
      <c r="G206" s="5"/>
      <c r="H206" s="7"/>
      <c r="I206" s="5"/>
    </row>
    <row r="207">
      <c r="D207" s="7"/>
      <c r="E207" s="5"/>
      <c r="F207" s="7"/>
      <c r="G207" s="5"/>
      <c r="H207" s="7"/>
      <c r="I207" s="5"/>
    </row>
    <row r="208">
      <c r="D208" s="7"/>
      <c r="E208" s="5"/>
      <c r="F208" s="7"/>
      <c r="G208" s="5"/>
      <c r="H208" s="7"/>
      <c r="I208" s="5"/>
    </row>
    <row r="209">
      <c r="D209" s="7"/>
      <c r="E209" s="5"/>
      <c r="F209" s="7"/>
      <c r="G209" s="5"/>
      <c r="H209" s="7"/>
      <c r="I209" s="5"/>
    </row>
    <row r="210">
      <c r="D210" s="7"/>
      <c r="E210" s="5"/>
      <c r="F210" s="7"/>
      <c r="G210" s="5"/>
      <c r="H210" s="7"/>
      <c r="I210" s="5"/>
    </row>
    <row r="211">
      <c r="D211" s="7"/>
      <c r="E211" s="5"/>
      <c r="F211" s="7"/>
      <c r="G211" s="5"/>
      <c r="H211" s="7"/>
      <c r="I211" s="5"/>
    </row>
    <row r="212">
      <c r="D212" s="7"/>
      <c r="E212" s="5"/>
      <c r="F212" s="7"/>
      <c r="G212" s="5"/>
      <c r="H212" s="7"/>
      <c r="I212" s="5"/>
    </row>
    <row r="213">
      <c r="D213" s="7"/>
      <c r="E213" s="5"/>
      <c r="F213" s="7"/>
      <c r="G213" s="5"/>
      <c r="H213" s="7"/>
      <c r="I213" s="5"/>
    </row>
    <row r="214">
      <c r="D214" s="7"/>
      <c r="E214" s="5"/>
      <c r="F214" s="7"/>
      <c r="G214" s="5"/>
      <c r="H214" s="7"/>
      <c r="I214" s="5"/>
    </row>
    <row r="215">
      <c r="D215" s="7"/>
      <c r="E215" s="5"/>
      <c r="F215" s="7"/>
      <c r="G215" s="5"/>
      <c r="H215" s="7"/>
      <c r="I215" s="5"/>
    </row>
    <row r="216">
      <c r="D216" s="7"/>
      <c r="E216" s="5"/>
      <c r="F216" s="7"/>
      <c r="G216" s="5"/>
      <c r="H216" s="7"/>
      <c r="I216" s="5"/>
    </row>
    <row r="217">
      <c r="D217" s="7"/>
      <c r="E217" s="5"/>
      <c r="F217" s="7"/>
      <c r="G217" s="5"/>
      <c r="H217" s="7"/>
      <c r="I217" s="5"/>
    </row>
    <row r="218">
      <c r="D218" s="7"/>
      <c r="E218" s="5"/>
      <c r="F218" s="7"/>
      <c r="G218" s="5"/>
      <c r="H218" s="7"/>
      <c r="I218" s="5"/>
    </row>
    <row r="219">
      <c r="D219" s="7"/>
      <c r="E219" s="5"/>
      <c r="F219" s="7"/>
      <c r="G219" s="5"/>
      <c r="H219" s="7"/>
      <c r="I219" s="5"/>
    </row>
    <row r="220">
      <c r="D220" s="7"/>
      <c r="E220" s="5"/>
      <c r="F220" s="7"/>
      <c r="G220" s="5"/>
      <c r="H220" s="7"/>
      <c r="I220" s="5"/>
    </row>
    <row r="221">
      <c r="D221" s="7"/>
      <c r="E221" s="5"/>
      <c r="F221" s="7"/>
      <c r="G221" s="5"/>
      <c r="H221" s="7"/>
      <c r="I221" s="5"/>
    </row>
    <row r="222">
      <c r="D222" s="7"/>
      <c r="E222" s="5"/>
      <c r="F222" s="7"/>
      <c r="G222" s="5"/>
      <c r="H222" s="7"/>
      <c r="I222" s="5"/>
    </row>
    <row r="223">
      <c r="D223" s="7"/>
      <c r="E223" s="5"/>
      <c r="F223" s="7"/>
      <c r="G223" s="5"/>
      <c r="H223" s="7"/>
      <c r="I223" s="5"/>
    </row>
    <row r="224">
      <c r="D224" s="7"/>
      <c r="E224" s="5"/>
      <c r="F224" s="7"/>
      <c r="G224" s="5"/>
      <c r="H224" s="7"/>
      <c r="I224" s="5"/>
    </row>
    <row r="225">
      <c r="D225" s="7"/>
      <c r="E225" s="5"/>
      <c r="F225" s="7"/>
      <c r="G225" s="5"/>
      <c r="H225" s="7"/>
      <c r="I225" s="5"/>
    </row>
    <row r="226">
      <c r="D226" s="7"/>
      <c r="E226" s="5"/>
      <c r="F226" s="7"/>
      <c r="G226" s="5"/>
      <c r="H226" s="7"/>
      <c r="I226" s="5"/>
    </row>
    <row r="227">
      <c r="D227" s="7"/>
      <c r="E227" s="5"/>
      <c r="F227" s="7"/>
      <c r="G227" s="5"/>
      <c r="H227" s="7"/>
      <c r="I227" s="5"/>
    </row>
    <row r="228">
      <c r="D228" s="7"/>
      <c r="E228" s="5"/>
      <c r="F228" s="7"/>
      <c r="G228" s="5"/>
      <c r="H228" s="7"/>
      <c r="I228" s="5"/>
    </row>
    <row r="229">
      <c r="D229" s="7"/>
      <c r="E229" s="5"/>
      <c r="F229" s="7"/>
      <c r="G229" s="5"/>
      <c r="H229" s="7"/>
      <c r="I229" s="5"/>
    </row>
    <row r="230">
      <c r="D230" s="7"/>
      <c r="E230" s="5"/>
      <c r="F230" s="7"/>
      <c r="G230" s="5"/>
      <c r="H230" s="7"/>
      <c r="I230" s="5"/>
    </row>
    <row r="231">
      <c r="D231" s="7"/>
      <c r="E231" s="5"/>
      <c r="F231" s="7"/>
      <c r="G231" s="5"/>
      <c r="H231" s="7"/>
      <c r="I231" s="5"/>
    </row>
    <row r="232">
      <c r="D232" s="7"/>
      <c r="E232" s="5"/>
      <c r="F232" s="7"/>
      <c r="G232" s="5"/>
      <c r="H232" s="7"/>
      <c r="I232" s="5"/>
    </row>
    <row r="233">
      <c r="D233" s="7"/>
      <c r="E233" s="5"/>
      <c r="F233" s="7"/>
      <c r="G233" s="5"/>
      <c r="H233" s="7"/>
      <c r="I233" s="5"/>
    </row>
    <row r="234">
      <c r="D234" s="7"/>
      <c r="E234" s="5"/>
      <c r="F234" s="7"/>
      <c r="G234" s="5"/>
      <c r="H234" s="7"/>
      <c r="I234" s="5"/>
    </row>
    <row r="235">
      <c r="D235" s="7"/>
      <c r="E235" s="5"/>
      <c r="F235" s="7"/>
      <c r="G235" s="5"/>
      <c r="H235" s="7"/>
      <c r="I235" s="5"/>
    </row>
    <row r="236">
      <c r="D236" s="7"/>
      <c r="E236" s="5"/>
      <c r="F236" s="7"/>
      <c r="G236" s="5"/>
      <c r="H236" s="7"/>
      <c r="I236" s="5"/>
    </row>
    <row r="237">
      <c r="D237" s="7"/>
      <c r="E237" s="5"/>
      <c r="F237" s="7"/>
      <c r="G237" s="5"/>
      <c r="H237" s="7"/>
      <c r="I237" s="5"/>
    </row>
    <row r="238">
      <c r="D238" s="7"/>
      <c r="E238" s="5"/>
      <c r="F238" s="7"/>
      <c r="G238" s="5"/>
      <c r="H238" s="7"/>
      <c r="I238" s="5"/>
    </row>
    <row r="239">
      <c r="D239" s="7"/>
      <c r="E239" s="5"/>
      <c r="F239" s="7"/>
      <c r="G239" s="5"/>
      <c r="H239" s="7"/>
      <c r="I239" s="5"/>
    </row>
    <row r="240">
      <c r="D240" s="7"/>
      <c r="E240" s="5"/>
      <c r="F240" s="7"/>
      <c r="G240" s="5"/>
      <c r="H240" s="7"/>
      <c r="I240" s="5"/>
    </row>
    <row r="241">
      <c r="D241" s="7"/>
      <c r="E241" s="5"/>
      <c r="F241" s="7"/>
      <c r="G241" s="5"/>
      <c r="H241" s="7"/>
      <c r="I241" s="5"/>
    </row>
    <row r="242">
      <c r="D242" s="7"/>
      <c r="E242" s="5"/>
      <c r="F242" s="7"/>
      <c r="G242" s="5"/>
      <c r="H242" s="7"/>
      <c r="I242" s="5"/>
    </row>
    <row r="243">
      <c r="D243" s="7"/>
      <c r="E243" s="5"/>
      <c r="F243" s="7"/>
      <c r="G243" s="5"/>
      <c r="H243" s="7"/>
      <c r="I243" s="5"/>
    </row>
    <row r="244">
      <c r="D244" s="7"/>
      <c r="E244" s="5"/>
      <c r="F244" s="7"/>
      <c r="G244" s="5"/>
      <c r="H244" s="7"/>
      <c r="I244" s="5"/>
    </row>
    <row r="245">
      <c r="D245" s="7"/>
      <c r="E245" s="5"/>
      <c r="F245" s="7"/>
      <c r="G245" s="5"/>
      <c r="H245" s="7"/>
      <c r="I245" s="5"/>
    </row>
    <row r="246">
      <c r="D246" s="7"/>
      <c r="E246" s="5"/>
      <c r="F246" s="7"/>
      <c r="G246" s="5"/>
      <c r="H246" s="7"/>
      <c r="I246" s="5"/>
    </row>
    <row r="247">
      <c r="D247" s="7"/>
      <c r="E247" s="5"/>
      <c r="F247" s="7"/>
      <c r="G247" s="5"/>
      <c r="H247" s="7"/>
      <c r="I247" s="5"/>
    </row>
    <row r="248">
      <c r="D248" s="7"/>
      <c r="E248" s="5"/>
      <c r="F248" s="7"/>
      <c r="G248" s="5"/>
      <c r="H248" s="7"/>
      <c r="I248" s="5"/>
    </row>
    <row r="249">
      <c r="D249" s="7"/>
      <c r="E249" s="5"/>
      <c r="F249" s="7"/>
      <c r="G249" s="5"/>
      <c r="H249" s="7"/>
      <c r="I249" s="5"/>
    </row>
    <row r="250">
      <c r="D250" s="7"/>
      <c r="E250" s="5"/>
      <c r="F250" s="7"/>
      <c r="G250" s="5"/>
      <c r="H250" s="7"/>
      <c r="I250" s="5"/>
    </row>
    <row r="251">
      <c r="D251" s="7"/>
      <c r="E251" s="5"/>
      <c r="F251" s="7"/>
      <c r="G251" s="5"/>
      <c r="H251" s="7"/>
      <c r="I251" s="5"/>
    </row>
    <row r="252">
      <c r="D252" s="7"/>
      <c r="E252" s="5"/>
      <c r="F252" s="7"/>
      <c r="G252" s="5"/>
      <c r="H252" s="7"/>
      <c r="I252" s="5"/>
    </row>
    <row r="253">
      <c r="D253" s="7"/>
      <c r="E253" s="5"/>
      <c r="F253" s="7"/>
      <c r="G253" s="5"/>
      <c r="H253" s="7"/>
      <c r="I253" s="5"/>
    </row>
    <row r="254">
      <c r="D254" s="7"/>
      <c r="E254" s="5"/>
      <c r="F254" s="7"/>
      <c r="G254" s="5"/>
      <c r="H254" s="7"/>
      <c r="I254" s="5"/>
    </row>
    <row r="255">
      <c r="D255" s="7"/>
      <c r="E255" s="5"/>
      <c r="F255" s="7"/>
      <c r="G255" s="5"/>
      <c r="H255" s="7"/>
      <c r="I255" s="5"/>
    </row>
    <row r="256">
      <c r="D256" s="7"/>
      <c r="E256" s="5"/>
      <c r="F256" s="7"/>
      <c r="G256" s="5"/>
      <c r="H256" s="7"/>
      <c r="I256" s="5"/>
    </row>
    <row r="257">
      <c r="D257" s="7"/>
      <c r="E257" s="5"/>
      <c r="F257" s="7"/>
      <c r="G257" s="5"/>
      <c r="H257" s="7"/>
      <c r="I257" s="5"/>
    </row>
    <row r="258">
      <c r="D258" s="7"/>
      <c r="E258" s="5"/>
      <c r="F258" s="7"/>
      <c r="G258" s="5"/>
      <c r="H258" s="7"/>
      <c r="I258" s="5"/>
    </row>
    <row r="259">
      <c r="D259" s="7"/>
      <c r="E259" s="5"/>
      <c r="F259" s="7"/>
      <c r="G259" s="5"/>
      <c r="H259" s="7"/>
      <c r="I259" s="5"/>
    </row>
    <row r="260">
      <c r="D260" s="7"/>
      <c r="E260" s="5"/>
      <c r="F260" s="7"/>
      <c r="G260" s="5"/>
      <c r="H260" s="7"/>
      <c r="I260" s="5"/>
    </row>
    <row r="261">
      <c r="D261" s="7"/>
      <c r="E261" s="5"/>
      <c r="F261" s="7"/>
      <c r="G261" s="5"/>
      <c r="H261" s="7"/>
      <c r="I261" s="5"/>
    </row>
    <row r="262">
      <c r="D262" s="7"/>
      <c r="E262" s="5"/>
      <c r="F262" s="7"/>
      <c r="G262" s="5"/>
      <c r="H262" s="7"/>
      <c r="I262" s="5"/>
    </row>
    <row r="263">
      <c r="D263" s="7"/>
      <c r="E263" s="5"/>
      <c r="F263" s="7"/>
      <c r="G263" s="5"/>
      <c r="H263" s="7"/>
      <c r="I263" s="5"/>
    </row>
    <row r="264">
      <c r="D264" s="7"/>
      <c r="E264" s="5"/>
      <c r="F264" s="7"/>
      <c r="G264" s="5"/>
      <c r="H264" s="7"/>
      <c r="I264" s="5"/>
    </row>
    <row r="265">
      <c r="D265" s="7"/>
      <c r="E265" s="5"/>
      <c r="F265" s="7"/>
      <c r="G265" s="5"/>
      <c r="H265" s="7"/>
      <c r="I265" s="5"/>
    </row>
    <row r="266">
      <c r="D266" s="7"/>
      <c r="E266" s="5"/>
      <c r="F266" s="7"/>
      <c r="G266" s="5"/>
      <c r="H266" s="7"/>
      <c r="I266" s="5"/>
    </row>
    <row r="267">
      <c r="D267" s="7"/>
      <c r="E267" s="5"/>
      <c r="F267" s="7"/>
      <c r="G267" s="5"/>
      <c r="H267" s="7"/>
      <c r="I267" s="5"/>
    </row>
    <row r="268">
      <c r="D268" s="7"/>
      <c r="E268" s="5"/>
      <c r="F268" s="7"/>
      <c r="G268" s="5"/>
      <c r="H268" s="7"/>
      <c r="I268" s="5"/>
    </row>
    <row r="269">
      <c r="D269" s="7"/>
      <c r="E269" s="5"/>
      <c r="F269" s="7"/>
      <c r="G269" s="5"/>
      <c r="H269" s="7"/>
      <c r="I269" s="5"/>
    </row>
    <row r="270">
      <c r="D270" s="7"/>
      <c r="E270" s="5"/>
      <c r="F270" s="7"/>
      <c r="G270" s="5"/>
      <c r="H270" s="7"/>
      <c r="I270" s="5"/>
    </row>
    <row r="271">
      <c r="D271" s="7"/>
      <c r="E271" s="5"/>
      <c r="F271" s="7"/>
      <c r="G271" s="5"/>
      <c r="H271" s="7"/>
      <c r="I271" s="5"/>
    </row>
    <row r="272">
      <c r="D272" s="7"/>
      <c r="E272" s="5"/>
      <c r="F272" s="7"/>
      <c r="G272" s="5"/>
      <c r="H272" s="7"/>
      <c r="I272" s="5"/>
    </row>
    <row r="273">
      <c r="D273" s="7"/>
      <c r="E273" s="5"/>
      <c r="F273" s="7"/>
      <c r="G273" s="5"/>
      <c r="H273" s="7"/>
      <c r="I273" s="5"/>
    </row>
    <row r="274">
      <c r="D274" s="7"/>
      <c r="E274" s="5"/>
      <c r="F274" s="7"/>
      <c r="G274" s="5"/>
      <c r="H274" s="7"/>
      <c r="I274" s="5"/>
    </row>
    <row r="275">
      <c r="D275" s="7"/>
      <c r="E275" s="5"/>
      <c r="F275" s="7"/>
      <c r="G275" s="5"/>
      <c r="H275" s="7"/>
      <c r="I275" s="5"/>
    </row>
    <row r="276">
      <c r="D276" s="7"/>
      <c r="E276" s="5"/>
      <c r="F276" s="7"/>
      <c r="G276" s="5"/>
      <c r="H276" s="7"/>
      <c r="I276" s="5"/>
    </row>
    <row r="277">
      <c r="D277" s="7"/>
      <c r="E277" s="5"/>
      <c r="F277" s="7"/>
      <c r="G277" s="5"/>
      <c r="H277" s="7"/>
      <c r="I277" s="5"/>
    </row>
    <row r="278">
      <c r="D278" s="7"/>
      <c r="E278" s="5"/>
      <c r="F278" s="7"/>
      <c r="G278" s="5"/>
      <c r="H278" s="7"/>
      <c r="I278" s="5"/>
    </row>
    <row r="279">
      <c r="D279" s="7"/>
      <c r="E279" s="5"/>
      <c r="F279" s="7"/>
      <c r="G279" s="5"/>
      <c r="H279" s="7"/>
      <c r="I279" s="5"/>
    </row>
    <row r="280">
      <c r="D280" s="7"/>
      <c r="E280" s="5"/>
      <c r="F280" s="7"/>
      <c r="G280" s="5"/>
      <c r="H280" s="7"/>
      <c r="I280" s="5"/>
    </row>
    <row r="281">
      <c r="D281" s="7"/>
      <c r="E281" s="5"/>
      <c r="F281" s="7"/>
      <c r="G281" s="5"/>
      <c r="H281" s="7"/>
      <c r="I281" s="5"/>
    </row>
    <row r="282">
      <c r="D282" s="7"/>
      <c r="E282" s="5"/>
      <c r="F282" s="7"/>
      <c r="G282" s="5"/>
      <c r="H282" s="7"/>
      <c r="I282" s="5"/>
    </row>
    <row r="283">
      <c r="D283" s="7"/>
      <c r="E283" s="5"/>
      <c r="F283" s="7"/>
      <c r="G283" s="5"/>
      <c r="H283" s="7"/>
      <c r="I283" s="5"/>
    </row>
    <row r="284">
      <c r="D284" s="7"/>
      <c r="E284" s="5"/>
      <c r="F284" s="7"/>
      <c r="G284" s="5"/>
      <c r="H284" s="7"/>
      <c r="I284" s="5"/>
    </row>
    <row r="285">
      <c r="D285" s="7"/>
      <c r="E285" s="5"/>
      <c r="F285" s="7"/>
      <c r="G285" s="5"/>
      <c r="H285" s="7"/>
      <c r="I285" s="5"/>
    </row>
    <row r="286">
      <c r="D286" s="7"/>
      <c r="E286" s="5"/>
      <c r="F286" s="7"/>
      <c r="G286" s="5"/>
      <c r="H286" s="7"/>
      <c r="I286" s="5"/>
    </row>
    <row r="287">
      <c r="D287" s="7"/>
      <c r="E287" s="5"/>
      <c r="F287" s="7"/>
      <c r="G287" s="5"/>
      <c r="H287" s="7"/>
      <c r="I287" s="5"/>
    </row>
    <row r="288">
      <c r="D288" s="7"/>
      <c r="E288" s="5"/>
      <c r="F288" s="7"/>
      <c r="G288" s="5"/>
      <c r="H288" s="7"/>
      <c r="I288" s="5"/>
    </row>
    <row r="289">
      <c r="D289" s="7"/>
      <c r="E289" s="5"/>
      <c r="F289" s="7"/>
      <c r="G289" s="5"/>
      <c r="H289" s="7"/>
      <c r="I289" s="5"/>
    </row>
    <row r="290">
      <c r="D290" s="7"/>
      <c r="E290" s="5"/>
      <c r="F290" s="7"/>
      <c r="G290" s="5"/>
      <c r="H290" s="7"/>
      <c r="I290" s="5"/>
    </row>
    <row r="291">
      <c r="D291" s="7"/>
      <c r="E291" s="5"/>
      <c r="F291" s="7"/>
      <c r="G291" s="5"/>
      <c r="H291" s="7"/>
      <c r="I291" s="5"/>
    </row>
    <row r="292">
      <c r="D292" s="7"/>
      <c r="E292" s="5"/>
      <c r="F292" s="7"/>
      <c r="G292" s="5"/>
      <c r="H292" s="7"/>
      <c r="I292" s="5"/>
    </row>
    <row r="293">
      <c r="D293" s="7"/>
      <c r="E293" s="5"/>
      <c r="F293" s="7"/>
      <c r="G293" s="5"/>
      <c r="H293" s="7"/>
      <c r="I293" s="5"/>
    </row>
    <row r="294">
      <c r="D294" s="7"/>
      <c r="E294" s="5"/>
      <c r="F294" s="7"/>
      <c r="G294" s="5"/>
      <c r="H294" s="7"/>
      <c r="I294" s="5"/>
    </row>
    <row r="295">
      <c r="D295" s="7"/>
      <c r="E295" s="5"/>
      <c r="F295" s="7"/>
      <c r="G295" s="5"/>
      <c r="H295" s="7"/>
      <c r="I295" s="5"/>
    </row>
    <row r="296">
      <c r="D296" s="7"/>
      <c r="E296" s="5"/>
      <c r="F296" s="7"/>
      <c r="G296" s="5"/>
      <c r="H296" s="7"/>
      <c r="I296" s="5"/>
    </row>
    <row r="297">
      <c r="D297" s="7"/>
      <c r="E297" s="5"/>
      <c r="F297" s="7"/>
      <c r="G297" s="5"/>
      <c r="H297" s="7"/>
      <c r="I297" s="5"/>
    </row>
    <row r="298">
      <c r="D298" s="7"/>
      <c r="E298" s="5"/>
      <c r="F298" s="7"/>
      <c r="G298" s="5"/>
      <c r="H298" s="7"/>
      <c r="I298" s="5"/>
    </row>
    <row r="299">
      <c r="D299" s="7"/>
      <c r="E299" s="5"/>
      <c r="F299" s="7"/>
      <c r="G299" s="5"/>
      <c r="H299" s="7"/>
      <c r="I299" s="5"/>
    </row>
    <row r="300">
      <c r="D300" s="7"/>
      <c r="E300" s="5"/>
      <c r="F300" s="7"/>
      <c r="G300" s="5"/>
      <c r="H300" s="7"/>
      <c r="I300" s="5"/>
    </row>
    <row r="301">
      <c r="D301" s="7"/>
      <c r="E301" s="5"/>
      <c r="F301" s="7"/>
      <c r="G301" s="5"/>
      <c r="H301" s="7"/>
      <c r="I301" s="5"/>
    </row>
    <row r="302">
      <c r="D302" s="7"/>
      <c r="E302" s="5"/>
      <c r="F302" s="7"/>
      <c r="G302" s="5"/>
      <c r="H302" s="7"/>
      <c r="I302" s="5"/>
    </row>
    <row r="303">
      <c r="D303" s="7"/>
      <c r="E303" s="5"/>
      <c r="F303" s="7"/>
      <c r="G303" s="5"/>
      <c r="H303" s="7"/>
      <c r="I303" s="5"/>
    </row>
    <row r="304">
      <c r="D304" s="7"/>
      <c r="E304" s="5"/>
      <c r="F304" s="7"/>
      <c r="G304" s="5"/>
      <c r="H304" s="7"/>
      <c r="I304" s="5"/>
    </row>
    <row r="305">
      <c r="D305" s="7"/>
      <c r="E305" s="5"/>
      <c r="F305" s="7"/>
      <c r="G305" s="5"/>
      <c r="H305" s="7"/>
      <c r="I305" s="5"/>
    </row>
    <row r="306">
      <c r="D306" s="7"/>
      <c r="E306" s="5"/>
      <c r="F306" s="7"/>
      <c r="G306" s="5"/>
      <c r="H306" s="7"/>
      <c r="I306" s="5"/>
    </row>
    <row r="307">
      <c r="D307" s="7"/>
      <c r="E307" s="5"/>
      <c r="F307" s="7"/>
      <c r="G307" s="5"/>
      <c r="H307" s="7"/>
      <c r="I307" s="5"/>
    </row>
    <row r="308">
      <c r="D308" s="7"/>
      <c r="E308" s="5"/>
      <c r="F308" s="7"/>
      <c r="G308" s="5"/>
      <c r="H308" s="7"/>
      <c r="I308" s="5"/>
    </row>
    <row r="309">
      <c r="D309" s="7"/>
      <c r="E309" s="5"/>
      <c r="F309" s="7"/>
      <c r="G309" s="5"/>
      <c r="H309" s="7"/>
      <c r="I309" s="5"/>
    </row>
    <row r="310">
      <c r="D310" s="7"/>
      <c r="E310" s="5"/>
      <c r="F310" s="7"/>
      <c r="G310" s="5"/>
      <c r="H310" s="7"/>
      <c r="I310" s="5"/>
    </row>
    <row r="311">
      <c r="D311" s="7"/>
      <c r="E311" s="5"/>
      <c r="F311" s="7"/>
      <c r="G311" s="5"/>
      <c r="H311" s="7"/>
      <c r="I311" s="5"/>
    </row>
    <row r="312">
      <c r="D312" s="7"/>
      <c r="E312" s="5"/>
      <c r="F312" s="7"/>
      <c r="G312" s="5"/>
      <c r="H312" s="7"/>
      <c r="I312" s="5"/>
    </row>
    <row r="313">
      <c r="D313" s="7"/>
      <c r="E313" s="5"/>
      <c r="F313" s="7"/>
      <c r="G313" s="5"/>
      <c r="H313" s="7"/>
      <c r="I313" s="5"/>
    </row>
    <row r="314">
      <c r="D314" s="7"/>
      <c r="E314" s="5"/>
      <c r="F314" s="7"/>
      <c r="G314" s="5"/>
      <c r="H314" s="7"/>
      <c r="I314" s="5"/>
    </row>
    <row r="315">
      <c r="D315" s="7"/>
      <c r="E315" s="5"/>
      <c r="F315" s="7"/>
      <c r="G315" s="5"/>
      <c r="H315" s="7"/>
      <c r="I315" s="5"/>
    </row>
    <row r="316">
      <c r="D316" s="7"/>
      <c r="E316" s="5"/>
      <c r="F316" s="7"/>
      <c r="G316" s="5"/>
      <c r="H316" s="7"/>
      <c r="I316" s="5"/>
    </row>
    <row r="317">
      <c r="D317" s="7"/>
      <c r="E317" s="5"/>
      <c r="F317" s="7"/>
      <c r="G317" s="5"/>
      <c r="H317" s="7"/>
      <c r="I317" s="5"/>
    </row>
    <row r="318">
      <c r="D318" s="7"/>
      <c r="E318" s="5"/>
      <c r="F318" s="7"/>
      <c r="G318" s="5"/>
      <c r="H318" s="7"/>
      <c r="I318" s="5"/>
    </row>
    <row r="319">
      <c r="D319" s="7"/>
      <c r="E319" s="5"/>
      <c r="F319" s="7"/>
      <c r="G319" s="5"/>
      <c r="H319" s="7"/>
      <c r="I319" s="5"/>
    </row>
    <row r="320">
      <c r="D320" s="7"/>
      <c r="E320" s="5"/>
      <c r="F320" s="7"/>
      <c r="G320" s="5"/>
      <c r="H320" s="7"/>
      <c r="I320" s="5"/>
    </row>
    <row r="321">
      <c r="D321" s="7"/>
      <c r="E321" s="5"/>
      <c r="F321" s="7"/>
      <c r="G321" s="5"/>
      <c r="H321" s="7"/>
      <c r="I321" s="5"/>
    </row>
    <row r="322">
      <c r="D322" s="7"/>
      <c r="E322" s="5"/>
      <c r="F322" s="7"/>
      <c r="G322" s="5"/>
      <c r="H322" s="7"/>
      <c r="I322" s="5"/>
    </row>
    <row r="323">
      <c r="D323" s="7"/>
      <c r="E323" s="5"/>
      <c r="F323" s="7"/>
      <c r="G323" s="5"/>
      <c r="H323" s="7"/>
      <c r="I323" s="5"/>
    </row>
    <row r="324">
      <c r="D324" s="7"/>
      <c r="E324" s="5"/>
      <c r="F324" s="7"/>
      <c r="G324" s="5"/>
      <c r="H324" s="7"/>
      <c r="I324" s="5"/>
    </row>
    <row r="325">
      <c r="D325" s="7"/>
      <c r="E325" s="5"/>
      <c r="F325" s="7"/>
      <c r="G325" s="5"/>
      <c r="H325" s="7"/>
      <c r="I325" s="5"/>
    </row>
    <row r="326">
      <c r="D326" s="7"/>
      <c r="E326" s="5"/>
      <c r="F326" s="7"/>
      <c r="G326" s="5"/>
      <c r="H326" s="7"/>
      <c r="I326" s="5"/>
    </row>
    <row r="327">
      <c r="D327" s="7"/>
      <c r="E327" s="5"/>
      <c r="F327" s="7"/>
      <c r="G327" s="5"/>
      <c r="H327" s="7"/>
      <c r="I327" s="5"/>
    </row>
    <row r="328">
      <c r="D328" s="7"/>
      <c r="E328" s="5"/>
      <c r="F328" s="7"/>
      <c r="G328" s="5"/>
      <c r="H328" s="7"/>
      <c r="I328" s="5"/>
    </row>
    <row r="329">
      <c r="D329" s="7"/>
      <c r="E329" s="5"/>
      <c r="F329" s="7"/>
      <c r="G329" s="5"/>
      <c r="H329" s="7"/>
      <c r="I329" s="5"/>
    </row>
    <row r="330">
      <c r="D330" s="7"/>
      <c r="E330" s="5"/>
      <c r="F330" s="7"/>
      <c r="G330" s="5"/>
      <c r="H330" s="7"/>
      <c r="I330" s="5"/>
    </row>
    <row r="331">
      <c r="D331" s="7"/>
      <c r="E331" s="5"/>
      <c r="F331" s="7"/>
      <c r="G331" s="5"/>
      <c r="H331" s="7"/>
      <c r="I331" s="5"/>
    </row>
    <row r="332">
      <c r="D332" s="7"/>
      <c r="E332" s="5"/>
      <c r="F332" s="7"/>
      <c r="G332" s="5"/>
      <c r="H332" s="7"/>
      <c r="I332" s="5"/>
    </row>
    <row r="333">
      <c r="D333" s="7"/>
      <c r="E333" s="5"/>
      <c r="F333" s="7"/>
      <c r="G333" s="5"/>
      <c r="H333" s="7"/>
      <c r="I333" s="5"/>
    </row>
    <row r="334">
      <c r="D334" s="7"/>
      <c r="E334" s="5"/>
      <c r="F334" s="7"/>
      <c r="G334" s="5"/>
      <c r="H334" s="7"/>
      <c r="I334" s="5"/>
    </row>
    <row r="335">
      <c r="D335" s="7"/>
      <c r="E335" s="5"/>
      <c r="F335" s="7"/>
      <c r="G335" s="5"/>
      <c r="H335" s="7"/>
      <c r="I335" s="5"/>
    </row>
    <row r="336">
      <c r="D336" s="7"/>
      <c r="E336" s="5"/>
      <c r="F336" s="7"/>
      <c r="G336" s="5"/>
      <c r="H336" s="7"/>
      <c r="I336" s="5"/>
    </row>
    <row r="337">
      <c r="D337" s="7"/>
      <c r="E337" s="5"/>
      <c r="F337" s="7"/>
      <c r="G337" s="5"/>
      <c r="H337" s="7"/>
      <c r="I337" s="5"/>
    </row>
    <row r="338">
      <c r="D338" s="7"/>
      <c r="E338" s="5"/>
      <c r="F338" s="7"/>
      <c r="G338" s="5"/>
      <c r="H338" s="7"/>
      <c r="I338" s="5"/>
    </row>
    <row r="339">
      <c r="D339" s="7"/>
      <c r="E339" s="5"/>
      <c r="F339" s="7"/>
      <c r="G339" s="5"/>
      <c r="H339" s="7"/>
      <c r="I339" s="5"/>
    </row>
    <row r="340">
      <c r="D340" s="7"/>
      <c r="E340" s="5"/>
      <c r="F340" s="7"/>
      <c r="G340" s="5"/>
      <c r="H340" s="7"/>
      <c r="I340" s="5"/>
    </row>
    <row r="341">
      <c r="D341" s="7"/>
      <c r="E341" s="5"/>
      <c r="F341" s="7"/>
      <c r="G341" s="5"/>
      <c r="H341" s="7"/>
      <c r="I341" s="5"/>
    </row>
    <row r="342">
      <c r="D342" s="7"/>
      <c r="E342" s="5"/>
      <c r="F342" s="7"/>
      <c r="G342" s="5"/>
      <c r="H342" s="7"/>
      <c r="I342" s="5"/>
    </row>
    <row r="343">
      <c r="D343" s="7"/>
      <c r="E343" s="5"/>
      <c r="F343" s="7"/>
      <c r="G343" s="5"/>
      <c r="H343" s="7"/>
      <c r="I343" s="5"/>
    </row>
    <row r="344">
      <c r="D344" s="7"/>
      <c r="E344" s="5"/>
      <c r="F344" s="7"/>
      <c r="G344" s="5"/>
      <c r="H344" s="7"/>
      <c r="I344" s="5"/>
    </row>
    <row r="345">
      <c r="D345" s="7"/>
      <c r="E345" s="5"/>
      <c r="F345" s="7"/>
      <c r="G345" s="5"/>
      <c r="H345" s="7"/>
      <c r="I345" s="5"/>
    </row>
    <row r="346">
      <c r="D346" s="7"/>
      <c r="E346" s="5"/>
      <c r="F346" s="7"/>
      <c r="G346" s="5"/>
      <c r="H346" s="7"/>
      <c r="I346" s="5"/>
    </row>
    <row r="347">
      <c r="D347" s="7"/>
      <c r="E347" s="5"/>
      <c r="F347" s="7"/>
      <c r="G347" s="5"/>
      <c r="H347" s="7"/>
      <c r="I347" s="5"/>
    </row>
    <row r="348">
      <c r="D348" s="7"/>
      <c r="E348" s="5"/>
      <c r="F348" s="7"/>
      <c r="G348" s="5"/>
      <c r="H348" s="7"/>
      <c r="I348" s="5"/>
    </row>
    <row r="349">
      <c r="D349" s="7"/>
      <c r="E349" s="5"/>
      <c r="F349" s="7"/>
      <c r="G349" s="5"/>
      <c r="H349" s="7"/>
      <c r="I349" s="5"/>
    </row>
    <row r="350">
      <c r="D350" s="7"/>
      <c r="E350" s="5"/>
      <c r="F350" s="7"/>
      <c r="G350" s="5"/>
      <c r="H350" s="7"/>
      <c r="I350" s="5"/>
    </row>
    <row r="351">
      <c r="D351" s="7"/>
      <c r="E351" s="5"/>
      <c r="F351" s="7"/>
      <c r="G351" s="5"/>
      <c r="H351" s="7"/>
      <c r="I351" s="5"/>
    </row>
    <row r="352">
      <c r="D352" s="7"/>
      <c r="E352" s="5"/>
      <c r="F352" s="7"/>
      <c r="G352" s="5"/>
      <c r="H352" s="7"/>
      <c r="I352" s="5"/>
    </row>
    <row r="353">
      <c r="D353" s="7"/>
      <c r="E353" s="5"/>
      <c r="F353" s="7"/>
      <c r="G353" s="5"/>
      <c r="H353" s="7"/>
      <c r="I353" s="5"/>
    </row>
    <row r="354">
      <c r="D354" s="7"/>
      <c r="E354" s="5"/>
      <c r="F354" s="7"/>
      <c r="G354" s="5"/>
      <c r="H354" s="7"/>
      <c r="I354" s="5"/>
    </row>
    <row r="355">
      <c r="D355" s="7"/>
      <c r="E355" s="5"/>
      <c r="F355" s="7"/>
      <c r="G355" s="5"/>
      <c r="H355" s="7"/>
      <c r="I355" s="5"/>
    </row>
    <row r="356">
      <c r="D356" s="7"/>
      <c r="E356" s="5"/>
      <c r="F356" s="7"/>
      <c r="G356" s="5"/>
      <c r="H356" s="7"/>
      <c r="I356" s="5"/>
    </row>
    <row r="357">
      <c r="D357" s="7"/>
      <c r="E357" s="5"/>
      <c r="F357" s="7"/>
      <c r="G357" s="5"/>
      <c r="H357" s="7"/>
      <c r="I357" s="5"/>
    </row>
    <row r="358">
      <c r="D358" s="7"/>
      <c r="E358" s="5"/>
      <c r="F358" s="7"/>
      <c r="G358" s="5"/>
      <c r="H358" s="7"/>
      <c r="I358" s="5"/>
    </row>
    <row r="359">
      <c r="D359" s="7"/>
      <c r="E359" s="5"/>
      <c r="F359" s="7"/>
      <c r="G359" s="5"/>
      <c r="H359" s="7"/>
      <c r="I359" s="5"/>
    </row>
    <row r="360">
      <c r="D360" s="7"/>
      <c r="E360" s="5"/>
      <c r="F360" s="7"/>
      <c r="G360" s="5"/>
      <c r="H360" s="7"/>
      <c r="I360" s="5"/>
    </row>
    <row r="361">
      <c r="D361" s="7"/>
      <c r="E361" s="5"/>
      <c r="F361" s="7"/>
      <c r="G361" s="5"/>
      <c r="H361" s="7"/>
      <c r="I361" s="5"/>
    </row>
    <row r="362">
      <c r="D362" s="7"/>
      <c r="E362" s="5"/>
      <c r="F362" s="7"/>
      <c r="G362" s="5"/>
      <c r="H362" s="7"/>
      <c r="I362" s="5"/>
    </row>
    <row r="363">
      <c r="D363" s="7"/>
      <c r="E363" s="5"/>
      <c r="F363" s="7"/>
      <c r="G363" s="5"/>
      <c r="H363" s="7"/>
      <c r="I363" s="5"/>
    </row>
    <row r="364">
      <c r="D364" s="7"/>
      <c r="E364" s="5"/>
      <c r="F364" s="7"/>
      <c r="G364" s="5"/>
      <c r="H364" s="7"/>
      <c r="I364" s="5"/>
    </row>
    <row r="365">
      <c r="D365" s="7"/>
      <c r="E365" s="5"/>
      <c r="F365" s="7"/>
      <c r="G365" s="5"/>
      <c r="H365" s="7"/>
      <c r="I365" s="5"/>
    </row>
    <row r="366">
      <c r="D366" s="7"/>
      <c r="E366" s="5"/>
      <c r="F366" s="7"/>
      <c r="G366" s="5"/>
      <c r="H366" s="7"/>
      <c r="I366" s="5"/>
    </row>
    <row r="367">
      <c r="D367" s="7"/>
      <c r="E367" s="5"/>
      <c r="F367" s="7"/>
      <c r="G367" s="5"/>
      <c r="H367" s="7"/>
      <c r="I367" s="5"/>
    </row>
    <row r="368">
      <c r="D368" s="7"/>
      <c r="E368" s="5"/>
      <c r="F368" s="7"/>
      <c r="G368" s="5"/>
      <c r="H368" s="7"/>
      <c r="I368" s="5"/>
    </row>
    <row r="369">
      <c r="D369" s="7"/>
      <c r="E369" s="5"/>
      <c r="F369" s="7"/>
      <c r="G369" s="5"/>
      <c r="H369" s="7"/>
      <c r="I369" s="5"/>
    </row>
    <row r="370">
      <c r="D370" s="7"/>
      <c r="E370" s="5"/>
      <c r="F370" s="7"/>
      <c r="G370" s="5"/>
      <c r="H370" s="7"/>
      <c r="I370" s="5"/>
    </row>
    <row r="371">
      <c r="D371" s="7"/>
      <c r="E371" s="5"/>
      <c r="F371" s="7"/>
      <c r="G371" s="5"/>
      <c r="H371" s="7"/>
      <c r="I371" s="5"/>
    </row>
    <row r="372">
      <c r="D372" s="7"/>
      <c r="E372" s="5"/>
      <c r="F372" s="7"/>
      <c r="G372" s="5"/>
      <c r="H372" s="7"/>
      <c r="I372" s="5"/>
    </row>
    <row r="373">
      <c r="D373" s="7"/>
      <c r="E373" s="5"/>
      <c r="F373" s="7"/>
      <c r="G373" s="5"/>
      <c r="H373" s="7"/>
      <c r="I373" s="5"/>
    </row>
    <row r="374">
      <c r="D374" s="7"/>
      <c r="E374" s="5"/>
      <c r="F374" s="7"/>
      <c r="G374" s="5"/>
      <c r="H374" s="7"/>
      <c r="I374" s="5"/>
    </row>
    <row r="375">
      <c r="D375" s="7"/>
      <c r="E375" s="5"/>
      <c r="F375" s="7"/>
      <c r="G375" s="5"/>
      <c r="H375" s="7"/>
      <c r="I375" s="5"/>
    </row>
    <row r="376">
      <c r="D376" s="7"/>
      <c r="E376" s="5"/>
      <c r="F376" s="7"/>
      <c r="G376" s="5"/>
      <c r="H376" s="7"/>
      <c r="I376" s="5"/>
    </row>
    <row r="377">
      <c r="D377" s="7"/>
      <c r="E377" s="5"/>
      <c r="F377" s="7"/>
      <c r="G377" s="5"/>
      <c r="H377" s="7"/>
      <c r="I377" s="5"/>
    </row>
    <row r="378">
      <c r="D378" s="7"/>
      <c r="E378" s="5"/>
      <c r="F378" s="7"/>
      <c r="G378" s="5"/>
      <c r="H378" s="7"/>
      <c r="I378" s="5"/>
    </row>
    <row r="379">
      <c r="D379" s="7"/>
      <c r="E379" s="5"/>
      <c r="F379" s="7"/>
      <c r="G379" s="5"/>
      <c r="H379" s="7"/>
      <c r="I379" s="5"/>
    </row>
    <row r="380">
      <c r="D380" s="7"/>
      <c r="E380" s="5"/>
      <c r="F380" s="7"/>
      <c r="G380" s="5"/>
      <c r="H380" s="7"/>
      <c r="I380" s="5"/>
    </row>
    <row r="381">
      <c r="D381" s="7"/>
      <c r="E381" s="5"/>
      <c r="F381" s="7"/>
      <c r="G381" s="5"/>
      <c r="H381" s="7"/>
      <c r="I381" s="5"/>
    </row>
    <row r="382">
      <c r="D382" s="7"/>
      <c r="E382" s="5"/>
      <c r="F382" s="7"/>
      <c r="G382" s="5"/>
      <c r="H382" s="7"/>
      <c r="I382" s="5"/>
    </row>
    <row r="383">
      <c r="D383" s="7"/>
      <c r="E383" s="5"/>
      <c r="F383" s="7"/>
      <c r="G383" s="5"/>
      <c r="H383" s="7"/>
      <c r="I383" s="5"/>
    </row>
    <row r="384">
      <c r="D384" s="7"/>
      <c r="E384" s="5"/>
      <c r="F384" s="7"/>
      <c r="G384" s="5"/>
      <c r="H384" s="7"/>
      <c r="I384" s="5"/>
    </row>
    <row r="385">
      <c r="D385" s="7"/>
      <c r="E385" s="5"/>
      <c r="F385" s="7"/>
      <c r="G385" s="5"/>
      <c r="H385" s="7"/>
      <c r="I385" s="5"/>
    </row>
    <row r="386">
      <c r="D386" s="7"/>
      <c r="E386" s="5"/>
      <c r="F386" s="7"/>
      <c r="G386" s="5"/>
      <c r="H386" s="7"/>
      <c r="I386" s="5"/>
    </row>
    <row r="387">
      <c r="D387" s="7"/>
      <c r="E387" s="5"/>
      <c r="F387" s="7"/>
      <c r="G387" s="5"/>
      <c r="H387" s="7"/>
      <c r="I387" s="5"/>
    </row>
    <row r="388">
      <c r="D388" s="7"/>
      <c r="E388" s="5"/>
      <c r="F388" s="7"/>
      <c r="G388" s="5"/>
      <c r="H388" s="7"/>
      <c r="I388" s="5"/>
    </row>
    <row r="389">
      <c r="D389" s="7"/>
      <c r="E389" s="5"/>
      <c r="F389" s="7"/>
      <c r="G389" s="5"/>
      <c r="H389" s="7"/>
      <c r="I389" s="5"/>
    </row>
    <row r="390">
      <c r="D390" s="7"/>
      <c r="E390" s="5"/>
      <c r="F390" s="7"/>
      <c r="G390" s="5"/>
      <c r="H390" s="7"/>
      <c r="I390" s="5"/>
    </row>
    <row r="391">
      <c r="D391" s="7"/>
      <c r="E391" s="5"/>
      <c r="F391" s="7"/>
      <c r="G391" s="5"/>
      <c r="H391" s="7"/>
      <c r="I391" s="5"/>
    </row>
    <row r="392">
      <c r="D392" s="7"/>
      <c r="E392" s="5"/>
      <c r="F392" s="7"/>
      <c r="G392" s="5"/>
      <c r="H392" s="7"/>
      <c r="I392" s="5"/>
    </row>
    <row r="393">
      <c r="D393" s="7"/>
      <c r="E393" s="5"/>
      <c r="F393" s="7"/>
      <c r="G393" s="5"/>
      <c r="H393" s="7"/>
      <c r="I393" s="5"/>
    </row>
    <row r="394">
      <c r="D394" s="7"/>
      <c r="E394" s="5"/>
      <c r="F394" s="7"/>
      <c r="G394" s="5"/>
      <c r="H394" s="7"/>
      <c r="I394" s="5"/>
    </row>
    <row r="395">
      <c r="D395" s="7"/>
      <c r="E395" s="5"/>
      <c r="F395" s="7"/>
      <c r="G395" s="5"/>
      <c r="H395" s="7"/>
      <c r="I395" s="5"/>
    </row>
    <row r="396">
      <c r="D396" s="7"/>
      <c r="E396" s="5"/>
      <c r="F396" s="7"/>
      <c r="G396" s="5"/>
      <c r="H396" s="7"/>
      <c r="I396" s="5"/>
    </row>
    <row r="397">
      <c r="D397" s="7"/>
      <c r="E397" s="5"/>
      <c r="F397" s="7"/>
      <c r="G397" s="5"/>
      <c r="H397" s="7"/>
      <c r="I397" s="5"/>
    </row>
    <row r="398">
      <c r="D398" s="7"/>
      <c r="E398" s="5"/>
      <c r="F398" s="7"/>
      <c r="G398" s="5"/>
      <c r="H398" s="7"/>
      <c r="I398" s="5"/>
    </row>
    <row r="399">
      <c r="D399" s="7"/>
      <c r="E399" s="5"/>
      <c r="F399" s="7"/>
      <c r="G399" s="5"/>
      <c r="H399" s="7"/>
      <c r="I399" s="5"/>
    </row>
    <row r="400">
      <c r="D400" s="7"/>
      <c r="E400" s="5"/>
      <c r="F400" s="7"/>
      <c r="G400" s="5"/>
      <c r="H400" s="7"/>
      <c r="I400" s="5"/>
    </row>
    <row r="401">
      <c r="D401" s="7"/>
      <c r="E401" s="5"/>
      <c r="F401" s="7"/>
      <c r="G401" s="5"/>
      <c r="H401" s="7"/>
      <c r="I401" s="5"/>
    </row>
    <row r="402">
      <c r="D402" s="7"/>
      <c r="E402" s="5"/>
      <c r="F402" s="7"/>
      <c r="G402" s="5"/>
      <c r="H402" s="7"/>
      <c r="I402" s="5"/>
    </row>
    <row r="403">
      <c r="D403" s="7"/>
      <c r="E403" s="5"/>
      <c r="F403" s="7"/>
      <c r="G403" s="5"/>
      <c r="H403" s="7"/>
      <c r="I403" s="5"/>
    </row>
    <row r="404">
      <c r="D404" s="7"/>
      <c r="E404" s="5"/>
      <c r="F404" s="7"/>
      <c r="G404" s="5"/>
      <c r="H404" s="7"/>
      <c r="I404" s="5"/>
    </row>
    <row r="405">
      <c r="D405" s="7"/>
      <c r="E405" s="5"/>
      <c r="F405" s="7"/>
      <c r="G405" s="5"/>
      <c r="H405" s="7"/>
      <c r="I405" s="5"/>
    </row>
    <row r="406">
      <c r="D406" s="7"/>
      <c r="E406" s="5"/>
      <c r="F406" s="7"/>
      <c r="G406" s="5"/>
      <c r="H406" s="7"/>
      <c r="I406" s="5"/>
    </row>
    <row r="407">
      <c r="D407" s="7"/>
      <c r="E407" s="5"/>
      <c r="F407" s="7"/>
      <c r="G407" s="5"/>
      <c r="H407" s="7"/>
      <c r="I407" s="5"/>
    </row>
    <row r="408">
      <c r="D408" s="7"/>
      <c r="E408" s="5"/>
      <c r="F408" s="7"/>
      <c r="G408" s="5"/>
      <c r="H408" s="7"/>
      <c r="I408" s="5"/>
    </row>
    <row r="409">
      <c r="D409" s="7"/>
      <c r="E409" s="5"/>
      <c r="F409" s="7"/>
      <c r="G409" s="5"/>
      <c r="H409" s="7"/>
      <c r="I409" s="5"/>
    </row>
    <row r="410">
      <c r="D410" s="7"/>
      <c r="E410" s="5"/>
      <c r="F410" s="7"/>
      <c r="G410" s="5"/>
      <c r="H410" s="7"/>
      <c r="I410" s="5"/>
    </row>
    <row r="411">
      <c r="D411" s="7"/>
      <c r="E411" s="5"/>
      <c r="F411" s="7"/>
      <c r="G411" s="5"/>
      <c r="H411" s="7"/>
      <c r="I411" s="5"/>
    </row>
    <row r="412">
      <c r="D412" s="7"/>
      <c r="E412" s="5"/>
      <c r="F412" s="7"/>
      <c r="G412" s="5"/>
      <c r="H412" s="7"/>
      <c r="I412" s="5"/>
    </row>
    <row r="413">
      <c r="D413" s="7"/>
      <c r="E413" s="5"/>
      <c r="F413" s="7"/>
      <c r="G413" s="5"/>
      <c r="H413" s="7"/>
      <c r="I413" s="5"/>
    </row>
    <row r="414">
      <c r="D414" s="7"/>
      <c r="E414" s="5"/>
      <c r="F414" s="7"/>
      <c r="G414" s="5"/>
      <c r="H414" s="7"/>
      <c r="I414" s="5"/>
    </row>
    <row r="415">
      <c r="D415" s="7"/>
      <c r="E415" s="5"/>
      <c r="F415" s="7"/>
      <c r="G415" s="5"/>
      <c r="H415" s="7"/>
      <c r="I415" s="5"/>
    </row>
    <row r="416">
      <c r="D416" s="7"/>
      <c r="E416" s="5"/>
      <c r="F416" s="7"/>
      <c r="G416" s="5"/>
      <c r="H416" s="7"/>
      <c r="I416" s="5"/>
    </row>
    <row r="417">
      <c r="D417" s="7"/>
      <c r="E417" s="5"/>
      <c r="F417" s="7"/>
      <c r="G417" s="5"/>
      <c r="H417" s="7"/>
      <c r="I417" s="5"/>
    </row>
    <row r="418">
      <c r="D418" s="7"/>
      <c r="E418" s="5"/>
      <c r="F418" s="7"/>
      <c r="G418" s="5"/>
      <c r="H418" s="7"/>
      <c r="I418" s="5"/>
    </row>
    <row r="419">
      <c r="D419" s="7"/>
      <c r="E419" s="5"/>
      <c r="F419" s="7"/>
      <c r="G419" s="5"/>
      <c r="H419" s="7"/>
      <c r="I419" s="5"/>
    </row>
    <row r="420">
      <c r="D420" s="7"/>
      <c r="E420" s="5"/>
      <c r="F420" s="7"/>
      <c r="G420" s="5"/>
      <c r="H420" s="7"/>
      <c r="I420" s="5"/>
    </row>
    <row r="421">
      <c r="D421" s="7"/>
      <c r="E421" s="5"/>
      <c r="F421" s="7"/>
      <c r="G421" s="5"/>
      <c r="H421" s="7"/>
      <c r="I421" s="5"/>
    </row>
    <row r="422">
      <c r="D422" s="7"/>
      <c r="E422" s="5"/>
      <c r="F422" s="7"/>
      <c r="G422" s="5"/>
      <c r="H422" s="7"/>
      <c r="I422" s="5"/>
    </row>
    <row r="423">
      <c r="D423" s="7"/>
      <c r="E423" s="5"/>
      <c r="F423" s="7"/>
      <c r="G423" s="5"/>
      <c r="H423" s="7"/>
      <c r="I423" s="5"/>
    </row>
    <row r="424">
      <c r="D424" s="7"/>
      <c r="E424" s="5"/>
      <c r="F424" s="7"/>
      <c r="G424" s="5"/>
      <c r="H424" s="7"/>
      <c r="I424" s="5"/>
    </row>
    <row r="425">
      <c r="D425" s="7"/>
      <c r="E425" s="5"/>
      <c r="F425" s="7"/>
      <c r="G425" s="5"/>
      <c r="H425" s="7"/>
      <c r="I425" s="5"/>
    </row>
    <row r="426">
      <c r="D426" s="7"/>
      <c r="E426" s="5"/>
      <c r="F426" s="7"/>
      <c r="G426" s="5"/>
      <c r="H426" s="7"/>
      <c r="I426" s="5"/>
    </row>
    <row r="427">
      <c r="D427" s="7"/>
      <c r="E427" s="5"/>
      <c r="F427" s="7"/>
      <c r="G427" s="5"/>
      <c r="H427" s="7"/>
      <c r="I427" s="5"/>
    </row>
    <row r="428">
      <c r="D428" s="7"/>
      <c r="E428" s="5"/>
      <c r="F428" s="7"/>
      <c r="G428" s="5"/>
      <c r="H428" s="7"/>
      <c r="I428" s="5"/>
    </row>
    <row r="429">
      <c r="D429" s="7"/>
      <c r="E429" s="5"/>
      <c r="F429" s="7"/>
      <c r="G429" s="5"/>
      <c r="H429" s="7"/>
      <c r="I429" s="5"/>
    </row>
    <row r="430">
      <c r="D430" s="7"/>
      <c r="E430" s="5"/>
      <c r="F430" s="7"/>
      <c r="G430" s="5"/>
      <c r="H430" s="7"/>
      <c r="I430" s="5"/>
    </row>
    <row r="431">
      <c r="D431" s="7"/>
      <c r="E431" s="5"/>
      <c r="F431" s="7"/>
      <c r="G431" s="5"/>
      <c r="H431" s="7"/>
      <c r="I431" s="5"/>
    </row>
    <row r="432">
      <c r="D432" s="7"/>
      <c r="E432" s="5"/>
      <c r="F432" s="7"/>
      <c r="G432" s="5"/>
      <c r="H432" s="7"/>
      <c r="I432" s="5"/>
    </row>
    <row r="433">
      <c r="D433" s="7"/>
      <c r="E433" s="5"/>
      <c r="F433" s="7"/>
      <c r="G433" s="5"/>
      <c r="H433" s="7"/>
      <c r="I433" s="5"/>
    </row>
    <row r="434">
      <c r="D434" s="7"/>
      <c r="E434" s="5"/>
      <c r="F434" s="7"/>
      <c r="G434" s="5"/>
      <c r="H434" s="7"/>
      <c r="I434" s="5"/>
    </row>
    <row r="435">
      <c r="D435" s="7"/>
      <c r="E435" s="5"/>
      <c r="F435" s="7"/>
      <c r="G435" s="5"/>
      <c r="H435" s="7"/>
      <c r="I435" s="5"/>
    </row>
    <row r="436">
      <c r="D436" s="7"/>
      <c r="E436" s="5"/>
      <c r="F436" s="7"/>
      <c r="G436" s="5"/>
      <c r="H436" s="7"/>
      <c r="I436" s="5"/>
    </row>
    <row r="437">
      <c r="D437" s="7"/>
      <c r="E437" s="5"/>
      <c r="F437" s="7"/>
      <c r="G437" s="5"/>
      <c r="H437" s="7"/>
      <c r="I437" s="5"/>
    </row>
    <row r="438">
      <c r="D438" s="7"/>
      <c r="E438" s="5"/>
      <c r="F438" s="7"/>
      <c r="G438" s="5"/>
      <c r="H438" s="7"/>
      <c r="I438" s="5"/>
    </row>
    <row r="439">
      <c r="D439" s="7"/>
      <c r="E439" s="5"/>
      <c r="F439" s="7"/>
      <c r="G439" s="5"/>
      <c r="H439" s="7"/>
      <c r="I439" s="5"/>
    </row>
    <row r="440">
      <c r="D440" s="7"/>
      <c r="E440" s="5"/>
      <c r="F440" s="7"/>
      <c r="G440" s="5"/>
      <c r="H440" s="7"/>
      <c r="I440" s="5"/>
    </row>
    <row r="441">
      <c r="D441" s="7"/>
      <c r="E441" s="5"/>
      <c r="F441" s="7"/>
      <c r="G441" s="5"/>
      <c r="H441" s="7"/>
      <c r="I441" s="5"/>
    </row>
    <row r="442">
      <c r="D442" s="7"/>
      <c r="E442" s="5"/>
      <c r="F442" s="7"/>
      <c r="G442" s="5"/>
      <c r="H442" s="7"/>
      <c r="I442" s="5"/>
    </row>
    <row r="443">
      <c r="D443" s="7"/>
      <c r="E443" s="5"/>
      <c r="F443" s="7"/>
      <c r="G443" s="5"/>
      <c r="H443" s="7"/>
      <c r="I443" s="5"/>
    </row>
    <row r="444">
      <c r="D444" s="7"/>
      <c r="E444" s="5"/>
      <c r="F444" s="7"/>
      <c r="G444" s="5"/>
      <c r="H444" s="7"/>
      <c r="I444" s="5"/>
    </row>
    <row r="445">
      <c r="D445" s="7"/>
      <c r="E445" s="5"/>
      <c r="F445" s="7"/>
      <c r="G445" s="5"/>
      <c r="H445" s="7"/>
      <c r="I445" s="5"/>
    </row>
    <row r="446">
      <c r="D446" s="7"/>
      <c r="E446" s="5"/>
      <c r="F446" s="7"/>
      <c r="G446" s="5"/>
      <c r="H446" s="7"/>
      <c r="I446" s="5"/>
    </row>
    <row r="447">
      <c r="D447" s="7"/>
      <c r="E447" s="5"/>
      <c r="F447" s="7"/>
      <c r="G447" s="5"/>
      <c r="H447" s="7"/>
      <c r="I447" s="5"/>
    </row>
    <row r="448">
      <c r="D448" s="7"/>
      <c r="E448" s="5"/>
      <c r="F448" s="7"/>
      <c r="G448" s="5"/>
      <c r="H448" s="7"/>
      <c r="I448" s="5"/>
    </row>
    <row r="449">
      <c r="D449" s="7"/>
      <c r="E449" s="5"/>
      <c r="F449" s="7"/>
      <c r="G449" s="5"/>
      <c r="H449" s="7"/>
      <c r="I449" s="5"/>
    </row>
    <row r="450">
      <c r="D450" s="7"/>
      <c r="E450" s="5"/>
      <c r="F450" s="7"/>
      <c r="G450" s="5"/>
      <c r="H450" s="7"/>
      <c r="I450" s="5"/>
    </row>
    <row r="451">
      <c r="D451" s="7"/>
      <c r="E451" s="5"/>
      <c r="F451" s="7"/>
      <c r="G451" s="5"/>
      <c r="H451" s="7"/>
      <c r="I451" s="5"/>
    </row>
    <row r="452">
      <c r="D452" s="7"/>
      <c r="E452" s="5"/>
      <c r="F452" s="7"/>
      <c r="G452" s="5"/>
      <c r="H452" s="7"/>
      <c r="I452" s="5"/>
    </row>
    <row r="453">
      <c r="D453" s="7"/>
      <c r="E453" s="5"/>
      <c r="F453" s="7"/>
      <c r="G453" s="5"/>
      <c r="H453" s="7"/>
      <c r="I453" s="5"/>
    </row>
    <row r="454">
      <c r="D454" s="7"/>
      <c r="E454" s="5"/>
      <c r="F454" s="7"/>
      <c r="G454" s="5"/>
      <c r="H454" s="7"/>
      <c r="I454" s="5"/>
    </row>
    <row r="455">
      <c r="D455" s="7"/>
      <c r="E455" s="5"/>
      <c r="F455" s="7"/>
      <c r="G455" s="5"/>
      <c r="H455" s="7"/>
      <c r="I455" s="5"/>
    </row>
    <row r="456">
      <c r="D456" s="7"/>
      <c r="E456" s="5"/>
      <c r="F456" s="7"/>
      <c r="G456" s="5"/>
      <c r="H456" s="7"/>
      <c r="I456" s="5"/>
    </row>
    <row r="457">
      <c r="D457" s="7"/>
      <c r="E457" s="5"/>
      <c r="F457" s="7"/>
      <c r="G457" s="5"/>
      <c r="H457" s="7"/>
      <c r="I457" s="5"/>
    </row>
    <row r="458">
      <c r="D458" s="7"/>
      <c r="E458" s="5"/>
      <c r="F458" s="7"/>
      <c r="G458" s="5"/>
      <c r="H458" s="7"/>
      <c r="I458" s="5"/>
    </row>
    <row r="459">
      <c r="D459" s="7"/>
      <c r="E459" s="5"/>
      <c r="F459" s="7"/>
      <c r="G459" s="5"/>
      <c r="H459" s="7"/>
      <c r="I459" s="5"/>
    </row>
    <row r="460">
      <c r="D460" s="7"/>
      <c r="E460" s="5"/>
      <c r="F460" s="7"/>
      <c r="G460" s="5"/>
      <c r="H460" s="7"/>
      <c r="I460" s="5"/>
    </row>
    <row r="461">
      <c r="D461" s="7"/>
      <c r="E461" s="5"/>
      <c r="F461" s="7"/>
      <c r="G461" s="5"/>
      <c r="H461" s="7"/>
      <c r="I461" s="5"/>
    </row>
    <row r="462">
      <c r="D462" s="7"/>
      <c r="E462" s="5"/>
      <c r="F462" s="7"/>
      <c r="G462" s="5"/>
      <c r="H462" s="7"/>
      <c r="I462" s="5"/>
    </row>
    <row r="463">
      <c r="D463" s="7"/>
      <c r="E463" s="5"/>
      <c r="F463" s="7"/>
      <c r="G463" s="5"/>
      <c r="H463" s="7"/>
      <c r="I463" s="5"/>
    </row>
    <row r="464">
      <c r="D464" s="7"/>
      <c r="E464" s="5"/>
      <c r="F464" s="7"/>
      <c r="G464" s="5"/>
      <c r="H464" s="7"/>
      <c r="I464" s="5"/>
    </row>
    <row r="465">
      <c r="D465" s="7"/>
      <c r="E465" s="5"/>
      <c r="F465" s="7"/>
      <c r="G465" s="5"/>
      <c r="H465" s="7"/>
      <c r="I465" s="5"/>
    </row>
    <row r="466">
      <c r="D466" s="7"/>
      <c r="E466" s="5"/>
      <c r="F466" s="7"/>
      <c r="G466" s="5"/>
      <c r="H466" s="7"/>
      <c r="I466" s="5"/>
    </row>
    <row r="467">
      <c r="D467" s="7"/>
      <c r="E467" s="5"/>
      <c r="F467" s="7"/>
      <c r="G467" s="5"/>
      <c r="H467" s="7"/>
      <c r="I467" s="5"/>
    </row>
    <row r="468">
      <c r="D468" s="7"/>
      <c r="E468" s="5"/>
      <c r="F468" s="7"/>
      <c r="G468" s="5"/>
      <c r="H468" s="7"/>
      <c r="I468" s="5"/>
    </row>
    <row r="469">
      <c r="D469" s="7"/>
      <c r="E469" s="5"/>
      <c r="F469" s="7"/>
      <c r="G469" s="5"/>
      <c r="H469" s="7"/>
      <c r="I469" s="5"/>
    </row>
    <row r="470">
      <c r="D470" s="7"/>
      <c r="E470" s="5"/>
      <c r="F470" s="7"/>
      <c r="G470" s="5"/>
      <c r="H470" s="7"/>
      <c r="I470" s="5"/>
    </row>
    <row r="471">
      <c r="D471" s="7"/>
      <c r="E471" s="5"/>
      <c r="F471" s="7"/>
      <c r="G471" s="5"/>
      <c r="H471" s="7"/>
      <c r="I471" s="5"/>
    </row>
    <row r="472">
      <c r="D472" s="7"/>
      <c r="E472" s="5"/>
      <c r="F472" s="7"/>
      <c r="G472" s="5"/>
      <c r="H472" s="7"/>
      <c r="I472" s="5"/>
    </row>
    <row r="473">
      <c r="D473" s="7"/>
      <c r="E473" s="5"/>
      <c r="F473" s="7"/>
      <c r="G473" s="5"/>
      <c r="H473" s="7"/>
      <c r="I473" s="5"/>
    </row>
    <row r="474">
      <c r="D474" s="7"/>
      <c r="E474" s="5"/>
      <c r="F474" s="7"/>
      <c r="G474" s="5"/>
      <c r="H474" s="7"/>
      <c r="I474" s="5"/>
    </row>
    <row r="475">
      <c r="D475" s="7"/>
      <c r="E475" s="5"/>
      <c r="F475" s="7"/>
      <c r="G475" s="5"/>
      <c r="H475" s="7"/>
      <c r="I475" s="5"/>
    </row>
    <row r="476">
      <c r="D476" s="7"/>
      <c r="E476" s="5"/>
      <c r="F476" s="7"/>
      <c r="G476" s="5"/>
      <c r="H476" s="7"/>
      <c r="I476" s="5"/>
    </row>
    <row r="477">
      <c r="D477" s="7"/>
      <c r="E477" s="5"/>
      <c r="F477" s="7"/>
      <c r="G477" s="5"/>
      <c r="H477" s="7"/>
      <c r="I477" s="5"/>
    </row>
    <row r="478">
      <c r="D478" s="7"/>
      <c r="E478" s="5"/>
      <c r="F478" s="7"/>
      <c r="G478" s="5"/>
      <c r="H478" s="7"/>
      <c r="I478" s="5"/>
    </row>
    <row r="479">
      <c r="D479" s="7"/>
      <c r="E479" s="5"/>
      <c r="F479" s="7"/>
      <c r="G479" s="5"/>
      <c r="H479" s="7"/>
      <c r="I479" s="5"/>
    </row>
    <row r="480">
      <c r="D480" s="7"/>
      <c r="E480" s="5"/>
      <c r="F480" s="7"/>
      <c r="G480" s="5"/>
      <c r="H480" s="7"/>
      <c r="I480" s="5"/>
    </row>
    <row r="481">
      <c r="D481" s="7"/>
      <c r="E481" s="5"/>
      <c r="F481" s="7"/>
      <c r="G481" s="5"/>
      <c r="H481" s="7"/>
      <c r="I481" s="5"/>
    </row>
    <row r="482">
      <c r="D482" s="7"/>
      <c r="E482" s="5"/>
      <c r="F482" s="7"/>
      <c r="G482" s="5"/>
      <c r="H482" s="7"/>
      <c r="I482" s="5"/>
    </row>
    <row r="483">
      <c r="D483" s="7"/>
      <c r="E483" s="5"/>
      <c r="F483" s="7"/>
      <c r="G483" s="5"/>
      <c r="H483" s="7"/>
      <c r="I483" s="5"/>
    </row>
    <row r="484">
      <c r="D484" s="7"/>
      <c r="E484" s="5"/>
      <c r="F484" s="7"/>
      <c r="G484" s="5"/>
      <c r="H484" s="7"/>
      <c r="I484" s="5"/>
    </row>
    <row r="485">
      <c r="D485" s="7"/>
      <c r="E485" s="5"/>
      <c r="F485" s="7"/>
      <c r="G485" s="5"/>
      <c r="H485" s="7"/>
      <c r="I485" s="5"/>
    </row>
    <row r="486">
      <c r="D486" s="7"/>
      <c r="E486" s="5"/>
      <c r="F486" s="7"/>
      <c r="G486" s="5"/>
      <c r="H486" s="7"/>
      <c r="I486" s="5"/>
    </row>
    <row r="487">
      <c r="D487" s="7"/>
      <c r="E487" s="5"/>
      <c r="F487" s="7"/>
      <c r="G487" s="5"/>
      <c r="H487" s="7"/>
      <c r="I487" s="5"/>
    </row>
    <row r="488">
      <c r="D488" s="7"/>
      <c r="E488" s="5"/>
      <c r="F488" s="7"/>
      <c r="G488" s="5"/>
      <c r="H488" s="7"/>
      <c r="I488" s="5"/>
    </row>
    <row r="489">
      <c r="D489" s="7"/>
      <c r="E489" s="5"/>
      <c r="F489" s="7"/>
      <c r="G489" s="5"/>
      <c r="H489" s="7"/>
      <c r="I489" s="5"/>
    </row>
    <row r="490">
      <c r="D490" s="7"/>
      <c r="E490" s="5"/>
      <c r="F490" s="7"/>
      <c r="G490" s="5"/>
      <c r="H490" s="7"/>
      <c r="I490" s="5"/>
    </row>
    <row r="491">
      <c r="D491" s="7"/>
      <c r="E491" s="5"/>
      <c r="F491" s="7"/>
      <c r="G491" s="5"/>
      <c r="H491" s="7"/>
      <c r="I491" s="5"/>
    </row>
    <row r="492">
      <c r="D492" s="7"/>
      <c r="E492" s="5"/>
      <c r="F492" s="7"/>
      <c r="G492" s="5"/>
      <c r="H492" s="7"/>
      <c r="I492" s="5"/>
    </row>
    <row r="493">
      <c r="D493" s="7"/>
      <c r="E493" s="5"/>
      <c r="F493" s="7"/>
      <c r="G493" s="5"/>
      <c r="H493" s="7"/>
      <c r="I493" s="5"/>
    </row>
    <row r="494">
      <c r="D494" s="7"/>
      <c r="E494" s="5"/>
      <c r="F494" s="7"/>
      <c r="G494" s="5"/>
      <c r="H494" s="7"/>
      <c r="I494" s="5"/>
    </row>
    <row r="495">
      <c r="D495" s="7"/>
      <c r="E495" s="5"/>
      <c r="F495" s="7"/>
      <c r="G495" s="5"/>
      <c r="H495" s="7"/>
      <c r="I495" s="5"/>
    </row>
    <row r="496">
      <c r="D496" s="7"/>
      <c r="E496" s="5"/>
      <c r="F496" s="7"/>
      <c r="G496" s="5"/>
      <c r="H496" s="7"/>
      <c r="I496" s="5"/>
    </row>
    <row r="497">
      <c r="D497" s="7"/>
      <c r="E497" s="5"/>
      <c r="F497" s="7"/>
      <c r="G497" s="5"/>
      <c r="H497" s="7"/>
      <c r="I497" s="5"/>
    </row>
    <row r="498">
      <c r="D498" s="7"/>
      <c r="E498" s="5"/>
      <c r="F498" s="7"/>
      <c r="G498" s="5"/>
      <c r="H498" s="7"/>
      <c r="I498" s="5"/>
    </row>
    <row r="499">
      <c r="D499" s="7"/>
      <c r="E499" s="5"/>
      <c r="F499" s="7"/>
      <c r="G499" s="5"/>
      <c r="H499" s="7"/>
      <c r="I499" s="5"/>
    </row>
    <row r="500">
      <c r="D500" s="7"/>
      <c r="E500" s="5"/>
      <c r="F500" s="7"/>
      <c r="G500" s="5"/>
      <c r="H500" s="7"/>
      <c r="I500" s="5"/>
    </row>
    <row r="501">
      <c r="D501" s="7"/>
      <c r="E501" s="5"/>
      <c r="F501" s="7"/>
      <c r="G501" s="5"/>
      <c r="H501" s="7"/>
      <c r="I501" s="5"/>
    </row>
    <row r="502">
      <c r="D502" s="7"/>
      <c r="E502" s="5"/>
      <c r="F502" s="7"/>
      <c r="G502" s="5"/>
      <c r="H502" s="7"/>
      <c r="I502" s="5"/>
    </row>
    <row r="503">
      <c r="D503" s="7"/>
      <c r="E503" s="5"/>
      <c r="F503" s="7"/>
      <c r="G503" s="5"/>
      <c r="H503" s="7"/>
      <c r="I503" s="5"/>
    </row>
    <row r="504">
      <c r="D504" s="7"/>
      <c r="E504" s="5"/>
      <c r="F504" s="7"/>
      <c r="G504" s="5"/>
      <c r="H504" s="7"/>
      <c r="I504" s="5"/>
    </row>
    <row r="505">
      <c r="D505" s="7"/>
      <c r="E505" s="5"/>
      <c r="F505" s="7"/>
      <c r="G505" s="5"/>
      <c r="H505" s="7"/>
      <c r="I505" s="5"/>
    </row>
    <row r="506">
      <c r="D506" s="7"/>
      <c r="E506" s="5"/>
      <c r="F506" s="7"/>
      <c r="G506" s="5"/>
      <c r="H506" s="7"/>
      <c r="I506" s="5"/>
    </row>
    <row r="507">
      <c r="D507" s="7"/>
      <c r="E507" s="5"/>
      <c r="F507" s="7"/>
      <c r="G507" s="5"/>
      <c r="H507" s="7"/>
      <c r="I507" s="5"/>
    </row>
    <row r="508">
      <c r="D508" s="7"/>
      <c r="E508" s="5"/>
      <c r="F508" s="7"/>
      <c r="G508" s="5"/>
      <c r="H508" s="7"/>
      <c r="I508" s="5"/>
    </row>
    <row r="509">
      <c r="D509" s="7"/>
      <c r="E509" s="5"/>
      <c r="F509" s="7"/>
      <c r="G509" s="5"/>
      <c r="H509" s="7"/>
      <c r="I509" s="5"/>
    </row>
    <row r="510">
      <c r="D510" s="7"/>
      <c r="E510" s="5"/>
      <c r="F510" s="7"/>
      <c r="G510" s="5"/>
      <c r="H510" s="7"/>
      <c r="I510" s="5"/>
    </row>
    <row r="511">
      <c r="D511" s="7"/>
      <c r="E511" s="5"/>
      <c r="F511" s="7"/>
      <c r="G511" s="5"/>
      <c r="H511" s="7"/>
      <c r="I511" s="5"/>
    </row>
    <row r="512">
      <c r="D512" s="7"/>
      <c r="E512" s="5"/>
      <c r="F512" s="7"/>
      <c r="G512" s="5"/>
      <c r="H512" s="7"/>
      <c r="I512" s="5"/>
    </row>
    <row r="513">
      <c r="D513" s="7"/>
      <c r="E513" s="5"/>
      <c r="F513" s="7"/>
      <c r="G513" s="5"/>
      <c r="H513" s="7"/>
      <c r="I513" s="5"/>
    </row>
    <row r="514">
      <c r="D514" s="7"/>
      <c r="E514" s="5"/>
      <c r="F514" s="7"/>
      <c r="G514" s="5"/>
      <c r="H514" s="7"/>
      <c r="I514" s="5"/>
    </row>
    <row r="515">
      <c r="D515" s="7"/>
      <c r="E515" s="5"/>
      <c r="F515" s="7"/>
      <c r="G515" s="5"/>
      <c r="H515" s="7"/>
      <c r="I515" s="5"/>
    </row>
    <row r="516">
      <c r="D516" s="7"/>
      <c r="E516" s="5"/>
      <c r="F516" s="7"/>
      <c r="G516" s="5"/>
      <c r="H516" s="7"/>
      <c r="I516" s="5"/>
    </row>
    <row r="517">
      <c r="D517" s="7"/>
      <c r="E517" s="5"/>
      <c r="F517" s="7"/>
      <c r="G517" s="5"/>
      <c r="H517" s="7"/>
      <c r="I517" s="5"/>
    </row>
    <row r="518">
      <c r="D518" s="7"/>
      <c r="E518" s="5"/>
      <c r="F518" s="7"/>
      <c r="G518" s="5"/>
      <c r="H518" s="7"/>
      <c r="I518" s="5"/>
    </row>
    <row r="519">
      <c r="D519" s="7"/>
      <c r="E519" s="5"/>
      <c r="F519" s="7"/>
      <c r="G519" s="5"/>
      <c r="H519" s="7"/>
      <c r="I519" s="5"/>
    </row>
    <row r="520">
      <c r="D520" s="7"/>
      <c r="E520" s="5"/>
      <c r="F520" s="7"/>
      <c r="G520" s="5"/>
      <c r="H520" s="7"/>
      <c r="I520" s="5"/>
    </row>
    <row r="521">
      <c r="D521" s="7"/>
      <c r="E521" s="5"/>
      <c r="F521" s="7"/>
      <c r="G521" s="5"/>
      <c r="H521" s="7"/>
      <c r="I521" s="5"/>
    </row>
    <row r="522">
      <c r="D522" s="7"/>
      <c r="E522" s="5"/>
      <c r="F522" s="7"/>
      <c r="G522" s="5"/>
      <c r="H522" s="7"/>
      <c r="I522" s="5"/>
    </row>
    <row r="523">
      <c r="D523" s="7"/>
      <c r="E523" s="5"/>
      <c r="F523" s="7"/>
      <c r="G523" s="5"/>
      <c r="H523" s="7"/>
      <c r="I523" s="5"/>
    </row>
    <row r="524">
      <c r="D524" s="7"/>
      <c r="E524" s="5"/>
      <c r="F524" s="7"/>
      <c r="G524" s="5"/>
      <c r="H524" s="7"/>
      <c r="I524" s="5"/>
    </row>
    <row r="525">
      <c r="D525" s="7"/>
      <c r="E525" s="5"/>
      <c r="F525" s="7"/>
      <c r="G525" s="5"/>
      <c r="H525" s="7"/>
      <c r="I525" s="5"/>
    </row>
    <row r="526">
      <c r="D526" s="7"/>
      <c r="E526" s="5"/>
      <c r="F526" s="7"/>
      <c r="G526" s="5"/>
      <c r="H526" s="7"/>
      <c r="I526" s="5"/>
    </row>
    <row r="527">
      <c r="D527" s="7"/>
      <c r="E527" s="5"/>
      <c r="F527" s="7"/>
      <c r="G527" s="5"/>
      <c r="H527" s="7"/>
      <c r="I527" s="5"/>
    </row>
    <row r="528">
      <c r="D528" s="7"/>
      <c r="E528" s="5"/>
      <c r="F528" s="7"/>
      <c r="G528" s="5"/>
      <c r="H528" s="7"/>
      <c r="I528" s="5"/>
    </row>
    <row r="529">
      <c r="D529" s="7"/>
      <c r="E529" s="5"/>
      <c r="F529" s="7"/>
      <c r="G529" s="5"/>
      <c r="H529" s="7"/>
      <c r="I529" s="5"/>
    </row>
    <row r="530">
      <c r="D530" s="7"/>
      <c r="E530" s="5"/>
      <c r="F530" s="7"/>
      <c r="G530" s="5"/>
      <c r="H530" s="7"/>
      <c r="I530" s="5"/>
    </row>
    <row r="531">
      <c r="D531" s="7"/>
      <c r="E531" s="5"/>
      <c r="F531" s="7"/>
      <c r="G531" s="5"/>
      <c r="H531" s="7"/>
      <c r="I531" s="5"/>
    </row>
    <row r="532">
      <c r="D532" s="7"/>
      <c r="E532" s="5"/>
      <c r="F532" s="7"/>
      <c r="G532" s="5"/>
      <c r="H532" s="7"/>
      <c r="I532" s="5"/>
    </row>
    <row r="533">
      <c r="D533" s="7"/>
      <c r="E533" s="5"/>
      <c r="F533" s="7"/>
      <c r="G533" s="5"/>
      <c r="H533" s="7"/>
      <c r="I533" s="5"/>
    </row>
    <row r="534">
      <c r="D534" s="7"/>
      <c r="E534" s="5"/>
      <c r="F534" s="7"/>
      <c r="G534" s="5"/>
      <c r="H534" s="7"/>
      <c r="I534" s="5"/>
    </row>
    <row r="535">
      <c r="D535" s="7"/>
      <c r="E535" s="5"/>
      <c r="F535" s="7"/>
      <c r="G535" s="5"/>
      <c r="H535" s="7"/>
      <c r="I535" s="5"/>
    </row>
    <row r="536">
      <c r="D536" s="7"/>
      <c r="E536" s="5"/>
      <c r="F536" s="7"/>
      <c r="G536" s="5"/>
      <c r="H536" s="7"/>
      <c r="I536" s="5"/>
    </row>
    <row r="537">
      <c r="D537" s="7"/>
      <c r="E537" s="5"/>
      <c r="F537" s="7"/>
      <c r="G537" s="5"/>
      <c r="H537" s="7"/>
      <c r="I537" s="5"/>
    </row>
    <row r="538">
      <c r="D538" s="7"/>
      <c r="E538" s="5"/>
      <c r="F538" s="7"/>
      <c r="G538" s="5"/>
      <c r="H538" s="7"/>
      <c r="I538" s="5"/>
    </row>
    <row r="539">
      <c r="D539" s="7"/>
      <c r="E539" s="5"/>
      <c r="F539" s="7"/>
      <c r="G539" s="5"/>
      <c r="H539" s="7"/>
      <c r="I539" s="5"/>
    </row>
    <row r="540">
      <c r="D540" s="7"/>
      <c r="E540" s="5"/>
      <c r="F540" s="7"/>
      <c r="G540" s="5"/>
      <c r="H540" s="7"/>
      <c r="I540" s="5"/>
    </row>
    <row r="541">
      <c r="D541" s="7"/>
      <c r="E541" s="5"/>
      <c r="F541" s="7"/>
      <c r="G541" s="5"/>
      <c r="H541" s="7"/>
      <c r="I541" s="5"/>
    </row>
    <row r="542">
      <c r="D542" s="7"/>
      <c r="E542" s="5"/>
      <c r="F542" s="7"/>
      <c r="G542" s="5"/>
      <c r="H542" s="7"/>
      <c r="I542" s="5"/>
    </row>
    <row r="543">
      <c r="D543" s="7"/>
      <c r="E543" s="5"/>
      <c r="F543" s="7"/>
      <c r="G543" s="5"/>
      <c r="H543" s="7"/>
      <c r="I543" s="5"/>
    </row>
    <row r="544">
      <c r="D544" s="7"/>
      <c r="E544" s="5"/>
      <c r="F544" s="7"/>
      <c r="G544" s="5"/>
      <c r="H544" s="7"/>
      <c r="I544" s="5"/>
    </row>
    <row r="545">
      <c r="D545" s="7"/>
      <c r="E545" s="5"/>
      <c r="F545" s="7"/>
      <c r="G545" s="5"/>
      <c r="H545" s="7"/>
      <c r="I545" s="5"/>
    </row>
    <row r="546">
      <c r="D546" s="7"/>
      <c r="E546" s="5"/>
      <c r="F546" s="7"/>
      <c r="G546" s="5"/>
      <c r="H546" s="7"/>
      <c r="I546" s="5"/>
    </row>
    <row r="547">
      <c r="D547" s="7"/>
      <c r="E547" s="5"/>
      <c r="F547" s="7"/>
      <c r="G547" s="5"/>
      <c r="H547" s="7"/>
      <c r="I547" s="5"/>
    </row>
    <row r="548">
      <c r="D548" s="7"/>
      <c r="E548" s="5"/>
      <c r="F548" s="7"/>
      <c r="G548" s="5"/>
      <c r="H548" s="7"/>
      <c r="I548" s="5"/>
    </row>
    <row r="549">
      <c r="D549" s="7"/>
      <c r="E549" s="5"/>
      <c r="F549" s="7"/>
      <c r="G549" s="5"/>
      <c r="H549" s="7"/>
      <c r="I549" s="5"/>
    </row>
    <row r="550">
      <c r="D550" s="7"/>
      <c r="E550" s="5"/>
      <c r="F550" s="7"/>
      <c r="G550" s="5"/>
      <c r="H550" s="7"/>
      <c r="I550" s="5"/>
    </row>
    <row r="551">
      <c r="D551" s="7"/>
      <c r="E551" s="5"/>
      <c r="F551" s="7"/>
      <c r="G551" s="5"/>
      <c r="H551" s="7"/>
      <c r="I551" s="5"/>
    </row>
    <row r="552">
      <c r="D552" s="7"/>
      <c r="E552" s="5"/>
      <c r="F552" s="7"/>
      <c r="G552" s="5"/>
      <c r="H552" s="7"/>
      <c r="I552" s="5"/>
    </row>
    <row r="553">
      <c r="D553" s="7"/>
      <c r="E553" s="5"/>
      <c r="F553" s="7"/>
      <c r="G553" s="5"/>
      <c r="H553" s="7"/>
      <c r="I553" s="5"/>
    </row>
    <row r="554">
      <c r="D554" s="7"/>
      <c r="E554" s="5"/>
      <c r="F554" s="7"/>
      <c r="G554" s="5"/>
      <c r="H554" s="7"/>
      <c r="I554" s="5"/>
    </row>
    <row r="555">
      <c r="D555" s="7"/>
      <c r="E555" s="5"/>
      <c r="F555" s="7"/>
      <c r="G555" s="5"/>
      <c r="H555" s="7"/>
      <c r="I555" s="5"/>
    </row>
    <row r="556">
      <c r="D556" s="7"/>
      <c r="E556" s="5"/>
      <c r="F556" s="7"/>
      <c r="G556" s="5"/>
      <c r="H556" s="7"/>
      <c r="I556" s="5"/>
    </row>
    <row r="557">
      <c r="D557" s="7"/>
      <c r="E557" s="5"/>
      <c r="F557" s="7"/>
      <c r="G557" s="5"/>
      <c r="H557" s="7"/>
      <c r="I557" s="5"/>
    </row>
    <row r="558">
      <c r="D558" s="7"/>
      <c r="E558" s="5"/>
      <c r="F558" s="7"/>
      <c r="G558" s="5"/>
      <c r="H558" s="7"/>
      <c r="I558" s="5"/>
    </row>
    <row r="559">
      <c r="D559" s="7"/>
      <c r="E559" s="5"/>
      <c r="F559" s="7"/>
      <c r="G559" s="5"/>
      <c r="H559" s="7"/>
      <c r="I559" s="5"/>
    </row>
    <row r="560">
      <c r="D560" s="7"/>
      <c r="E560" s="5"/>
      <c r="F560" s="7"/>
      <c r="G560" s="5"/>
      <c r="H560" s="7"/>
      <c r="I560" s="5"/>
    </row>
    <row r="561">
      <c r="D561" s="7"/>
      <c r="E561" s="5"/>
      <c r="F561" s="7"/>
      <c r="G561" s="5"/>
      <c r="H561" s="7"/>
      <c r="I561" s="5"/>
    </row>
    <row r="562">
      <c r="D562" s="7"/>
      <c r="E562" s="5"/>
      <c r="F562" s="7"/>
      <c r="G562" s="5"/>
      <c r="H562" s="7"/>
      <c r="I562" s="5"/>
    </row>
    <row r="563">
      <c r="D563" s="7"/>
      <c r="E563" s="5"/>
      <c r="F563" s="7"/>
      <c r="G563" s="5"/>
      <c r="H563" s="7"/>
      <c r="I563" s="5"/>
    </row>
    <row r="564">
      <c r="D564" s="7"/>
      <c r="E564" s="5"/>
      <c r="F564" s="7"/>
      <c r="G564" s="5"/>
      <c r="H564" s="7"/>
      <c r="I564" s="5"/>
    </row>
    <row r="565">
      <c r="D565" s="7"/>
      <c r="E565" s="5"/>
      <c r="F565" s="7"/>
      <c r="G565" s="5"/>
      <c r="H565" s="7"/>
      <c r="I565" s="5"/>
    </row>
    <row r="566">
      <c r="D566" s="7"/>
      <c r="E566" s="5"/>
      <c r="F566" s="7"/>
      <c r="G566" s="5"/>
      <c r="H566" s="7"/>
      <c r="I566" s="5"/>
    </row>
    <row r="567">
      <c r="D567" s="7"/>
      <c r="E567" s="5"/>
      <c r="F567" s="7"/>
      <c r="G567" s="5"/>
      <c r="H567" s="7"/>
      <c r="I567" s="5"/>
    </row>
    <row r="568">
      <c r="D568" s="7"/>
      <c r="E568" s="5"/>
      <c r="F568" s="7"/>
      <c r="G568" s="5"/>
      <c r="H568" s="7"/>
      <c r="I568" s="5"/>
    </row>
    <row r="569">
      <c r="D569" s="7"/>
      <c r="E569" s="5"/>
      <c r="F569" s="7"/>
      <c r="G569" s="5"/>
      <c r="H569" s="7"/>
      <c r="I569" s="5"/>
    </row>
    <row r="570">
      <c r="D570" s="7"/>
      <c r="E570" s="5"/>
      <c r="F570" s="7"/>
      <c r="G570" s="5"/>
      <c r="H570" s="7"/>
      <c r="I570" s="5"/>
    </row>
    <row r="571">
      <c r="D571" s="7"/>
      <c r="E571" s="5"/>
      <c r="F571" s="7"/>
      <c r="G571" s="5"/>
      <c r="H571" s="7"/>
      <c r="I571" s="5"/>
    </row>
    <row r="572">
      <c r="D572" s="7"/>
      <c r="E572" s="5"/>
      <c r="F572" s="7"/>
      <c r="G572" s="5"/>
      <c r="H572" s="7"/>
      <c r="I572" s="5"/>
    </row>
    <row r="573">
      <c r="D573" s="7"/>
      <c r="E573" s="5"/>
      <c r="F573" s="7"/>
      <c r="G573" s="5"/>
      <c r="H573" s="7"/>
      <c r="I573" s="5"/>
    </row>
    <row r="574">
      <c r="D574" s="7"/>
      <c r="E574" s="5"/>
      <c r="F574" s="7"/>
      <c r="G574" s="5"/>
      <c r="H574" s="7"/>
      <c r="I574" s="5"/>
    </row>
    <row r="575">
      <c r="D575" s="7"/>
      <c r="E575" s="5"/>
      <c r="F575" s="7"/>
      <c r="G575" s="5"/>
      <c r="H575" s="7"/>
      <c r="I575" s="5"/>
    </row>
    <row r="576">
      <c r="D576" s="7"/>
      <c r="E576" s="5"/>
      <c r="F576" s="7"/>
      <c r="G576" s="5"/>
      <c r="H576" s="7"/>
      <c r="I576" s="5"/>
    </row>
    <row r="577">
      <c r="D577" s="7"/>
      <c r="E577" s="5"/>
      <c r="F577" s="7"/>
      <c r="G577" s="5"/>
      <c r="H577" s="7"/>
      <c r="I577" s="5"/>
    </row>
    <row r="578">
      <c r="D578" s="7"/>
      <c r="E578" s="5"/>
      <c r="F578" s="7"/>
      <c r="G578" s="5"/>
      <c r="H578" s="7"/>
      <c r="I578" s="5"/>
    </row>
    <row r="579">
      <c r="D579" s="7"/>
      <c r="E579" s="5"/>
      <c r="F579" s="7"/>
      <c r="G579" s="5"/>
      <c r="H579" s="7"/>
      <c r="I579" s="5"/>
    </row>
    <row r="580">
      <c r="D580" s="7"/>
      <c r="E580" s="5"/>
      <c r="F580" s="7"/>
      <c r="G580" s="5"/>
      <c r="H580" s="7"/>
      <c r="I580" s="5"/>
    </row>
    <row r="581">
      <c r="D581" s="7"/>
      <c r="E581" s="5"/>
      <c r="F581" s="7"/>
      <c r="G581" s="5"/>
      <c r="H581" s="7"/>
      <c r="I581" s="5"/>
    </row>
    <row r="582">
      <c r="D582" s="7"/>
      <c r="E582" s="5"/>
      <c r="F582" s="7"/>
      <c r="G582" s="5"/>
      <c r="H582" s="7"/>
      <c r="I582" s="5"/>
    </row>
    <row r="583">
      <c r="D583" s="7"/>
      <c r="E583" s="5"/>
      <c r="F583" s="7"/>
      <c r="G583" s="5"/>
      <c r="H583" s="7"/>
      <c r="I583" s="5"/>
    </row>
    <row r="584">
      <c r="D584" s="7"/>
      <c r="E584" s="5"/>
      <c r="F584" s="7"/>
      <c r="G584" s="5"/>
      <c r="H584" s="7"/>
      <c r="I584" s="5"/>
    </row>
    <row r="585">
      <c r="D585" s="7"/>
      <c r="E585" s="5"/>
      <c r="F585" s="7"/>
      <c r="G585" s="5"/>
      <c r="H585" s="7"/>
      <c r="I585" s="5"/>
    </row>
    <row r="586">
      <c r="D586" s="7"/>
      <c r="E586" s="5"/>
      <c r="F586" s="7"/>
      <c r="G586" s="5"/>
      <c r="H586" s="7"/>
      <c r="I586" s="5"/>
    </row>
    <row r="587">
      <c r="D587" s="7"/>
      <c r="E587" s="5"/>
      <c r="F587" s="7"/>
      <c r="G587" s="5"/>
      <c r="H587" s="7"/>
      <c r="I587" s="5"/>
    </row>
    <row r="588">
      <c r="D588" s="7"/>
      <c r="E588" s="5"/>
      <c r="F588" s="7"/>
      <c r="G588" s="5"/>
      <c r="H588" s="7"/>
      <c r="I588" s="5"/>
    </row>
    <row r="589">
      <c r="D589" s="7"/>
      <c r="E589" s="5"/>
      <c r="F589" s="7"/>
      <c r="G589" s="5"/>
      <c r="H589" s="7"/>
      <c r="I589" s="5"/>
    </row>
    <row r="590">
      <c r="D590" s="7"/>
      <c r="E590" s="5"/>
      <c r="F590" s="7"/>
      <c r="G590" s="5"/>
      <c r="H590" s="7"/>
      <c r="I590" s="5"/>
    </row>
    <row r="591">
      <c r="D591" s="7"/>
      <c r="E591" s="5"/>
      <c r="F591" s="7"/>
      <c r="G591" s="5"/>
      <c r="H591" s="7"/>
      <c r="I591" s="5"/>
    </row>
    <row r="592">
      <c r="D592" s="7"/>
      <c r="E592" s="5"/>
      <c r="F592" s="7"/>
      <c r="G592" s="5"/>
      <c r="H592" s="7"/>
      <c r="I592" s="5"/>
    </row>
    <row r="593">
      <c r="D593" s="7"/>
      <c r="E593" s="5"/>
      <c r="F593" s="7"/>
      <c r="G593" s="5"/>
      <c r="H593" s="7"/>
      <c r="I593" s="5"/>
    </row>
    <row r="594">
      <c r="D594" s="7"/>
      <c r="E594" s="5"/>
      <c r="F594" s="7"/>
      <c r="G594" s="5"/>
      <c r="H594" s="7"/>
      <c r="I594" s="5"/>
    </row>
    <row r="595">
      <c r="D595" s="7"/>
      <c r="E595" s="5"/>
      <c r="F595" s="7"/>
      <c r="G595" s="5"/>
      <c r="H595" s="7"/>
      <c r="I595" s="5"/>
    </row>
    <row r="596">
      <c r="D596" s="7"/>
      <c r="E596" s="5"/>
      <c r="F596" s="7"/>
      <c r="G596" s="5"/>
      <c r="H596" s="7"/>
      <c r="I596" s="5"/>
    </row>
    <row r="597">
      <c r="D597" s="7"/>
      <c r="E597" s="5"/>
      <c r="F597" s="7"/>
      <c r="G597" s="5"/>
      <c r="H597" s="7"/>
      <c r="I597" s="5"/>
    </row>
    <row r="598">
      <c r="D598" s="7"/>
      <c r="E598" s="5"/>
      <c r="F598" s="7"/>
      <c r="G598" s="5"/>
      <c r="H598" s="7"/>
      <c r="I598" s="5"/>
    </row>
    <row r="599">
      <c r="D599" s="7"/>
      <c r="E599" s="5"/>
      <c r="F599" s="7"/>
      <c r="G599" s="5"/>
      <c r="H599" s="7"/>
      <c r="I599" s="5"/>
    </row>
    <row r="600">
      <c r="D600" s="7"/>
      <c r="E600" s="5"/>
      <c r="F600" s="7"/>
      <c r="G600" s="5"/>
      <c r="H600" s="7"/>
      <c r="I600" s="5"/>
    </row>
    <row r="601">
      <c r="D601" s="7"/>
      <c r="E601" s="5"/>
      <c r="F601" s="7"/>
      <c r="G601" s="5"/>
      <c r="H601" s="7"/>
      <c r="I601" s="5"/>
    </row>
    <row r="602">
      <c r="D602" s="7"/>
      <c r="E602" s="5"/>
      <c r="F602" s="7"/>
      <c r="G602" s="5"/>
      <c r="H602" s="7"/>
      <c r="I602" s="5"/>
    </row>
    <row r="603">
      <c r="D603" s="7"/>
      <c r="E603" s="5"/>
      <c r="F603" s="7"/>
      <c r="G603" s="5"/>
      <c r="H603" s="7"/>
      <c r="I603" s="5"/>
    </row>
    <row r="604">
      <c r="D604" s="7"/>
      <c r="E604" s="5"/>
      <c r="F604" s="7"/>
      <c r="G604" s="5"/>
      <c r="H604" s="7"/>
      <c r="I604" s="5"/>
    </row>
    <row r="605">
      <c r="D605" s="7"/>
      <c r="E605" s="5"/>
      <c r="F605" s="7"/>
      <c r="G605" s="5"/>
      <c r="H605" s="7"/>
      <c r="I605" s="5"/>
    </row>
    <row r="606">
      <c r="D606" s="7"/>
      <c r="E606" s="5"/>
      <c r="F606" s="7"/>
      <c r="G606" s="5"/>
      <c r="H606" s="7"/>
      <c r="I606" s="5"/>
    </row>
    <row r="607">
      <c r="D607" s="7"/>
      <c r="E607" s="5"/>
      <c r="F607" s="7"/>
      <c r="G607" s="5"/>
      <c r="H607" s="7"/>
      <c r="I607" s="5"/>
    </row>
    <row r="608">
      <c r="D608" s="7"/>
      <c r="E608" s="5"/>
      <c r="F608" s="7"/>
      <c r="G608" s="5"/>
      <c r="H608" s="7"/>
      <c r="I608" s="5"/>
    </row>
    <row r="609">
      <c r="D609" s="7"/>
      <c r="E609" s="5"/>
      <c r="F609" s="7"/>
      <c r="G609" s="5"/>
      <c r="H609" s="7"/>
      <c r="I609" s="5"/>
    </row>
    <row r="610">
      <c r="D610" s="7"/>
      <c r="E610" s="5"/>
      <c r="F610" s="7"/>
      <c r="G610" s="5"/>
      <c r="H610" s="7"/>
      <c r="I610" s="5"/>
    </row>
    <row r="611">
      <c r="D611" s="7"/>
      <c r="E611" s="5"/>
      <c r="F611" s="7"/>
      <c r="G611" s="5"/>
      <c r="H611" s="7"/>
      <c r="I611" s="5"/>
    </row>
    <row r="612">
      <c r="D612" s="7"/>
      <c r="E612" s="5"/>
      <c r="F612" s="7"/>
      <c r="G612" s="5"/>
      <c r="H612" s="7"/>
      <c r="I612" s="5"/>
    </row>
    <row r="613">
      <c r="D613" s="7"/>
      <c r="E613" s="5"/>
      <c r="F613" s="7"/>
      <c r="G613" s="5"/>
      <c r="H613" s="7"/>
      <c r="I613" s="5"/>
    </row>
    <row r="614">
      <c r="D614" s="7"/>
      <c r="E614" s="5"/>
      <c r="F614" s="7"/>
      <c r="G614" s="5"/>
      <c r="H614" s="7"/>
      <c r="I614" s="5"/>
    </row>
    <row r="615">
      <c r="D615" s="7"/>
      <c r="E615" s="5"/>
      <c r="F615" s="7"/>
      <c r="G615" s="5"/>
      <c r="H615" s="7"/>
      <c r="I615" s="5"/>
    </row>
    <row r="616">
      <c r="D616" s="7"/>
      <c r="E616" s="5"/>
      <c r="F616" s="7"/>
      <c r="G616" s="5"/>
      <c r="H616" s="7"/>
      <c r="I616" s="5"/>
    </row>
    <row r="617">
      <c r="D617" s="7"/>
      <c r="E617" s="5"/>
      <c r="F617" s="7"/>
      <c r="G617" s="5"/>
      <c r="H617" s="7"/>
      <c r="I617" s="5"/>
    </row>
    <row r="618">
      <c r="D618" s="7"/>
      <c r="E618" s="5"/>
      <c r="F618" s="7"/>
      <c r="G618" s="5"/>
      <c r="H618" s="7"/>
      <c r="I618" s="5"/>
    </row>
    <row r="619">
      <c r="D619" s="7"/>
      <c r="E619" s="5"/>
      <c r="F619" s="7"/>
      <c r="G619" s="5"/>
      <c r="H619" s="7"/>
      <c r="I619" s="5"/>
    </row>
    <row r="620">
      <c r="D620" s="7"/>
      <c r="E620" s="5"/>
      <c r="F620" s="7"/>
      <c r="G620" s="5"/>
      <c r="H620" s="7"/>
      <c r="I620" s="5"/>
    </row>
    <row r="621">
      <c r="D621" s="7"/>
      <c r="E621" s="5"/>
      <c r="F621" s="7"/>
      <c r="G621" s="5"/>
      <c r="H621" s="7"/>
      <c r="I621" s="5"/>
    </row>
    <row r="622">
      <c r="D622" s="7"/>
      <c r="E622" s="5"/>
      <c r="F622" s="7"/>
      <c r="G622" s="5"/>
      <c r="H622" s="7"/>
      <c r="I622" s="5"/>
    </row>
    <row r="623">
      <c r="D623" s="7"/>
      <c r="E623" s="5"/>
      <c r="F623" s="7"/>
      <c r="G623" s="5"/>
      <c r="H623" s="7"/>
      <c r="I623" s="5"/>
    </row>
    <row r="624">
      <c r="D624" s="7"/>
      <c r="E624" s="5"/>
      <c r="F624" s="7"/>
      <c r="G624" s="5"/>
      <c r="H624" s="7"/>
      <c r="I624" s="5"/>
    </row>
    <row r="625">
      <c r="D625" s="7"/>
      <c r="E625" s="5"/>
      <c r="F625" s="7"/>
      <c r="G625" s="5"/>
      <c r="H625" s="7"/>
      <c r="I625" s="5"/>
    </row>
    <row r="626">
      <c r="D626" s="7"/>
      <c r="E626" s="5"/>
      <c r="F626" s="7"/>
      <c r="G626" s="5"/>
      <c r="H626" s="7"/>
      <c r="I626" s="5"/>
    </row>
    <row r="627">
      <c r="D627" s="7"/>
      <c r="E627" s="5"/>
      <c r="F627" s="7"/>
      <c r="G627" s="5"/>
      <c r="H627" s="7"/>
      <c r="I627" s="5"/>
    </row>
    <row r="628">
      <c r="D628" s="7"/>
      <c r="E628" s="5"/>
      <c r="F628" s="7"/>
      <c r="G628" s="5"/>
      <c r="H628" s="7"/>
      <c r="I628" s="5"/>
    </row>
    <row r="629">
      <c r="D629" s="7"/>
      <c r="E629" s="5"/>
      <c r="F629" s="7"/>
      <c r="G629" s="5"/>
      <c r="H629" s="7"/>
      <c r="I629" s="5"/>
    </row>
    <row r="630">
      <c r="D630" s="7"/>
      <c r="E630" s="5"/>
      <c r="F630" s="7"/>
      <c r="G630" s="5"/>
      <c r="H630" s="7"/>
      <c r="I630" s="5"/>
    </row>
    <row r="631">
      <c r="D631" s="7"/>
      <c r="E631" s="5"/>
      <c r="F631" s="7"/>
      <c r="G631" s="5"/>
      <c r="H631" s="7"/>
      <c r="I631" s="5"/>
    </row>
    <row r="632">
      <c r="D632" s="7"/>
      <c r="E632" s="5"/>
      <c r="F632" s="7"/>
      <c r="G632" s="5"/>
      <c r="H632" s="7"/>
      <c r="I632" s="5"/>
    </row>
    <row r="633">
      <c r="D633" s="7"/>
      <c r="E633" s="5"/>
      <c r="F633" s="7"/>
      <c r="G633" s="5"/>
      <c r="H633" s="7"/>
      <c r="I633" s="5"/>
    </row>
    <row r="634">
      <c r="D634" s="7"/>
      <c r="E634" s="5"/>
      <c r="F634" s="7"/>
      <c r="G634" s="5"/>
      <c r="H634" s="7"/>
      <c r="I634" s="5"/>
    </row>
    <row r="635">
      <c r="D635" s="7"/>
      <c r="E635" s="5"/>
      <c r="F635" s="7"/>
      <c r="G635" s="5"/>
      <c r="H635" s="7"/>
      <c r="I635" s="5"/>
    </row>
    <row r="636">
      <c r="D636" s="7"/>
      <c r="E636" s="5"/>
      <c r="F636" s="7"/>
      <c r="G636" s="5"/>
      <c r="H636" s="7"/>
      <c r="I636" s="5"/>
    </row>
    <row r="637">
      <c r="D637" s="7"/>
      <c r="E637" s="5"/>
      <c r="F637" s="7"/>
      <c r="G637" s="5"/>
      <c r="H637" s="7"/>
      <c r="I637" s="5"/>
    </row>
    <row r="638">
      <c r="D638" s="7"/>
      <c r="E638" s="5"/>
      <c r="F638" s="7"/>
      <c r="G638" s="5"/>
      <c r="H638" s="7"/>
      <c r="I638" s="5"/>
    </row>
    <row r="639">
      <c r="D639" s="7"/>
      <c r="E639" s="5"/>
      <c r="F639" s="7"/>
      <c r="G639" s="5"/>
      <c r="H639" s="7"/>
      <c r="I639" s="5"/>
    </row>
    <row r="640">
      <c r="D640" s="7"/>
      <c r="E640" s="5"/>
      <c r="F640" s="7"/>
      <c r="G640" s="5"/>
      <c r="H640" s="7"/>
      <c r="I640" s="5"/>
    </row>
    <row r="641">
      <c r="D641" s="7"/>
      <c r="E641" s="5"/>
      <c r="F641" s="7"/>
      <c r="G641" s="5"/>
      <c r="H641" s="7"/>
      <c r="I641" s="5"/>
    </row>
    <row r="642">
      <c r="D642" s="7"/>
      <c r="E642" s="5"/>
      <c r="F642" s="7"/>
      <c r="G642" s="5"/>
      <c r="H642" s="7"/>
      <c r="I642" s="5"/>
    </row>
    <row r="643">
      <c r="D643" s="7"/>
      <c r="E643" s="5"/>
      <c r="F643" s="7"/>
      <c r="G643" s="5"/>
      <c r="H643" s="7"/>
      <c r="I643" s="5"/>
    </row>
    <row r="644">
      <c r="D644" s="7"/>
      <c r="E644" s="5"/>
      <c r="F644" s="7"/>
      <c r="G644" s="5"/>
      <c r="H644" s="7"/>
      <c r="I644" s="5"/>
    </row>
    <row r="645">
      <c r="D645" s="7"/>
      <c r="E645" s="5"/>
      <c r="F645" s="7"/>
      <c r="G645" s="5"/>
      <c r="H645" s="7"/>
      <c r="I645" s="5"/>
    </row>
    <row r="646">
      <c r="D646" s="7"/>
      <c r="E646" s="5"/>
      <c r="F646" s="7"/>
      <c r="G646" s="5"/>
      <c r="H646" s="7"/>
      <c r="I646" s="5"/>
    </row>
    <row r="647">
      <c r="D647" s="7"/>
      <c r="E647" s="5"/>
      <c r="F647" s="7"/>
      <c r="G647" s="5"/>
      <c r="H647" s="7"/>
      <c r="I647" s="5"/>
    </row>
    <row r="648">
      <c r="D648" s="7"/>
      <c r="E648" s="5"/>
      <c r="F648" s="7"/>
      <c r="G648" s="5"/>
      <c r="H648" s="7"/>
      <c r="I648" s="5"/>
    </row>
    <row r="649">
      <c r="D649" s="7"/>
      <c r="E649" s="5"/>
      <c r="F649" s="7"/>
      <c r="G649" s="5"/>
      <c r="H649" s="7"/>
      <c r="I649" s="5"/>
    </row>
    <row r="650">
      <c r="D650" s="7"/>
      <c r="E650" s="5"/>
      <c r="F650" s="7"/>
      <c r="G650" s="5"/>
      <c r="H650" s="7"/>
      <c r="I650" s="5"/>
    </row>
    <row r="651">
      <c r="D651" s="7"/>
      <c r="E651" s="5"/>
      <c r="F651" s="7"/>
      <c r="G651" s="5"/>
      <c r="H651" s="7"/>
      <c r="I651" s="5"/>
    </row>
    <row r="652">
      <c r="D652" s="7"/>
      <c r="E652" s="5"/>
      <c r="F652" s="7"/>
      <c r="G652" s="5"/>
      <c r="H652" s="7"/>
      <c r="I652" s="5"/>
    </row>
    <row r="653">
      <c r="D653" s="7"/>
      <c r="E653" s="5"/>
      <c r="F653" s="7"/>
      <c r="G653" s="5"/>
      <c r="H653" s="7"/>
      <c r="I653" s="5"/>
    </row>
    <row r="654">
      <c r="D654" s="7"/>
      <c r="E654" s="5"/>
      <c r="F654" s="7"/>
      <c r="G654" s="5"/>
      <c r="H654" s="7"/>
      <c r="I654" s="5"/>
    </row>
    <row r="655">
      <c r="D655" s="7"/>
      <c r="E655" s="5"/>
      <c r="F655" s="7"/>
      <c r="G655" s="5"/>
      <c r="H655" s="7"/>
      <c r="I655" s="5"/>
    </row>
    <row r="656">
      <c r="D656" s="7"/>
      <c r="E656" s="5"/>
      <c r="F656" s="7"/>
      <c r="G656" s="5"/>
      <c r="H656" s="7"/>
      <c r="I656" s="5"/>
    </row>
    <row r="657">
      <c r="D657" s="7"/>
      <c r="E657" s="5"/>
      <c r="F657" s="7"/>
      <c r="G657" s="5"/>
      <c r="H657" s="7"/>
      <c r="I657" s="5"/>
    </row>
    <row r="658">
      <c r="D658" s="7"/>
      <c r="E658" s="5"/>
      <c r="F658" s="7"/>
      <c r="G658" s="5"/>
      <c r="H658" s="7"/>
      <c r="I658" s="5"/>
    </row>
    <row r="659">
      <c r="D659" s="7"/>
      <c r="E659" s="5"/>
      <c r="F659" s="7"/>
      <c r="G659" s="5"/>
      <c r="H659" s="7"/>
      <c r="I659" s="5"/>
    </row>
    <row r="660">
      <c r="D660" s="7"/>
      <c r="E660" s="5"/>
      <c r="F660" s="7"/>
      <c r="G660" s="5"/>
      <c r="H660" s="7"/>
      <c r="I660" s="5"/>
    </row>
    <row r="661">
      <c r="D661" s="7"/>
      <c r="E661" s="5"/>
      <c r="F661" s="7"/>
      <c r="G661" s="5"/>
      <c r="H661" s="7"/>
      <c r="I661" s="5"/>
    </row>
    <row r="662">
      <c r="D662" s="7"/>
      <c r="E662" s="5"/>
      <c r="F662" s="7"/>
      <c r="G662" s="5"/>
      <c r="H662" s="7"/>
      <c r="I662" s="5"/>
    </row>
    <row r="663">
      <c r="D663" s="7"/>
      <c r="E663" s="5"/>
      <c r="F663" s="7"/>
      <c r="G663" s="5"/>
      <c r="H663" s="7"/>
      <c r="I663" s="5"/>
    </row>
    <row r="664">
      <c r="D664" s="7"/>
      <c r="E664" s="5"/>
      <c r="F664" s="7"/>
      <c r="G664" s="5"/>
      <c r="H664" s="7"/>
      <c r="I664" s="5"/>
    </row>
    <row r="665">
      <c r="D665" s="7"/>
      <c r="E665" s="5"/>
      <c r="F665" s="7"/>
      <c r="G665" s="5"/>
      <c r="H665" s="7"/>
      <c r="I665" s="5"/>
    </row>
    <row r="666">
      <c r="D666" s="7"/>
      <c r="E666" s="5"/>
      <c r="F666" s="7"/>
      <c r="G666" s="5"/>
      <c r="H666" s="7"/>
      <c r="I666" s="5"/>
    </row>
    <row r="667">
      <c r="D667" s="7"/>
      <c r="E667" s="5"/>
      <c r="F667" s="7"/>
      <c r="G667" s="5"/>
      <c r="H667" s="7"/>
      <c r="I667" s="5"/>
    </row>
    <row r="668">
      <c r="D668" s="7"/>
      <c r="E668" s="5"/>
      <c r="F668" s="7"/>
      <c r="G668" s="5"/>
      <c r="H668" s="7"/>
      <c r="I668" s="5"/>
    </row>
    <row r="669">
      <c r="D669" s="7"/>
      <c r="E669" s="5"/>
      <c r="F669" s="7"/>
      <c r="G669" s="5"/>
      <c r="H669" s="7"/>
      <c r="I669" s="5"/>
    </row>
    <row r="670">
      <c r="D670" s="7"/>
      <c r="E670" s="5"/>
      <c r="F670" s="7"/>
      <c r="G670" s="5"/>
      <c r="H670" s="7"/>
      <c r="I670" s="5"/>
    </row>
    <row r="671">
      <c r="D671" s="7"/>
      <c r="E671" s="5"/>
      <c r="F671" s="7"/>
      <c r="G671" s="5"/>
      <c r="H671" s="7"/>
      <c r="I671" s="5"/>
    </row>
    <row r="672">
      <c r="D672" s="7"/>
      <c r="E672" s="5"/>
      <c r="F672" s="7"/>
      <c r="G672" s="5"/>
      <c r="H672" s="7"/>
      <c r="I672" s="5"/>
    </row>
    <row r="673">
      <c r="D673" s="7"/>
      <c r="E673" s="5"/>
      <c r="F673" s="7"/>
      <c r="G673" s="5"/>
      <c r="H673" s="7"/>
      <c r="I673" s="5"/>
    </row>
    <row r="674">
      <c r="D674" s="7"/>
      <c r="E674" s="5"/>
      <c r="F674" s="7"/>
      <c r="G674" s="5"/>
      <c r="H674" s="7"/>
      <c r="I674" s="5"/>
    </row>
    <row r="675">
      <c r="D675" s="7"/>
      <c r="E675" s="5"/>
      <c r="F675" s="7"/>
      <c r="G675" s="5"/>
      <c r="H675" s="7"/>
      <c r="I675" s="5"/>
    </row>
    <row r="676">
      <c r="D676" s="7"/>
      <c r="E676" s="5"/>
      <c r="F676" s="7"/>
      <c r="G676" s="5"/>
      <c r="H676" s="7"/>
      <c r="I676" s="5"/>
    </row>
    <row r="677">
      <c r="D677" s="7"/>
      <c r="E677" s="5"/>
      <c r="F677" s="7"/>
      <c r="G677" s="5"/>
      <c r="H677" s="7"/>
      <c r="I677" s="5"/>
    </row>
    <row r="678">
      <c r="D678" s="7"/>
      <c r="E678" s="5"/>
      <c r="F678" s="7"/>
      <c r="G678" s="5"/>
      <c r="H678" s="7"/>
      <c r="I678" s="5"/>
    </row>
    <row r="679">
      <c r="D679" s="7"/>
      <c r="E679" s="5"/>
      <c r="F679" s="7"/>
      <c r="G679" s="5"/>
      <c r="H679" s="7"/>
      <c r="I679" s="5"/>
    </row>
    <row r="680">
      <c r="D680" s="7"/>
      <c r="E680" s="5"/>
      <c r="F680" s="7"/>
      <c r="G680" s="5"/>
      <c r="H680" s="7"/>
      <c r="I680" s="5"/>
    </row>
    <row r="681">
      <c r="D681" s="7"/>
      <c r="E681" s="5"/>
      <c r="F681" s="7"/>
      <c r="G681" s="5"/>
      <c r="H681" s="7"/>
      <c r="I681" s="5"/>
    </row>
    <row r="682">
      <c r="D682" s="7"/>
      <c r="E682" s="5"/>
      <c r="F682" s="7"/>
      <c r="G682" s="5"/>
      <c r="H682" s="7"/>
      <c r="I682" s="5"/>
    </row>
    <row r="683">
      <c r="D683" s="7"/>
      <c r="E683" s="5"/>
      <c r="F683" s="7"/>
      <c r="G683" s="5"/>
      <c r="H683" s="7"/>
      <c r="I683" s="5"/>
    </row>
    <row r="684">
      <c r="D684" s="7"/>
      <c r="E684" s="5"/>
      <c r="F684" s="7"/>
      <c r="G684" s="5"/>
      <c r="H684" s="7"/>
      <c r="I684" s="5"/>
    </row>
    <row r="685">
      <c r="D685" s="7"/>
      <c r="E685" s="5"/>
      <c r="F685" s="7"/>
      <c r="G685" s="5"/>
      <c r="H685" s="7"/>
      <c r="I685" s="5"/>
    </row>
    <row r="686">
      <c r="D686" s="7"/>
      <c r="E686" s="5"/>
      <c r="F686" s="7"/>
      <c r="G686" s="5"/>
      <c r="H686" s="7"/>
      <c r="I686" s="5"/>
    </row>
    <row r="687">
      <c r="D687" s="7"/>
      <c r="E687" s="5"/>
      <c r="F687" s="7"/>
      <c r="G687" s="5"/>
      <c r="H687" s="7"/>
      <c r="I687" s="5"/>
    </row>
    <row r="688">
      <c r="D688" s="7"/>
      <c r="E688" s="5"/>
      <c r="F688" s="7"/>
      <c r="G688" s="5"/>
      <c r="H688" s="7"/>
      <c r="I688" s="5"/>
    </row>
    <row r="689">
      <c r="D689" s="7"/>
      <c r="E689" s="5"/>
      <c r="F689" s="7"/>
      <c r="G689" s="5"/>
      <c r="H689" s="7"/>
      <c r="I689" s="5"/>
    </row>
    <row r="690">
      <c r="D690" s="7"/>
      <c r="E690" s="5"/>
      <c r="F690" s="7"/>
      <c r="G690" s="5"/>
      <c r="H690" s="7"/>
      <c r="I690" s="5"/>
    </row>
    <row r="691">
      <c r="D691" s="7"/>
      <c r="E691" s="5"/>
      <c r="F691" s="7"/>
      <c r="G691" s="5"/>
      <c r="H691" s="7"/>
      <c r="I691" s="5"/>
    </row>
    <row r="692">
      <c r="D692" s="7"/>
      <c r="E692" s="5"/>
      <c r="F692" s="7"/>
      <c r="G692" s="5"/>
      <c r="H692" s="7"/>
      <c r="I692" s="5"/>
    </row>
    <row r="693">
      <c r="D693" s="7"/>
      <c r="E693" s="5"/>
      <c r="F693" s="7"/>
      <c r="G693" s="5"/>
      <c r="H693" s="7"/>
      <c r="I693" s="5"/>
    </row>
    <row r="694">
      <c r="D694" s="7"/>
      <c r="E694" s="5"/>
      <c r="F694" s="7"/>
      <c r="G694" s="5"/>
      <c r="H694" s="7"/>
      <c r="I694" s="5"/>
    </row>
    <row r="695">
      <c r="D695" s="7"/>
      <c r="E695" s="5"/>
      <c r="F695" s="7"/>
      <c r="G695" s="5"/>
      <c r="H695" s="7"/>
      <c r="I695" s="5"/>
    </row>
    <row r="696">
      <c r="D696" s="7"/>
      <c r="E696" s="5"/>
      <c r="F696" s="7"/>
      <c r="G696" s="5"/>
      <c r="H696" s="7"/>
      <c r="I696" s="5"/>
    </row>
    <row r="697">
      <c r="D697" s="7"/>
      <c r="E697" s="5"/>
      <c r="F697" s="7"/>
      <c r="G697" s="5"/>
      <c r="H697" s="7"/>
      <c r="I697" s="5"/>
    </row>
    <row r="698">
      <c r="D698" s="7"/>
      <c r="E698" s="5"/>
      <c r="F698" s="7"/>
      <c r="G698" s="5"/>
      <c r="H698" s="7"/>
      <c r="I698" s="5"/>
    </row>
    <row r="699">
      <c r="D699" s="7"/>
      <c r="E699" s="5"/>
      <c r="F699" s="7"/>
      <c r="G699" s="5"/>
      <c r="H699" s="7"/>
      <c r="I699" s="5"/>
    </row>
    <row r="700">
      <c r="D700" s="7"/>
      <c r="E700" s="5"/>
      <c r="F700" s="7"/>
      <c r="G700" s="5"/>
      <c r="H700" s="7"/>
      <c r="I700" s="5"/>
    </row>
    <row r="701">
      <c r="D701" s="7"/>
      <c r="E701" s="5"/>
      <c r="F701" s="7"/>
      <c r="G701" s="5"/>
      <c r="H701" s="7"/>
      <c r="I701" s="5"/>
    </row>
    <row r="702">
      <c r="D702" s="7"/>
      <c r="E702" s="5"/>
      <c r="F702" s="7"/>
      <c r="G702" s="5"/>
      <c r="H702" s="7"/>
      <c r="I702" s="5"/>
    </row>
    <row r="703">
      <c r="D703" s="7"/>
      <c r="E703" s="5"/>
      <c r="F703" s="7"/>
      <c r="G703" s="5"/>
      <c r="H703" s="7"/>
      <c r="I703" s="5"/>
    </row>
    <row r="704">
      <c r="D704" s="7"/>
      <c r="E704" s="5"/>
      <c r="F704" s="7"/>
      <c r="G704" s="5"/>
      <c r="H704" s="7"/>
      <c r="I704" s="5"/>
    </row>
    <row r="705">
      <c r="D705" s="7"/>
      <c r="E705" s="5"/>
      <c r="F705" s="7"/>
      <c r="G705" s="5"/>
      <c r="H705" s="7"/>
      <c r="I705" s="5"/>
    </row>
    <row r="706">
      <c r="D706" s="7"/>
      <c r="E706" s="5"/>
      <c r="F706" s="7"/>
      <c r="G706" s="5"/>
      <c r="H706" s="7"/>
      <c r="I706" s="5"/>
    </row>
    <row r="707">
      <c r="D707" s="7"/>
      <c r="E707" s="5"/>
      <c r="F707" s="7"/>
      <c r="G707" s="5"/>
      <c r="H707" s="7"/>
      <c r="I707" s="5"/>
    </row>
    <row r="708">
      <c r="D708" s="7"/>
      <c r="E708" s="5"/>
      <c r="F708" s="7"/>
      <c r="G708" s="5"/>
      <c r="H708" s="7"/>
      <c r="I708" s="5"/>
    </row>
    <row r="709">
      <c r="D709" s="7"/>
      <c r="E709" s="5"/>
      <c r="F709" s="7"/>
      <c r="G709" s="5"/>
      <c r="H709" s="7"/>
      <c r="I709" s="5"/>
    </row>
    <row r="710">
      <c r="D710" s="7"/>
      <c r="E710" s="5"/>
      <c r="F710" s="7"/>
      <c r="G710" s="5"/>
      <c r="H710" s="7"/>
      <c r="I710" s="5"/>
    </row>
    <row r="711">
      <c r="D711" s="7"/>
      <c r="E711" s="5"/>
      <c r="F711" s="7"/>
      <c r="G711" s="5"/>
      <c r="H711" s="7"/>
      <c r="I711" s="5"/>
    </row>
    <row r="712">
      <c r="D712" s="7"/>
      <c r="E712" s="5"/>
      <c r="F712" s="7"/>
      <c r="G712" s="5"/>
      <c r="H712" s="7"/>
      <c r="I712" s="5"/>
    </row>
    <row r="713">
      <c r="D713" s="7"/>
      <c r="E713" s="5"/>
      <c r="F713" s="7"/>
      <c r="G713" s="5"/>
      <c r="H713" s="7"/>
      <c r="I713" s="5"/>
    </row>
    <row r="714">
      <c r="D714" s="7"/>
      <c r="E714" s="5"/>
      <c r="F714" s="7"/>
      <c r="G714" s="5"/>
      <c r="H714" s="7"/>
      <c r="I714" s="5"/>
    </row>
    <row r="715">
      <c r="D715" s="7"/>
      <c r="E715" s="5"/>
      <c r="F715" s="7"/>
      <c r="G715" s="5"/>
      <c r="H715" s="7"/>
      <c r="I715" s="5"/>
    </row>
    <row r="716">
      <c r="D716" s="7"/>
      <c r="E716" s="5"/>
      <c r="F716" s="7"/>
      <c r="G716" s="5"/>
      <c r="H716" s="7"/>
      <c r="I716" s="5"/>
    </row>
    <row r="717">
      <c r="D717" s="7"/>
      <c r="E717" s="5"/>
      <c r="F717" s="7"/>
      <c r="G717" s="5"/>
      <c r="H717" s="7"/>
      <c r="I717" s="5"/>
    </row>
    <row r="718">
      <c r="D718" s="7"/>
      <c r="E718" s="5"/>
      <c r="F718" s="7"/>
      <c r="G718" s="5"/>
      <c r="H718" s="7"/>
      <c r="I718" s="5"/>
    </row>
    <row r="719">
      <c r="D719" s="7"/>
      <c r="E719" s="5"/>
      <c r="F719" s="7"/>
      <c r="G719" s="5"/>
      <c r="H719" s="7"/>
      <c r="I719" s="5"/>
    </row>
    <row r="720">
      <c r="D720" s="7"/>
      <c r="E720" s="5"/>
      <c r="F720" s="7"/>
      <c r="G720" s="5"/>
      <c r="H720" s="7"/>
      <c r="I720" s="5"/>
    </row>
    <row r="721">
      <c r="D721" s="7"/>
      <c r="E721" s="5"/>
      <c r="F721" s="7"/>
      <c r="G721" s="5"/>
      <c r="H721" s="7"/>
      <c r="I721" s="5"/>
    </row>
    <row r="722">
      <c r="D722" s="7"/>
      <c r="E722" s="5"/>
      <c r="F722" s="7"/>
      <c r="G722" s="5"/>
      <c r="H722" s="7"/>
      <c r="I722" s="5"/>
    </row>
    <row r="723">
      <c r="D723" s="7"/>
      <c r="E723" s="5"/>
      <c r="F723" s="7"/>
      <c r="G723" s="5"/>
      <c r="H723" s="7"/>
      <c r="I723" s="5"/>
    </row>
    <row r="724">
      <c r="D724" s="7"/>
      <c r="E724" s="5"/>
      <c r="F724" s="7"/>
      <c r="G724" s="5"/>
      <c r="H724" s="7"/>
      <c r="I724" s="5"/>
    </row>
    <row r="725">
      <c r="D725" s="7"/>
      <c r="E725" s="5"/>
      <c r="F725" s="7"/>
      <c r="G725" s="5"/>
      <c r="H725" s="7"/>
      <c r="I725" s="5"/>
    </row>
    <row r="726">
      <c r="D726" s="7"/>
      <c r="E726" s="5"/>
      <c r="F726" s="7"/>
      <c r="G726" s="5"/>
      <c r="H726" s="7"/>
      <c r="I726" s="5"/>
    </row>
    <row r="727">
      <c r="D727" s="7"/>
      <c r="E727" s="5"/>
      <c r="F727" s="7"/>
      <c r="G727" s="5"/>
      <c r="H727" s="7"/>
      <c r="I727" s="5"/>
    </row>
    <row r="728">
      <c r="D728" s="7"/>
      <c r="E728" s="5"/>
      <c r="F728" s="7"/>
      <c r="G728" s="5"/>
      <c r="H728" s="7"/>
      <c r="I728" s="5"/>
    </row>
    <row r="729">
      <c r="D729" s="7"/>
      <c r="E729" s="5"/>
      <c r="F729" s="7"/>
      <c r="G729" s="5"/>
      <c r="H729" s="7"/>
      <c r="I729" s="5"/>
    </row>
    <row r="730">
      <c r="D730" s="7"/>
      <c r="E730" s="5"/>
      <c r="F730" s="7"/>
      <c r="G730" s="5"/>
      <c r="H730" s="7"/>
      <c r="I730" s="5"/>
    </row>
    <row r="731">
      <c r="D731" s="7"/>
      <c r="E731" s="5"/>
      <c r="F731" s="7"/>
      <c r="G731" s="5"/>
      <c r="H731" s="7"/>
      <c r="I731" s="5"/>
    </row>
    <row r="732">
      <c r="D732" s="7"/>
      <c r="E732" s="5"/>
      <c r="F732" s="7"/>
      <c r="G732" s="5"/>
      <c r="H732" s="7"/>
      <c r="I732" s="5"/>
    </row>
    <row r="733">
      <c r="D733" s="7"/>
      <c r="E733" s="5"/>
      <c r="F733" s="7"/>
      <c r="G733" s="5"/>
      <c r="H733" s="7"/>
      <c r="I733" s="5"/>
    </row>
    <row r="734">
      <c r="D734" s="7"/>
      <c r="E734" s="5"/>
      <c r="F734" s="7"/>
      <c r="G734" s="5"/>
      <c r="H734" s="7"/>
      <c r="I734" s="5"/>
    </row>
    <row r="735">
      <c r="D735" s="7"/>
      <c r="E735" s="5"/>
      <c r="F735" s="7"/>
      <c r="G735" s="5"/>
      <c r="H735" s="7"/>
      <c r="I735" s="5"/>
    </row>
    <row r="736">
      <c r="D736" s="7"/>
      <c r="E736" s="5"/>
      <c r="F736" s="7"/>
      <c r="G736" s="5"/>
      <c r="H736" s="7"/>
      <c r="I736" s="5"/>
    </row>
    <row r="737">
      <c r="D737" s="7"/>
      <c r="E737" s="5"/>
      <c r="F737" s="7"/>
      <c r="G737" s="5"/>
      <c r="H737" s="7"/>
      <c r="I737" s="5"/>
    </row>
    <row r="738">
      <c r="D738" s="7"/>
      <c r="E738" s="5"/>
      <c r="F738" s="7"/>
      <c r="G738" s="5"/>
      <c r="H738" s="7"/>
      <c r="I738" s="5"/>
    </row>
    <row r="739">
      <c r="D739" s="7"/>
      <c r="E739" s="5"/>
      <c r="F739" s="7"/>
      <c r="G739" s="5"/>
      <c r="H739" s="7"/>
      <c r="I739" s="5"/>
    </row>
    <row r="740">
      <c r="D740" s="7"/>
      <c r="E740" s="5"/>
      <c r="F740" s="7"/>
      <c r="G740" s="5"/>
      <c r="H740" s="7"/>
      <c r="I740" s="5"/>
    </row>
    <row r="741">
      <c r="D741" s="7"/>
      <c r="E741" s="5"/>
      <c r="F741" s="7"/>
      <c r="G741" s="5"/>
      <c r="H741" s="7"/>
      <c r="I741" s="5"/>
    </row>
    <row r="742">
      <c r="D742" s="7"/>
      <c r="E742" s="5"/>
      <c r="F742" s="7"/>
      <c r="G742" s="5"/>
      <c r="H742" s="7"/>
      <c r="I742" s="5"/>
    </row>
    <row r="743">
      <c r="D743" s="7"/>
      <c r="E743" s="5"/>
      <c r="F743" s="7"/>
      <c r="G743" s="5"/>
      <c r="H743" s="7"/>
      <c r="I743" s="5"/>
    </row>
    <row r="744">
      <c r="D744" s="7"/>
      <c r="E744" s="5"/>
      <c r="F744" s="7"/>
      <c r="G744" s="5"/>
      <c r="H744" s="7"/>
      <c r="I744" s="5"/>
    </row>
    <row r="745">
      <c r="D745" s="7"/>
      <c r="E745" s="5"/>
      <c r="F745" s="7"/>
      <c r="G745" s="5"/>
      <c r="H745" s="7"/>
      <c r="I745" s="5"/>
    </row>
    <row r="746">
      <c r="D746" s="7"/>
      <c r="E746" s="5"/>
      <c r="F746" s="7"/>
      <c r="G746" s="5"/>
      <c r="H746" s="7"/>
      <c r="I746" s="5"/>
    </row>
    <row r="747">
      <c r="D747" s="7"/>
      <c r="E747" s="5"/>
      <c r="F747" s="7"/>
      <c r="G747" s="5"/>
      <c r="H747" s="7"/>
      <c r="I747" s="5"/>
    </row>
    <row r="748">
      <c r="D748" s="7"/>
      <c r="E748" s="5"/>
      <c r="F748" s="7"/>
      <c r="G748" s="5"/>
      <c r="H748" s="7"/>
      <c r="I748" s="5"/>
    </row>
    <row r="749">
      <c r="D749" s="7"/>
      <c r="E749" s="5"/>
      <c r="F749" s="7"/>
      <c r="G749" s="5"/>
      <c r="H749" s="7"/>
      <c r="I749" s="5"/>
    </row>
    <row r="750">
      <c r="D750" s="7"/>
      <c r="E750" s="5"/>
      <c r="F750" s="7"/>
      <c r="G750" s="5"/>
      <c r="H750" s="7"/>
      <c r="I750" s="5"/>
    </row>
    <row r="751">
      <c r="D751" s="7"/>
      <c r="E751" s="5"/>
      <c r="F751" s="7"/>
      <c r="G751" s="5"/>
      <c r="H751" s="7"/>
      <c r="I751" s="5"/>
    </row>
    <row r="752">
      <c r="D752" s="7"/>
      <c r="E752" s="5"/>
      <c r="F752" s="7"/>
      <c r="G752" s="5"/>
      <c r="H752" s="7"/>
      <c r="I752" s="5"/>
    </row>
    <row r="753">
      <c r="D753" s="7"/>
      <c r="E753" s="5"/>
      <c r="F753" s="7"/>
      <c r="G753" s="5"/>
      <c r="H753" s="7"/>
      <c r="I753" s="5"/>
    </row>
    <row r="754">
      <c r="D754" s="7"/>
      <c r="E754" s="5"/>
      <c r="F754" s="7"/>
      <c r="G754" s="5"/>
      <c r="H754" s="7"/>
      <c r="I754" s="5"/>
    </row>
    <row r="755">
      <c r="D755" s="7"/>
      <c r="E755" s="5"/>
      <c r="F755" s="7"/>
      <c r="G755" s="5"/>
      <c r="H755" s="7"/>
      <c r="I755" s="5"/>
    </row>
    <row r="756">
      <c r="D756" s="7"/>
      <c r="E756" s="5"/>
      <c r="F756" s="7"/>
      <c r="G756" s="5"/>
      <c r="H756" s="7"/>
      <c r="I756" s="5"/>
    </row>
    <row r="757">
      <c r="D757" s="7"/>
      <c r="E757" s="5"/>
      <c r="F757" s="7"/>
      <c r="G757" s="5"/>
      <c r="H757" s="7"/>
      <c r="I757" s="5"/>
    </row>
    <row r="758">
      <c r="D758" s="7"/>
      <c r="E758" s="5"/>
      <c r="F758" s="7"/>
      <c r="G758" s="5"/>
      <c r="H758" s="7"/>
      <c r="I758" s="5"/>
    </row>
    <row r="759">
      <c r="D759" s="7"/>
      <c r="E759" s="5"/>
      <c r="F759" s="7"/>
      <c r="G759" s="5"/>
      <c r="H759" s="7"/>
      <c r="I759" s="5"/>
    </row>
    <row r="760">
      <c r="D760" s="7"/>
      <c r="E760" s="5"/>
      <c r="F760" s="7"/>
      <c r="G760" s="5"/>
      <c r="H760" s="7"/>
      <c r="I760" s="5"/>
    </row>
    <row r="761">
      <c r="D761" s="7"/>
      <c r="E761" s="5"/>
      <c r="F761" s="7"/>
      <c r="G761" s="5"/>
      <c r="H761" s="7"/>
      <c r="I761" s="5"/>
    </row>
    <row r="762">
      <c r="D762" s="7"/>
      <c r="E762" s="5"/>
      <c r="F762" s="7"/>
      <c r="G762" s="5"/>
      <c r="H762" s="7"/>
      <c r="I762" s="5"/>
    </row>
    <row r="763">
      <c r="D763" s="7"/>
      <c r="E763" s="5"/>
      <c r="F763" s="7"/>
      <c r="G763" s="5"/>
      <c r="H763" s="7"/>
      <c r="I763" s="5"/>
    </row>
    <row r="764">
      <c r="D764" s="7"/>
      <c r="E764" s="5"/>
      <c r="F764" s="7"/>
      <c r="G764" s="5"/>
      <c r="H764" s="7"/>
      <c r="I764" s="5"/>
    </row>
    <row r="765">
      <c r="D765" s="7"/>
      <c r="E765" s="5"/>
      <c r="F765" s="7"/>
      <c r="G765" s="5"/>
      <c r="H765" s="7"/>
      <c r="I765" s="5"/>
    </row>
    <row r="766">
      <c r="D766" s="7"/>
      <c r="E766" s="5"/>
      <c r="F766" s="7"/>
      <c r="G766" s="5"/>
      <c r="H766" s="7"/>
      <c r="I766" s="5"/>
    </row>
    <row r="767">
      <c r="D767" s="7"/>
      <c r="E767" s="5"/>
      <c r="F767" s="7"/>
      <c r="G767" s="5"/>
      <c r="H767" s="7"/>
      <c r="I767" s="5"/>
    </row>
    <row r="768">
      <c r="D768" s="7"/>
      <c r="E768" s="5"/>
      <c r="F768" s="7"/>
      <c r="G768" s="5"/>
      <c r="H768" s="7"/>
      <c r="I768" s="5"/>
    </row>
    <row r="769">
      <c r="D769" s="7"/>
      <c r="E769" s="5"/>
      <c r="F769" s="7"/>
      <c r="G769" s="5"/>
      <c r="H769" s="7"/>
      <c r="I769" s="5"/>
    </row>
    <row r="770">
      <c r="D770" s="7"/>
      <c r="E770" s="5"/>
      <c r="F770" s="7"/>
      <c r="G770" s="5"/>
      <c r="H770" s="7"/>
      <c r="I770" s="5"/>
    </row>
    <row r="771">
      <c r="D771" s="7"/>
      <c r="E771" s="5"/>
      <c r="F771" s="7"/>
      <c r="G771" s="5"/>
      <c r="H771" s="7"/>
      <c r="I771" s="5"/>
    </row>
    <row r="772">
      <c r="D772" s="7"/>
      <c r="E772" s="5"/>
      <c r="F772" s="7"/>
      <c r="G772" s="5"/>
      <c r="H772" s="7"/>
      <c r="I772" s="5"/>
    </row>
    <row r="773">
      <c r="D773" s="7"/>
      <c r="E773" s="5"/>
      <c r="F773" s="7"/>
      <c r="G773" s="5"/>
      <c r="H773" s="7"/>
      <c r="I773" s="5"/>
    </row>
    <row r="774">
      <c r="D774" s="7"/>
      <c r="E774" s="5"/>
      <c r="F774" s="7"/>
      <c r="G774" s="5"/>
      <c r="H774" s="7"/>
      <c r="I774" s="5"/>
    </row>
    <row r="775">
      <c r="D775" s="7"/>
      <c r="E775" s="5"/>
      <c r="F775" s="7"/>
      <c r="G775" s="5"/>
      <c r="H775" s="7"/>
      <c r="I775" s="5"/>
    </row>
    <row r="776">
      <c r="D776" s="7"/>
      <c r="E776" s="5"/>
      <c r="F776" s="7"/>
      <c r="G776" s="5"/>
      <c r="H776" s="7"/>
      <c r="I776" s="5"/>
    </row>
    <row r="777">
      <c r="D777" s="7"/>
      <c r="E777" s="5"/>
      <c r="F777" s="7"/>
      <c r="G777" s="5"/>
      <c r="H777" s="7"/>
      <c r="I777" s="5"/>
    </row>
    <row r="778">
      <c r="D778" s="7"/>
      <c r="E778" s="5"/>
      <c r="F778" s="7"/>
      <c r="G778" s="5"/>
      <c r="H778" s="7"/>
      <c r="I778" s="5"/>
    </row>
    <row r="779">
      <c r="D779" s="7"/>
      <c r="E779" s="5"/>
      <c r="F779" s="7"/>
      <c r="G779" s="5"/>
      <c r="H779" s="7"/>
      <c r="I779" s="5"/>
    </row>
    <row r="780">
      <c r="D780" s="7"/>
      <c r="E780" s="5"/>
      <c r="F780" s="7"/>
      <c r="G780" s="5"/>
      <c r="H780" s="7"/>
      <c r="I780" s="5"/>
    </row>
    <row r="781">
      <c r="D781" s="7"/>
      <c r="E781" s="5"/>
      <c r="F781" s="7"/>
      <c r="G781" s="5"/>
      <c r="H781" s="7"/>
      <c r="I781" s="5"/>
    </row>
    <row r="782">
      <c r="D782" s="7"/>
      <c r="E782" s="5"/>
      <c r="F782" s="7"/>
      <c r="G782" s="5"/>
      <c r="H782" s="7"/>
      <c r="I782" s="5"/>
    </row>
    <row r="783">
      <c r="D783" s="7"/>
      <c r="E783" s="5"/>
      <c r="F783" s="7"/>
      <c r="G783" s="5"/>
      <c r="H783" s="7"/>
      <c r="I783" s="5"/>
    </row>
    <row r="784">
      <c r="D784" s="7"/>
      <c r="E784" s="5"/>
      <c r="F784" s="7"/>
      <c r="G784" s="5"/>
      <c r="H784" s="7"/>
      <c r="I784" s="5"/>
    </row>
    <row r="785">
      <c r="D785" s="7"/>
      <c r="E785" s="5"/>
      <c r="F785" s="7"/>
      <c r="G785" s="5"/>
      <c r="H785" s="7"/>
      <c r="I785" s="5"/>
    </row>
    <row r="786">
      <c r="D786" s="7"/>
      <c r="E786" s="5"/>
      <c r="F786" s="7"/>
      <c r="G786" s="5"/>
      <c r="H786" s="7"/>
      <c r="I786" s="5"/>
    </row>
    <row r="787">
      <c r="D787" s="7"/>
      <c r="E787" s="5"/>
      <c r="F787" s="7"/>
      <c r="G787" s="5"/>
      <c r="H787" s="7"/>
      <c r="I787" s="5"/>
    </row>
    <row r="788">
      <c r="D788" s="7"/>
      <c r="E788" s="5"/>
      <c r="F788" s="7"/>
      <c r="G788" s="5"/>
      <c r="H788" s="7"/>
      <c r="I788" s="5"/>
    </row>
    <row r="789">
      <c r="D789" s="7"/>
      <c r="E789" s="5"/>
      <c r="F789" s="7"/>
      <c r="G789" s="5"/>
      <c r="H789" s="7"/>
      <c r="I789" s="5"/>
    </row>
    <row r="790">
      <c r="D790" s="7"/>
      <c r="E790" s="5"/>
      <c r="F790" s="7"/>
      <c r="G790" s="5"/>
      <c r="H790" s="7"/>
      <c r="I790" s="5"/>
    </row>
    <row r="791">
      <c r="D791" s="7"/>
      <c r="E791" s="5"/>
      <c r="F791" s="7"/>
      <c r="G791" s="5"/>
      <c r="H791" s="7"/>
      <c r="I791" s="5"/>
    </row>
    <row r="792">
      <c r="D792" s="7"/>
      <c r="E792" s="5"/>
      <c r="F792" s="7"/>
      <c r="G792" s="5"/>
      <c r="H792" s="7"/>
      <c r="I792" s="5"/>
    </row>
    <row r="793">
      <c r="D793" s="7"/>
      <c r="E793" s="5"/>
      <c r="F793" s="7"/>
      <c r="G793" s="5"/>
      <c r="H793" s="7"/>
      <c r="I793" s="5"/>
    </row>
    <row r="794">
      <c r="D794" s="7"/>
      <c r="E794" s="5"/>
      <c r="F794" s="7"/>
      <c r="G794" s="5"/>
      <c r="H794" s="7"/>
      <c r="I794" s="5"/>
    </row>
    <row r="795">
      <c r="D795" s="7"/>
      <c r="E795" s="5"/>
      <c r="F795" s="7"/>
      <c r="G795" s="5"/>
      <c r="H795" s="7"/>
      <c r="I795" s="5"/>
    </row>
    <row r="796">
      <c r="D796" s="7"/>
      <c r="E796" s="5"/>
      <c r="F796" s="7"/>
      <c r="G796" s="5"/>
      <c r="H796" s="7"/>
      <c r="I796" s="5"/>
    </row>
    <row r="797">
      <c r="D797" s="7"/>
      <c r="E797" s="5"/>
      <c r="F797" s="7"/>
      <c r="G797" s="5"/>
      <c r="H797" s="7"/>
      <c r="I797" s="5"/>
    </row>
    <row r="798">
      <c r="D798" s="7"/>
      <c r="E798" s="5"/>
      <c r="F798" s="7"/>
      <c r="G798" s="5"/>
      <c r="H798" s="7"/>
      <c r="I798" s="5"/>
    </row>
    <row r="799">
      <c r="D799" s="7"/>
      <c r="E799" s="5"/>
      <c r="F799" s="7"/>
      <c r="G799" s="5"/>
      <c r="H799" s="7"/>
      <c r="I799" s="5"/>
    </row>
    <row r="800">
      <c r="D800" s="7"/>
      <c r="E800" s="5"/>
      <c r="F800" s="7"/>
      <c r="G800" s="5"/>
      <c r="H800" s="7"/>
      <c r="I800" s="5"/>
    </row>
    <row r="801">
      <c r="D801" s="7"/>
      <c r="E801" s="5"/>
      <c r="F801" s="7"/>
      <c r="G801" s="5"/>
      <c r="H801" s="7"/>
      <c r="I801" s="5"/>
    </row>
    <row r="802">
      <c r="D802" s="7"/>
      <c r="E802" s="5"/>
      <c r="F802" s="7"/>
      <c r="G802" s="5"/>
      <c r="H802" s="7"/>
      <c r="I802" s="5"/>
    </row>
    <row r="803">
      <c r="D803" s="7"/>
      <c r="E803" s="5"/>
      <c r="F803" s="7"/>
      <c r="G803" s="5"/>
      <c r="H803" s="7"/>
      <c r="I803" s="5"/>
    </row>
    <row r="804">
      <c r="D804" s="7"/>
      <c r="E804" s="5"/>
      <c r="F804" s="7"/>
      <c r="G804" s="5"/>
      <c r="H804" s="7"/>
      <c r="I804" s="5"/>
    </row>
    <row r="805">
      <c r="D805" s="7"/>
      <c r="E805" s="5"/>
      <c r="F805" s="7"/>
      <c r="G805" s="5"/>
      <c r="H805" s="7"/>
      <c r="I805" s="5"/>
    </row>
    <row r="806">
      <c r="D806" s="7"/>
      <c r="E806" s="5"/>
      <c r="F806" s="7"/>
      <c r="G806" s="5"/>
      <c r="H806" s="7"/>
      <c r="I806" s="5"/>
    </row>
    <row r="807">
      <c r="D807" s="7"/>
      <c r="E807" s="5"/>
      <c r="F807" s="7"/>
      <c r="G807" s="5"/>
      <c r="H807" s="7"/>
      <c r="I807" s="5"/>
    </row>
    <row r="808">
      <c r="D808" s="7"/>
      <c r="E808" s="5"/>
      <c r="F808" s="7"/>
      <c r="G808" s="5"/>
      <c r="H808" s="7"/>
      <c r="I808" s="5"/>
    </row>
    <row r="809">
      <c r="D809" s="7"/>
      <c r="E809" s="5"/>
      <c r="F809" s="7"/>
      <c r="G809" s="5"/>
      <c r="H809" s="7"/>
      <c r="I809" s="5"/>
    </row>
    <row r="810">
      <c r="D810" s="7"/>
      <c r="E810" s="5"/>
      <c r="F810" s="7"/>
      <c r="G810" s="5"/>
      <c r="H810" s="7"/>
      <c r="I810" s="5"/>
    </row>
    <row r="811">
      <c r="D811" s="7"/>
      <c r="E811" s="5"/>
      <c r="F811" s="7"/>
      <c r="G811" s="5"/>
      <c r="H811" s="7"/>
      <c r="I811" s="5"/>
    </row>
    <row r="812">
      <c r="D812" s="7"/>
      <c r="E812" s="5"/>
      <c r="F812" s="7"/>
      <c r="G812" s="5"/>
      <c r="H812" s="7"/>
      <c r="I812" s="5"/>
    </row>
    <row r="813">
      <c r="D813" s="7"/>
      <c r="E813" s="5"/>
      <c r="F813" s="7"/>
      <c r="G813" s="5"/>
      <c r="H813" s="7"/>
      <c r="I813" s="5"/>
    </row>
    <row r="814">
      <c r="D814" s="7"/>
      <c r="E814" s="5"/>
      <c r="F814" s="7"/>
      <c r="G814" s="5"/>
      <c r="H814" s="7"/>
      <c r="I814" s="5"/>
    </row>
    <row r="815">
      <c r="D815" s="7"/>
      <c r="E815" s="5"/>
      <c r="F815" s="7"/>
      <c r="G815" s="5"/>
      <c r="H815" s="7"/>
      <c r="I815" s="5"/>
    </row>
    <row r="816">
      <c r="D816" s="7"/>
      <c r="E816" s="5"/>
      <c r="F816" s="7"/>
      <c r="G816" s="5"/>
      <c r="H816" s="7"/>
      <c r="I816" s="5"/>
    </row>
    <row r="817">
      <c r="D817" s="7"/>
      <c r="E817" s="5"/>
      <c r="F817" s="7"/>
      <c r="G817" s="5"/>
      <c r="H817" s="7"/>
      <c r="I817" s="5"/>
    </row>
    <row r="818">
      <c r="D818" s="7"/>
      <c r="E818" s="5"/>
      <c r="F818" s="7"/>
      <c r="G818" s="5"/>
      <c r="H818" s="7"/>
      <c r="I818" s="5"/>
    </row>
    <row r="819">
      <c r="D819" s="7"/>
      <c r="E819" s="5"/>
      <c r="F819" s="7"/>
      <c r="G819" s="5"/>
      <c r="H819" s="7"/>
      <c r="I819" s="5"/>
    </row>
    <row r="820">
      <c r="D820" s="7"/>
      <c r="E820" s="5"/>
      <c r="F820" s="7"/>
      <c r="G820" s="5"/>
      <c r="H820" s="7"/>
      <c r="I820" s="5"/>
    </row>
    <row r="821">
      <c r="D821" s="7"/>
      <c r="E821" s="5"/>
      <c r="F821" s="7"/>
      <c r="G821" s="5"/>
      <c r="H821" s="7"/>
      <c r="I821" s="5"/>
    </row>
    <row r="822">
      <c r="D822" s="7"/>
      <c r="E822" s="5"/>
      <c r="F822" s="7"/>
      <c r="G822" s="5"/>
      <c r="H822" s="7"/>
      <c r="I822" s="5"/>
    </row>
    <row r="823">
      <c r="D823" s="7"/>
      <c r="E823" s="5"/>
      <c r="F823" s="7"/>
      <c r="G823" s="5"/>
      <c r="H823" s="7"/>
      <c r="I823" s="5"/>
    </row>
    <row r="824">
      <c r="D824" s="7"/>
      <c r="E824" s="5"/>
      <c r="F824" s="7"/>
      <c r="G824" s="5"/>
      <c r="H824" s="7"/>
      <c r="I824" s="5"/>
    </row>
    <row r="825">
      <c r="D825" s="7"/>
      <c r="E825" s="5"/>
      <c r="F825" s="7"/>
      <c r="G825" s="5"/>
      <c r="H825" s="7"/>
      <c r="I825" s="5"/>
    </row>
    <row r="826">
      <c r="D826" s="7"/>
      <c r="E826" s="5"/>
      <c r="F826" s="7"/>
      <c r="G826" s="5"/>
      <c r="H826" s="7"/>
      <c r="I826" s="5"/>
    </row>
    <row r="827">
      <c r="D827" s="7"/>
      <c r="E827" s="5"/>
      <c r="F827" s="7"/>
      <c r="G827" s="5"/>
      <c r="H827" s="7"/>
      <c r="I827" s="5"/>
    </row>
    <row r="828">
      <c r="D828" s="7"/>
      <c r="E828" s="5"/>
      <c r="F828" s="7"/>
      <c r="G828" s="5"/>
      <c r="H828" s="7"/>
      <c r="I828" s="5"/>
    </row>
    <row r="829">
      <c r="D829" s="7"/>
      <c r="E829" s="5"/>
      <c r="F829" s="7"/>
      <c r="G829" s="5"/>
      <c r="H829" s="7"/>
      <c r="I829" s="5"/>
    </row>
    <row r="830">
      <c r="D830" s="7"/>
      <c r="E830" s="5"/>
      <c r="F830" s="7"/>
      <c r="G830" s="5"/>
      <c r="H830" s="7"/>
      <c r="I830" s="5"/>
    </row>
    <row r="831">
      <c r="D831" s="7"/>
      <c r="E831" s="5"/>
      <c r="F831" s="7"/>
      <c r="G831" s="5"/>
      <c r="H831" s="7"/>
      <c r="I831" s="5"/>
    </row>
    <row r="832">
      <c r="D832" s="7"/>
      <c r="E832" s="5"/>
      <c r="F832" s="7"/>
      <c r="G832" s="5"/>
      <c r="H832" s="7"/>
      <c r="I832" s="5"/>
    </row>
    <row r="833">
      <c r="D833" s="7"/>
      <c r="E833" s="5"/>
      <c r="F833" s="7"/>
      <c r="G833" s="5"/>
      <c r="H833" s="7"/>
      <c r="I833" s="5"/>
    </row>
    <row r="834">
      <c r="D834" s="7"/>
      <c r="E834" s="5"/>
      <c r="F834" s="7"/>
      <c r="G834" s="5"/>
      <c r="H834" s="7"/>
      <c r="I834" s="5"/>
    </row>
    <row r="835">
      <c r="D835" s="7"/>
      <c r="E835" s="5"/>
      <c r="F835" s="7"/>
      <c r="G835" s="5"/>
      <c r="H835" s="7"/>
      <c r="I835" s="5"/>
    </row>
    <row r="836">
      <c r="D836" s="7"/>
      <c r="E836" s="5"/>
      <c r="F836" s="7"/>
      <c r="G836" s="5"/>
      <c r="H836" s="7"/>
      <c r="I836" s="5"/>
    </row>
    <row r="837">
      <c r="D837" s="7"/>
      <c r="E837" s="5"/>
      <c r="F837" s="7"/>
      <c r="G837" s="5"/>
      <c r="H837" s="7"/>
      <c r="I837" s="5"/>
    </row>
    <row r="838">
      <c r="D838" s="7"/>
      <c r="E838" s="5"/>
      <c r="F838" s="7"/>
      <c r="G838" s="5"/>
      <c r="H838" s="7"/>
      <c r="I838" s="5"/>
    </row>
    <row r="839">
      <c r="D839" s="7"/>
      <c r="E839" s="5"/>
      <c r="F839" s="7"/>
      <c r="G839" s="5"/>
      <c r="H839" s="7"/>
      <c r="I839" s="5"/>
    </row>
    <row r="840">
      <c r="D840" s="7"/>
      <c r="E840" s="5"/>
      <c r="F840" s="7"/>
      <c r="G840" s="5"/>
      <c r="H840" s="7"/>
      <c r="I840" s="5"/>
    </row>
    <row r="841">
      <c r="D841" s="7"/>
      <c r="E841" s="5"/>
      <c r="F841" s="7"/>
      <c r="G841" s="5"/>
      <c r="H841" s="7"/>
      <c r="I841" s="5"/>
    </row>
    <row r="842">
      <c r="D842" s="7"/>
      <c r="E842" s="5"/>
      <c r="F842" s="7"/>
      <c r="G842" s="5"/>
      <c r="H842" s="7"/>
      <c r="I842" s="5"/>
    </row>
    <row r="843">
      <c r="D843" s="7"/>
      <c r="E843" s="5"/>
      <c r="F843" s="7"/>
      <c r="G843" s="5"/>
      <c r="H843" s="7"/>
      <c r="I843" s="5"/>
    </row>
    <row r="844">
      <c r="D844" s="7"/>
      <c r="E844" s="5"/>
      <c r="F844" s="7"/>
      <c r="G844" s="5"/>
      <c r="H844" s="7"/>
      <c r="I844" s="5"/>
    </row>
    <row r="845">
      <c r="D845" s="7"/>
      <c r="E845" s="5"/>
      <c r="F845" s="7"/>
      <c r="G845" s="5"/>
      <c r="H845" s="7"/>
      <c r="I845" s="5"/>
    </row>
    <row r="846">
      <c r="D846" s="7"/>
      <c r="E846" s="5"/>
      <c r="F846" s="7"/>
      <c r="G846" s="5"/>
      <c r="H846" s="7"/>
      <c r="I846" s="5"/>
    </row>
    <row r="847">
      <c r="D847" s="7"/>
      <c r="E847" s="5"/>
      <c r="F847" s="7"/>
      <c r="G847" s="5"/>
      <c r="H847" s="7"/>
      <c r="I847" s="5"/>
    </row>
    <row r="848">
      <c r="D848" s="7"/>
      <c r="E848" s="5"/>
      <c r="F848" s="7"/>
      <c r="G848" s="5"/>
      <c r="H848" s="7"/>
      <c r="I848" s="5"/>
    </row>
    <row r="849">
      <c r="D849" s="7"/>
      <c r="E849" s="5"/>
      <c r="F849" s="7"/>
      <c r="G849" s="5"/>
      <c r="H849" s="7"/>
      <c r="I849" s="5"/>
    </row>
    <row r="850">
      <c r="D850" s="7"/>
      <c r="E850" s="5"/>
      <c r="F850" s="7"/>
      <c r="G850" s="5"/>
      <c r="H850" s="7"/>
      <c r="I850" s="5"/>
    </row>
    <row r="851">
      <c r="D851" s="7"/>
      <c r="E851" s="5"/>
      <c r="F851" s="7"/>
      <c r="G851" s="5"/>
      <c r="H851" s="7"/>
      <c r="I851" s="5"/>
    </row>
    <row r="852">
      <c r="D852" s="7"/>
      <c r="E852" s="5"/>
      <c r="F852" s="7"/>
      <c r="G852" s="5"/>
      <c r="H852" s="7"/>
      <c r="I852" s="5"/>
    </row>
    <row r="853">
      <c r="D853" s="7"/>
      <c r="E853" s="5"/>
      <c r="F853" s="7"/>
      <c r="G853" s="5"/>
      <c r="H853" s="7"/>
      <c r="I853" s="5"/>
    </row>
    <row r="854">
      <c r="D854" s="7"/>
      <c r="E854" s="5"/>
      <c r="F854" s="7"/>
      <c r="G854" s="5"/>
      <c r="H854" s="7"/>
      <c r="I854" s="5"/>
    </row>
    <row r="855">
      <c r="D855" s="7"/>
      <c r="E855" s="5"/>
      <c r="F855" s="7"/>
      <c r="G855" s="5"/>
      <c r="H855" s="7"/>
      <c r="I855" s="5"/>
    </row>
    <row r="856">
      <c r="D856" s="7"/>
      <c r="E856" s="5"/>
      <c r="F856" s="7"/>
      <c r="G856" s="5"/>
      <c r="H856" s="7"/>
      <c r="I856" s="5"/>
    </row>
    <row r="857">
      <c r="D857" s="7"/>
      <c r="E857" s="5"/>
      <c r="F857" s="7"/>
      <c r="G857" s="5"/>
      <c r="H857" s="7"/>
      <c r="I857" s="5"/>
    </row>
    <row r="858">
      <c r="D858" s="7"/>
      <c r="E858" s="5"/>
      <c r="F858" s="7"/>
      <c r="G858" s="5"/>
      <c r="H858" s="7"/>
      <c r="I858" s="5"/>
    </row>
    <row r="859">
      <c r="D859" s="7"/>
      <c r="E859" s="5"/>
      <c r="F859" s="7"/>
      <c r="G859" s="5"/>
      <c r="H859" s="7"/>
      <c r="I859" s="5"/>
    </row>
    <row r="860">
      <c r="D860" s="7"/>
      <c r="E860" s="5"/>
      <c r="F860" s="7"/>
      <c r="G860" s="5"/>
      <c r="H860" s="7"/>
      <c r="I860" s="5"/>
    </row>
    <row r="861">
      <c r="D861" s="7"/>
      <c r="E861" s="5"/>
      <c r="F861" s="7"/>
      <c r="G861" s="5"/>
      <c r="H861" s="7"/>
      <c r="I861" s="5"/>
    </row>
    <row r="862">
      <c r="D862" s="7"/>
      <c r="E862" s="5"/>
      <c r="F862" s="7"/>
      <c r="G862" s="5"/>
      <c r="H862" s="7"/>
      <c r="I862" s="5"/>
    </row>
    <row r="863">
      <c r="D863" s="7"/>
      <c r="E863" s="5"/>
      <c r="F863" s="7"/>
      <c r="G863" s="5"/>
      <c r="H863" s="7"/>
      <c r="I863" s="5"/>
    </row>
    <row r="864">
      <c r="D864" s="7"/>
      <c r="E864" s="5"/>
      <c r="F864" s="7"/>
      <c r="G864" s="5"/>
      <c r="H864" s="7"/>
      <c r="I864" s="5"/>
    </row>
    <row r="865">
      <c r="D865" s="7"/>
      <c r="E865" s="5"/>
      <c r="F865" s="7"/>
      <c r="G865" s="5"/>
      <c r="H865" s="7"/>
      <c r="I865" s="5"/>
    </row>
    <row r="866">
      <c r="D866" s="7"/>
      <c r="E866" s="5"/>
      <c r="F866" s="7"/>
      <c r="G866" s="5"/>
      <c r="H866" s="7"/>
      <c r="I866" s="5"/>
    </row>
    <row r="867">
      <c r="D867" s="7"/>
      <c r="E867" s="5"/>
      <c r="F867" s="7"/>
      <c r="G867" s="5"/>
      <c r="H867" s="7"/>
      <c r="I867" s="5"/>
    </row>
    <row r="868">
      <c r="D868" s="7"/>
      <c r="E868" s="5"/>
      <c r="F868" s="7"/>
      <c r="G868" s="5"/>
      <c r="H868" s="7"/>
      <c r="I868" s="5"/>
    </row>
    <row r="869">
      <c r="D869" s="7"/>
      <c r="E869" s="5"/>
      <c r="F869" s="7"/>
      <c r="G869" s="5"/>
      <c r="H869" s="7"/>
      <c r="I869" s="5"/>
    </row>
    <row r="870">
      <c r="D870" s="7"/>
      <c r="E870" s="5"/>
      <c r="F870" s="7"/>
      <c r="G870" s="5"/>
      <c r="H870" s="7"/>
      <c r="I870" s="5"/>
    </row>
    <row r="871">
      <c r="D871" s="7"/>
      <c r="E871" s="5"/>
      <c r="F871" s="7"/>
      <c r="G871" s="5"/>
      <c r="H871" s="7"/>
      <c r="I871" s="5"/>
    </row>
    <row r="872">
      <c r="D872" s="7"/>
      <c r="E872" s="5"/>
      <c r="F872" s="7"/>
      <c r="G872" s="5"/>
      <c r="H872" s="7"/>
      <c r="I872" s="5"/>
    </row>
    <row r="873">
      <c r="D873" s="7"/>
      <c r="E873" s="5"/>
      <c r="F873" s="7"/>
      <c r="G873" s="5"/>
      <c r="H873" s="7"/>
      <c r="I873" s="5"/>
    </row>
    <row r="874">
      <c r="D874" s="7"/>
      <c r="E874" s="5"/>
      <c r="F874" s="7"/>
      <c r="G874" s="5"/>
      <c r="H874" s="7"/>
      <c r="I874" s="5"/>
    </row>
    <row r="875">
      <c r="D875" s="7"/>
      <c r="E875" s="5"/>
      <c r="F875" s="7"/>
      <c r="G875" s="5"/>
      <c r="H875" s="7"/>
      <c r="I875" s="5"/>
    </row>
    <row r="876">
      <c r="D876" s="7"/>
      <c r="E876" s="5"/>
      <c r="F876" s="7"/>
      <c r="G876" s="5"/>
      <c r="H876" s="7"/>
      <c r="I876" s="5"/>
    </row>
    <row r="877">
      <c r="D877" s="7"/>
      <c r="E877" s="5"/>
      <c r="F877" s="7"/>
      <c r="G877" s="5"/>
      <c r="H877" s="7"/>
      <c r="I877" s="5"/>
    </row>
    <row r="878">
      <c r="D878" s="7"/>
      <c r="E878" s="5"/>
      <c r="F878" s="7"/>
      <c r="G878" s="5"/>
      <c r="H878" s="7"/>
      <c r="I878" s="5"/>
    </row>
    <row r="879">
      <c r="D879" s="7"/>
      <c r="E879" s="5"/>
      <c r="F879" s="7"/>
      <c r="G879" s="5"/>
      <c r="H879" s="7"/>
      <c r="I879" s="5"/>
    </row>
    <row r="880">
      <c r="D880" s="7"/>
      <c r="E880" s="5"/>
      <c r="F880" s="7"/>
      <c r="G880" s="5"/>
      <c r="H880" s="7"/>
      <c r="I880" s="5"/>
    </row>
    <row r="881">
      <c r="D881" s="7"/>
      <c r="E881" s="5"/>
      <c r="F881" s="7"/>
      <c r="G881" s="5"/>
      <c r="H881" s="7"/>
      <c r="I881" s="5"/>
    </row>
    <row r="882">
      <c r="D882" s="7"/>
      <c r="E882" s="5"/>
      <c r="F882" s="7"/>
      <c r="G882" s="5"/>
      <c r="H882" s="7"/>
      <c r="I882" s="5"/>
    </row>
    <row r="883">
      <c r="D883" s="7"/>
      <c r="E883" s="5"/>
      <c r="F883" s="7"/>
      <c r="G883" s="5"/>
      <c r="H883" s="7"/>
      <c r="I883" s="5"/>
    </row>
    <row r="884">
      <c r="D884" s="7"/>
      <c r="E884" s="5"/>
      <c r="F884" s="7"/>
      <c r="G884" s="5"/>
      <c r="H884" s="7"/>
      <c r="I884" s="5"/>
    </row>
    <row r="885">
      <c r="D885" s="7"/>
      <c r="E885" s="5"/>
      <c r="F885" s="7"/>
      <c r="G885" s="5"/>
      <c r="H885" s="7"/>
      <c r="I885" s="5"/>
    </row>
    <row r="886">
      <c r="D886" s="7"/>
      <c r="E886" s="5"/>
      <c r="F886" s="7"/>
      <c r="G886" s="5"/>
      <c r="H886" s="7"/>
      <c r="I886" s="5"/>
    </row>
    <row r="887">
      <c r="D887" s="7"/>
      <c r="E887" s="5"/>
      <c r="F887" s="7"/>
      <c r="G887" s="5"/>
      <c r="H887" s="7"/>
      <c r="I887" s="5"/>
    </row>
    <row r="888">
      <c r="D888" s="7"/>
      <c r="E888" s="5"/>
      <c r="F888" s="7"/>
      <c r="G888" s="5"/>
      <c r="H888" s="7"/>
      <c r="I888" s="5"/>
    </row>
    <row r="889">
      <c r="D889" s="7"/>
      <c r="E889" s="5"/>
      <c r="F889" s="7"/>
      <c r="G889" s="5"/>
      <c r="H889" s="7"/>
      <c r="I889" s="5"/>
    </row>
    <row r="890">
      <c r="D890" s="7"/>
      <c r="E890" s="5"/>
      <c r="F890" s="7"/>
      <c r="G890" s="5"/>
      <c r="H890" s="7"/>
      <c r="I890" s="5"/>
    </row>
    <row r="891">
      <c r="D891" s="7"/>
      <c r="E891" s="5"/>
      <c r="F891" s="7"/>
      <c r="G891" s="5"/>
      <c r="H891" s="7"/>
      <c r="I891" s="5"/>
    </row>
    <row r="892">
      <c r="D892" s="7"/>
      <c r="E892" s="5"/>
      <c r="F892" s="7"/>
      <c r="G892" s="5"/>
      <c r="H892" s="7"/>
      <c r="I892" s="5"/>
    </row>
    <row r="893">
      <c r="D893" s="7"/>
      <c r="E893" s="5"/>
      <c r="F893" s="7"/>
      <c r="G893" s="5"/>
      <c r="H893" s="7"/>
      <c r="I893" s="5"/>
    </row>
    <row r="894">
      <c r="D894" s="7"/>
      <c r="E894" s="5"/>
      <c r="F894" s="7"/>
      <c r="G894" s="5"/>
      <c r="H894" s="7"/>
      <c r="I894" s="5"/>
    </row>
    <row r="895">
      <c r="D895" s="7"/>
      <c r="E895" s="5"/>
      <c r="F895" s="7"/>
      <c r="G895" s="5"/>
      <c r="H895" s="7"/>
      <c r="I895" s="5"/>
    </row>
    <row r="896">
      <c r="D896" s="7"/>
      <c r="E896" s="5"/>
      <c r="F896" s="7"/>
      <c r="G896" s="5"/>
      <c r="H896" s="7"/>
      <c r="I896" s="5"/>
    </row>
    <row r="897">
      <c r="D897" s="7"/>
      <c r="E897" s="5"/>
      <c r="F897" s="7"/>
      <c r="G897" s="5"/>
      <c r="H897" s="7"/>
      <c r="I897" s="5"/>
    </row>
    <row r="898">
      <c r="D898" s="7"/>
      <c r="E898" s="5"/>
      <c r="F898" s="7"/>
      <c r="G898" s="5"/>
      <c r="H898" s="7"/>
      <c r="I898" s="5"/>
    </row>
    <row r="899">
      <c r="D899" s="7"/>
      <c r="E899" s="5"/>
      <c r="F899" s="7"/>
      <c r="G899" s="5"/>
      <c r="H899" s="7"/>
      <c r="I899" s="5"/>
    </row>
    <row r="900">
      <c r="D900" s="7"/>
      <c r="E900" s="5"/>
      <c r="F900" s="7"/>
      <c r="G900" s="5"/>
      <c r="H900" s="7"/>
      <c r="I900" s="5"/>
    </row>
    <row r="901">
      <c r="D901" s="7"/>
      <c r="E901" s="5"/>
      <c r="F901" s="7"/>
      <c r="G901" s="5"/>
      <c r="H901" s="7"/>
      <c r="I901" s="5"/>
    </row>
    <row r="902">
      <c r="D902" s="7"/>
      <c r="E902" s="5"/>
      <c r="F902" s="7"/>
      <c r="G902" s="5"/>
      <c r="H902" s="7"/>
      <c r="I902" s="5"/>
    </row>
    <row r="903">
      <c r="D903" s="7"/>
      <c r="E903" s="5"/>
      <c r="F903" s="7"/>
      <c r="G903" s="5"/>
      <c r="H903" s="7"/>
      <c r="I903" s="5"/>
    </row>
    <row r="904">
      <c r="D904" s="7"/>
      <c r="E904" s="5"/>
      <c r="F904" s="7"/>
      <c r="G904" s="5"/>
      <c r="H904" s="7"/>
      <c r="I904" s="5"/>
    </row>
    <row r="905">
      <c r="D905" s="7"/>
      <c r="E905" s="5"/>
      <c r="F905" s="7"/>
      <c r="G905" s="5"/>
      <c r="H905" s="7"/>
      <c r="I905" s="5"/>
    </row>
    <row r="906">
      <c r="D906" s="7"/>
      <c r="E906" s="5"/>
      <c r="F906" s="7"/>
      <c r="G906" s="5"/>
      <c r="H906" s="7"/>
      <c r="I906" s="5"/>
    </row>
    <row r="907">
      <c r="D907" s="7"/>
      <c r="E907" s="5"/>
      <c r="F907" s="7"/>
      <c r="G907" s="5"/>
      <c r="H907" s="7"/>
      <c r="I907" s="5"/>
    </row>
    <row r="908">
      <c r="D908" s="7"/>
      <c r="E908" s="5"/>
      <c r="F908" s="7"/>
      <c r="G908" s="5"/>
      <c r="H908" s="7"/>
      <c r="I908" s="5"/>
    </row>
    <row r="909">
      <c r="D909" s="7"/>
      <c r="E909" s="5"/>
      <c r="F909" s="7"/>
      <c r="G909" s="5"/>
      <c r="H909" s="7"/>
      <c r="I909" s="5"/>
    </row>
    <row r="910">
      <c r="D910" s="7"/>
      <c r="E910" s="5"/>
      <c r="F910" s="7"/>
      <c r="G910" s="5"/>
      <c r="H910" s="7"/>
      <c r="I910" s="5"/>
    </row>
    <row r="911">
      <c r="D911" s="7"/>
      <c r="E911" s="5"/>
      <c r="F911" s="7"/>
      <c r="G911" s="5"/>
      <c r="H911" s="7"/>
      <c r="I911" s="5"/>
    </row>
    <row r="912">
      <c r="D912" s="7"/>
      <c r="E912" s="5"/>
      <c r="F912" s="7"/>
      <c r="G912" s="5"/>
      <c r="H912" s="7"/>
      <c r="I912" s="5"/>
    </row>
    <row r="913">
      <c r="D913" s="7"/>
      <c r="E913" s="5"/>
      <c r="F913" s="7"/>
      <c r="G913" s="5"/>
      <c r="H913" s="7"/>
      <c r="I913" s="5"/>
    </row>
    <row r="914">
      <c r="D914" s="7"/>
      <c r="E914" s="5"/>
      <c r="F914" s="7"/>
      <c r="G914" s="5"/>
      <c r="H914" s="7"/>
      <c r="I914" s="5"/>
    </row>
    <row r="915">
      <c r="D915" s="7"/>
      <c r="E915" s="5"/>
      <c r="F915" s="7"/>
      <c r="G915" s="5"/>
      <c r="H915" s="7"/>
      <c r="I915" s="5"/>
    </row>
    <row r="916">
      <c r="D916" s="7"/>
      <c r="E916" s="5"/>
      <c r="F916" s="7"/>
      <c r="G916" s="5"/>
      <c r="H916" s="7"/>
      <c r="I916" s="5"/>
    </row>
    <row r="917">
      <c r="D917" s="7"/>
      <c r="E917" s="5"/>
      <c r="F917" s="7"/>
      <c r="G917" s="5"/>
      <c r="H917" s="7"/>
      <c r="I917" s="5"/>
    </row>
    <row r="918">
      <c r="D918" s="7"/>
      <c r="E918" s="5"/>
      <c r="F918" s="7"/>
      <c r="G918" s="5"/>
      <c r="H918" s="7"/>
      <c r="I918" s="5"/>
    </row>
    <row r="919">
      <c r="D919" s="7"/>
      <c r="E919" s="5"/>
      <c r="F919" s="7"/>
      <c r="G919" s="5"/>
      <c r="H919" s="7"/>
      <c r="I919" s="5"/>
    </row>
    <row r="920">
      <c r="D920" s="7"/>
      <c r="E920" s="5"/>
      <c r="F920" s="7"/>
      <c r="G920" s="5"/>
      <c r="H920" s="7"/>
      <c r="I920" s="5"/>
    </row>
    <row r="921">
      <c r="D921" s="7"/>
      <c r="E921" s="5"/>
      <c r="F921" s="7"/>
      <c r="G921" s="5"/>
      <c r="H921" s="7"/>
      <c r="I921" s="5"/>
    </row>
    <row r="922">
      <c r="D922" s="7"/>
      <c r="E922" s="5"/>
      <c r="F922" s="7"/>
      <c r="G922" s="5"/>
      <c r="H922" s="7"/>
      <c r="I922" s="5"/>
    </row>
    <row r="923">
      <c r="D923" s="7"/>
      <c r="E923" s="5"/>
      <c r="F923" s="7"/>
      <c r="G923" s="5"/>
      <c r="H923" s="7"/>
      <c r="I923" s="5"/>
    </row>
    <row r="924">
      <c r="D924" s="7"/>
      <c r="E924" s="5"/>
      <c r="F924" s="7"/>
      <c r="G924" s="5"/>
      <c r="H924" s="7"/>
      <c r="I924" s="5"/>
    </row>
    <row r="925">
      <c r="D925" s="7"/>
      <c r="E925" s="5"/>
      <c r="F925" s="7"/>
      <c r="G925" s="5"/>
      <c r="H925" s="7"/>
      <c r="I925" s="5"/>
    </row>
    <row r="926">
      <c r="D926" s="7"/>
      <c r="E926" s="5"/>
      <c r="F926" s="7"/>
      <c r="G926" s="5"/>
      <c r="H926" s="7"/>
      <c r="I926" s="5"/>
    </row>
    <row r="927">
      <c r="D927" s="7"/>
      <c r="E927" s="5"/>
      <c r="F927" s="7"/>
      <c r="G927" s="5"/>
      <c r="H927" s="7"/>
      <c r="I927" s="5"/>
    </row>
    <row r="928">
      <c r="D928" s="7"/>
      <c r="E928" s="5"/>
      <c r="F928" s="7"/>
      <c r="G928" s="5"/>
      <c r="H928" s="7"/>
      <c r="I928" s="5"/>
    </row>
    <row r="929">
      <c r="D929" s="7"/>
      <c r="E929" s="5"/>
      <c r="F929" s="7"/>
      <c r="G929" s="5"/>
      <c r="H929" s="7"/>
      <c r="I929" s="5"/>
    </row>
    <row r="930">
      <c r="D930" s="7"/>
      <c r="E930" s="5"/>
      <c r="F930" s="7"/>
      <c r="G930" s="5"/>
      <c r="H930" s="7"/>
      <c r="I930" s="5"/>
    </row>
    <row r="931">
      <c r="D931" s="7"/>
      <c r="E931" s="5"/>
      <c r="F931" s="7"/>
      <c r="G931" s="5"/>
      <c r="H931" s="7"/>
      <c r="I931" s="5"/>
    </row>
    <row r="932">
      <c r="D932" s="7"/>
      <c r="E932" s="5"/>
      <c r="F932" s="7"/>
      <c r="G932" s="5"/>
      <c r="H932" s="7"/>
      <c r="I932" s="5"/>
    </row>
    <row r="933">
      <c r="D933" s="7"/>
      <c r="E933" s="5"/>
      <c r="F933" s="7"/>
      <c r="G933" s="5"/>
      <c r="H933" s="7"/>
      <c r="I933" s="5"/>
    </row>
    <row r="934">
      <c r="D934" s="7"/>
      <c r="E934" s="5"/>
      <c r="F934" s="7"/>
      <c r="G934" s="5"/>
      <c r="H934" s="7"/>
      <c r="I934" s="5"/>
    </row>
    <row r="935">
      <c r="D935" s="7"/>
      <c r="E935" s="5"/>
      <c r="F935" s="7"/>
      <c r="G935" s="5"/>
      <c r="H935" s="7"/>
      <c r="I935" s="5"/>
    </row>
    <row r="936">
      <c r="D936" s="7"/>
      <c r="E936" s="5"/>
      <c r="F936" s="7"/>
      <c r="G936" s="5"/>
      <c r="H936" s="7"/>
      <c r="I936" s="5"/>
    </row>
    <row r="937">
      <c r="D937" s="7"/>
      <c r="E937" s="5"/>
      <c r="F937" s="7"/>
      <c r="G937" s="5"/>
      <c r="H937" s="7"/>
      <c r="I937" s="5"/>
    </row>
    <row r="938">
      <c r="D938" s="7"/>
      <c r="E938" s="5"/>
      <c r="F938" s="7"/>
      <c r="G938" s="5"/>
      <c r="H938" s="7"/>
      <c r="I938" s="5"/>
    </row>
    <row r="939">
      <c r="D939" s="7"/>
      <c r="E939" s="5"/>
      <c r="F939" s="7"/>
      <c r="G939" s="5"/>
      <c r="H939" s="7"/>
      <c r="I939" s="5"/>
    </row>
    <row r="940">
      <c r="D940" s="7"/>
      <c r="E940" s="5"/>
      <c r="F940" s="7"/>
      <c r="G940" s="5"/>
      <c r="H940" s="7"/>
      <c r="I940" s="5"/>
    </row>
    <row r="941">
      <c r="D941" s="7"/>
      <c r="E941" s="5"/>
      <c r="F941" s="7"/>
      <c r="G941" s="5"/>
      <c r="H941" s="7"/>
      <c r="I941" s="5"/>
    </row>
    <row r="942">
      <c r="D942" s="7"/>
      <c r="E942" s="5"/>
      <c r="F942" s="7"/>
      <c r="G942" s="5"/>
      <c r="H942" s="7"/>
      <c r="I942" s="5"/>
    </row>
    <row r="943">
      <c r="D943" s="7"/>
      <c r="E943" s="5"/>
      <c r="F943" s="7"/>
      <c r="G943" s="5"/>
      <c r="H943" s="7"/>
      <c r="I943" s="5"/>
    </row>
    <row r="944">
      <c r="D944" s="7"/>
      <c r="E944" s="5"/>
      <c r="F944" s="7"/>
      <c r="G944" s="5"/>
      <c r="H944" s="7"/>
      <c r="I944" s="5"/>
    </row>
    <row r="945">
      <c r="D945" s="7"/>
      <c r="E945" s="5"/>
      <c r="F945" s="7"/>
      <c r="G945" s="5"/>
      <c r="H945" s="7"/>
      <c r="I945" s="5"/>
    </row>
    <row r="946">
      <c r="D946" s="7"/>
      <c r="E946" s="5"/>
      <c r="F946" s="7"/>
      <c r="G946" s="5"/>
      <c r="H946" s="7"/>
      <c r="I946" s="5"/>
    </row>
    <row r="947">
      <c r="D947" s="7"/>
      <c r="E947" s="5"/>
      <c r="F947" s="7"/>
      <c r="G947" s="5"/>
      <c r="H947" s="7"/>
      <c r="I947" s="5"/>
    </row>
    <row r="948">
      <c r="D948" s="7"/>
      <c r="E948" s="5"/>
      <c r="F948" s="7"/>
      <c r="G948" s="5"/>
      <c r="H948" s="7"/>
      <c r="I948" s="5"/>
    </row>
    <row r="949">
      <c r="D949" s="7"/>
      <c r="E949" s="5"/>
      <c r="F949" s="7"/>
      <c r="G949" s="5"/>
      <c r="H949" s="7"/>
      <c r="I949" s="5"/>
    </row>
    <row r="950">
      <c r="D950" s="7"/>
      <c r="E950" s="5"/>
      <c r="F950" s="7"/>
      <c r="G950" s="5"/>
      <c r="H950" s="7"/>
      <c r="I950" s="5"/>
    </row>
    <row r="951">
      <c r="D951" s="7"/>
      <c r="E951" s="5"/>
      <c r="F951" s="7"/>
      <c r="G951" s="5"/>
      <c r="H951" s="7"/>
      <c r="I951" s="5"/>
    </row>
    <row r="952">
      <c r="D952" s="7"/>
      <c r="E952" s="5"/>
      <c r="F952" s="7"/>
      <c r="G952" s="5"/>
      <c r="H952" s="7"/>
      <c r="I952" s="5"/>
    </row>
    <row r="953">
      <c r="D953" s="7"/>
      <c r="E953" s="5"/>
      <c r="F953" s="7"/>
      <c r="G953" s="5"/>
      <c r="H953" s="7"/>
      <c r="I953" s="5"/>
    </row>
    <row r="954">
      <c r="D954" s="7"/>
      <c r="E954" s="5"/>
      <c r="F954" s="7"/>
      <c r="G954" s="5"/>
      <c r="H954" s="7"/>
      <c r="I954" s="5"/>
    </row>
    <row r="955">
      <c r="D955" s="7"/>
      <c r="E955" s="5"/>
      <c r="F955" s="7"/>
      <c r="G955" s="5"/>
      <c r="H955" s="7"/>
      <c r="I955" s="5"/>
    </row>
    <row r="956">
      <c r="D956" s="7"/>
      <c r="E956" s="5"/>
      <c r="F956" s="7"/>
      <c r="G956" s="5"/>
      <c r="H956" s="7"/>
      <c r="I956" s="5"/>
    </row>
    <row r="957">
      <c r="D957" s="7"/>
      <c r="E957" s="5"/>
      <c r="F957" s="7"/>
      <c r="G957" s="5"/>
      <c r="H957" s="7"/>
      <c r="I957" s="5"/>
    </row>
    <row r="958">
      <c r="D958" s="7"/>
      <c r="E958" s="5"/>
      <c r="F958" s="7"/>
      <c r="G958" s="5"/>
      <c r="H958" s="7"/>
      <c r="I958" s="5"/>
    </row>
    <row r="959">
      <c r="D959" s="7"/>
      <c r="E959" s="5"/>
      <c r="F959" s="7"/>
      <c r="G959" s="5"/>
      <c r="H959" s="7"/>
      <c r="I959" s="5"/>
    </row>
    <row r="960">
      <c r="D960" s="7"/>
      <c r="E960" s="5"/>
      <c r="F960" s="7"/>
      <c r="G960" s="5"/>
      <c r="H960" s="7"/>
      <c r="I960" s="5"/>
    </row>
    <row r="961">
      <c r="D961" s="7"/>
      <c r="E961" s="5"/>
      <c r="F961" s="7"/>
      <c r="G961" s="5"/>
      <c r="H961" s="7"/>
      <c r="I961" s="5"/>
    </row>
    <row r="962">
      <c r="D962" s="7"/>
      <c r="E962" s="5"/>
      <c r="F962" s="7"/>
      <c r="G962" s="5"/>
      <c r="H962" s="7"/>
      <c r="I962" s="5"/>
    </row>
    <row r="963">
      <c r="D963" s="7"/>
      <c r="E963" s="5"/>
      <c r="F963" s="7"/>
      <c r="G963" s="5"/>
      <c r="H963" s="7"/>
      <c r="I963" s="5"/>
    </row>
    <row r="964">
      <c r="D964" s="7"/>
      <c r="E964" s="5"/>
      <c r="F964" s="7"/>
      <c r="G964" s="5"/>
      <c r="H964" s="7"/>
      <c r="I964" s="5"/>
    </row>
    <row r="965">
      <c r="D965" s="7"/>
      <c r="E965" s="5"/>
      <c r="F965" s="7"/>
      <c r="G965" s="5"/>
      <c r="H965" s="7"/>
      <c r="I965" s="5"/>
    </row>
    <row r="966">
      <c r="D966" s="7"/>
      <c r="E966" s="5"/>
      <c r="F966" s="7"/>
      <c r="G966" s="5"/>
      <c r="H966" s="7"/>
      <c r="I966" s="5"/>
    </row>
    <row r="967">
      <c r="D967" s="7"/>
      <c r="E967" s="5"/>
      <c r="F967" s="7"/>
      <c r="G967" s="5"/>
      <c r="H967" s="7"/>
      <c r="I967" s="5"/>
    </row>
    <row r="968">
      <c r="D968" s="7"/>
      <c r="E968" s="5"/>
      <c r="F968" s="7"/>
      <c r="G968" s="5"/>
      <c r="H968" s="7"/>
      <c r="I968" s="5"/>
    </row>
    <row r="969">
      <c r="D969" s="7"/>
      <c r="E969" s="5"/>
      <c r="F969" s="7"/>
      <c r="G969" s="5"/>
      <c r="H969" s="7"/>
      <c r="I969" s="5"/>
    </row>
    <row r="970">
      <c r="D970" s="7"/>
      <c r="E970" s="5"/>
      <c r="F970" s="7"/>
      <c r="G970" s="5"/>
      <c r="H970" s="7"/>
      <c r="I970" s="5"/>
    </row>
    <row r="971">
      <c r="D971" s="7"/>
      <c r="E971" s="5"/>
      <c r="F971" s="7"/>
      <c r="G971" s="5"/>
      <c r="H971" s="7"/>
      <c r="I971" s="5"/>
    </row>
    <row r="972">
      <c r="D972" s="7"/>
      <c r="E972" s="5"/>
      <c r="F972" s="7"/>
      <c r="G972" s="5"/>
      <c r="H972" s="7"/>
      <c r="I972" s="5"/>
    </row>
    <row r="973">
      <c r="D973" s="7"/>
      <c r="E973" s="5"/>
      <c r="F973" s="7"/>
      <c r="G973" s="5"/>
      <c r="H973" s="7"/>
      <c r="I973" s="5"/>
    </row>
    <row r="974">
      <c r="D974" s="7"/>
      <c r="E974" s="5"/>
      <c r="F974" s="7"/>
      <c r="G974" s="5"/>
      <c r="H974" s="7"/>
      <c r="I974" s="5"/>
    </row>
    <row r="975">
      <c r="D975" s="7"/>
      <c r="E975" s="5"/>
      <c r="F975" s="7"/>
      <c r="G975" s="5"/>
      <c r="H975" s="7"/>
      <c r="I975" s="5"/>
    </row>
    <row r="976">
      <c r="D976" s="7"/>
      <c r="E976" s="5"/>
      <c r="F976" s="7"/>
      <c r="G976" s="5"/>
      <c r="H976" s="7"/>
      <c r="I976" s="5"/>
    </row>
    <row r="977">
      <c r="D977" s="7"/>
      <c r="E977" s="5"/>
      <c r="F977" s="7"/>
      <c r="G977" s="5"/>
      <c r="H977" s="7"/>
      <c r="I977" s="5"/>
    </row>
    <row r="978">
      <c r="D978" s="7"/>
      <c r="E978" s="5"/>
      <c r="F978" s="7"/>
      <c r="G978" s="5"/>
      <c r="H978" s="7"/>
      <c r="I978" s="5"/>
    </row>
    <row r="979">
      <c r="D979" s="7"/>
      <c r="E979" s="5"/>
      <c r="F979" s="7"/>
      <c r="G979" s="5"/>
      <c r="H979" s="7"/>
      <c r="I979" s="5"/>
    </row>
    <row r="980">
      <c r="D980" s="7"/>
      <c r="E980" s="5"/>
      <c r="F980" s="7"/>
      <c r="G980" s="5"/>
      <c r="H980" s="7"/>
      <c r="I980" s="5"/>
    </row>
    <row r="981">
      <c r="D981" s="7"/>
      <c r="E981" s="5"/>
      <c r="F981" s="7"/>
      <c r="G981" s="5"/>
      <c r="H981" s="7"/>
      <c r="I981" s="5"/>
    </row>
    <row r="982">
      <c r="D982" s="7"/>
      <c r="E982" s="5"/>
      <c r="F982" s="7"/>
      <c r="G982" s="5"/>
      <c r="H982" s="7"/>
      <c r="I982" s="5"/>
    </row>
    <row r="983">
      <c r="D983" s="7"/>
      <c r="E983" s="5"/>
      <c r="F983" s="7"/>
      <c r="G983" s="5"/>
      <c r="H983" s="7"/>
      <c r="I983" s="5"/>
    </row>
    <row r="984">
      <c r="D984" s="7"/>
      <c r="E984" s="5"/>
      <c r="F984" s="7"/>
      <c r="G984" s="5"/>
      <c r="H984" s="7"/>
      <c r="I984" s="5"/>
    </row>
    <row r="985">
      <c r="D985" s="7"/>
      <c r="E985" s="5"/>
      <c r="F985" s="7"/>
      <c r="G985" s="5"/>
      <c r="H985" s="7"/>
      <c r="I985" s="5"/>
    </row>
    <row r="986">
      <c r="D986" s="7"/>
      <c r="E986" s="5"/>
      <c r="F986" s="7"/>
      <c r="G986" s="5"/>
      <c r="H986" s="7"/>
      <c r="I986" s="5"/>
    </row>
    <row r="987">
      <c r="D987" s="7"/>
      <c r="E987" s="5"/>
      <c r="F987" s="7"/>
      <c r="G987" s="5"/>
      <c r="H987" s="7"/>
      <c r="I987" s="5"/>
    </row>
    <row r="988">
      <c r="D988" s="7"/>
      <c r="E988" s="5"/>
      <c r="F988" s="7"/>
      <c r="G988" s="5"/>
      <c r="H988" s="7"/>
      <c r="I988" s="5"/>
    </row>
    <row r="989">
      <c r="D989" s="7"/>
      <c r="E989" s="5"/>
      <c r="F989" s="7"/>
      <c r="G989" s="5"/>
      <c r="H989" s="7"/>
      <c r="I989" s="5"/>
    </row>
    <row r="990">
      <c r="D990" s="7"/>
      <c r="E990" s="5"/>
      <c r="F990" s="7"/>
      <c r="G990" s="5"/>
      <c r="H990" s="7"/>
      <c r="I990" s="5"/>
    </row>
    <row r="991">
      <c r="D991" s="7"/>
      <c r="E991" s="5"/>
      <c r="F991" s="7"/>
      <c r="G991" s="5"/>
      <c r="H991" s="7"/>
      <c r="I991" s="5"/>
    </row>
    <row r="992">
      <c r="D992" s="7"/>
      <c r="E992" s="5"/>
      <c r="F992" s="7"/>
      <c r="G992" s="5"/>
      <c r="H992" s="7"/>
      <c r="I992" s="5"/>
    </row>
    <row r="993">
      <c r="D993" s="7"/>
      <c r="E993" s="5"/>
      <c r="F993" s="7"/>
      <c r="G993" s="5"/>
      <c r="H993" s="7"/>
      <c r="I993" s="5"/>
    </row>
    <row r="994">
      <c r="D994" s="7"/>
      <c r="E994" s="5"/>
      <c r="F994" s="7"/>
      <c r="G994" s="5"/>
      <c r="H994" s="7"/>
      <c r="I994" s="5"/>
    </row>
    <row r="995">
      <c r="D995" s="7"/>
      <c r="E995" s="5"/>
      <c r="F995" s="7"/>
      <c r="G995" s="5"/>
      <c r="H995" s="7"/>
      <c r="I995" s="5"/>
    </row>
    <row r="996">
      <c r="D996" s="7"/>
      <c r="E996" s="5"/>
      <c r="F996" s="7"/>
      <c r="G996" s="5"/>
      <c r="H996" s="7"/>
      <c r="I996" s="5"/>
    </row>
    <row r="997">
      <c r="D997" s="7"/>
      <c r="E997" s="5"/>
      <c r="F997" s="7"/>
      <c r="G997" s="5"/>
      <c r="H997" s="7"/>
      <c r="I997" s="5"/>
    </row>
    <row r="998">
      <c r="D998" s="7"/>
      <c r="E998" s="5"/>
      <c r="F998" s="7"/>
      <c r="G998" s="5"/>
      <c r="H998" s="7"/>
      <c r="I998" s="5"/>
    </row>
    <row r="999">
      <c r="D999" s="7"/>
      <c r="E999" s="5"/>
      <c r="F999" s="7"/>
      <c r="G999" s="5"/>
      <c r="H999" s="7"/>
      <c r="I999" s="5"/>
    </row>
    <row r="1000">
      <c r="D1000" s="7"/>
      <c r="E1000" s="5"/>
      <c r="F1000" s="7"/>
      <c r="G1000" s="5"/>
      <c r="H1000" s="7"/>
      <c r="I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6" t="str">
        <f>IFERROR(__xludf.DUMMYFUNCTION("QUERY(IMPORTRANGE(""https://docs.google.com/spreadsheets/d/1o4vVTAcm9zeWOMn_hTEttk3OfwEP1tRR6DEg7aESAZg/edit?gid=904754529#gid=904754529"", ""ReportingTop!A:Z""), ""Select *"")"),"29  ")</f>
        <v>29  </v>
      </c>
      <c r="C1" s="6" t="str">
        <f>IFERROR(__xludf.DUMMYFUNCTION("""COMPUTED_VALUE""")," DMA ")</f>
        <v> DMA </v>
      </c>
      <c r="D1" s="6" t="str">
        <f>IFERROR(__xludf.DUMMYFUNCTION("""COMPUTED_VALUE""")," Name ")</f>
        <v> Name </v>
      </c>
      <c r="E1" s="6" t="str">
        <f>IFERROR(__xludf.DUMMYFUNCTION("""COMPUTED_VALUE""")," Active Registered Voters ")</f>
        <v> Active Registered Voters </v>
      </c>
      <c r="F1" s="6" t="str">
        <f>IFERROR(__xludf.DUMMYFUNCTION("""COMPUTED_VALUE""")," Projected Turnout ")</f>
        <v> Projected Turnout </v>
      </c>
      <c r="G1" s="6" t="str">
        <f>IFERROR(__xludf.DUMMYFUNCTION("""COMPUTED_VALUE""")," Total Precincts ")</f>
        <v> Total Precincts </v>
      </c>
      <c r="H1" s="6" t="str">
        <f>IFERROR(__xludf.DUMMYFUNCTION("""COMPUTED_VALUE""")," Precincts Reported ")</f>
        <v> Precincts Reported </v>
      </c>
      <c r="I1" s="6" t="str">
        <f>IFERROR(__xludf.DUMMYFUNCTION("""COMPUTED_VALUE""")," Precincts Reported % #DIV/0!")</f>
        <v> Precincts Reported % #DIV/0!</v>
      </c>
      <c r="J1" s="6" t="str">
        <f>IFERROR(__xludf.DUMMYFUNCTION("""COMPUTED_VALUE""")," AB Dropped? ")</f>
        <v> AB Dropped? </v>
      </c>
      <c r="K1" s="6" t="str">
        <f>IFERROR(__xludf.DUMMYFUNCTION("""COMPUTED_VALUE""")," EV Dropped? ")</f>
        <v> EV Dropped? </v>
      </c>
      <c r="L1" s="6" t="str">
        <f>IFERROR(__xludf.DUMMYFUNCTION("""COMPUTED_VALUE""")," Ballots Cast ")</f>
        <v> Ballots Cast </v>
      </c>
      <c r="M1" s="6" t="str">
        <f>IFERROR(__xludf.DUMMYFUNCTION("""COMPUTED_VALUE""")," Provisional Ballots ")</f>
        <v> Provisional Ballots </v>
      </c>
      <c r="N1" s="6" t="str">
        <f>IFERROR(__xludf.DUMMYFUNCTION("""COMPUTED_VALUE""")," Projected Remaining Ballots 0")</f>
        <v> Projected Remaining Ballots 0</v>
      </c>
      <c r="O1" s="6" t="str">
        <f>IFERROR(__xludf.DUMMYFUNCTION("""COMPUTED_VALUE""")," JACKSON 1")</f>
        <v> JACKSON 1</v>
      </c>
      <c r="P1" s="6" t="str">
        <f>IFERROR(__xludf.DUMMYFUNCTION("""COMPUTED_VALUE""")," JACKSON % #REF!")</f>
        <v> JACKSON % #REF!</v>
      </c>
      <c r="Q1" s="6" t="str">
        <f>IFERROR(__xludf.DUMMYFUNCTION("""COMPUTED_VALUE""")," JONES 2")</f>
        <v> JONES 2</v>
      </c>
      <c r="R1" s="6" t="str">
        <f>IFERROR(__xludf.DUMMYFUNCTION("""COMPUTED_VALUE""")," JONES % #REF!")</f>
        <v> JONES % #REF!</v>
      </c>
      <c r="S1" s="6" t="str">
        <f>IFERROR(__xludf.DUMMYFUNCTION("""COMPUTED_VALUE""")," RAFFENSPERGER 3")</f>
        <v> RAFFENSPERGER 3</v>
      </c>
      <c r="T1" s="6" t="str">
        <f>IFERROR(__xludf.DUMMYFUNCTION("""COMPUTED_VALUE""")," RAFFENSPERGER % #REF!")</f>
        <v> RAFFENSPERGER % #REF!</v>
      </c>
      <c r="U1" s="6" t="str">
        <f>IFERROR(__xludf.DUMMYFUNCTION("""COMPUTED_VALUE""")," CARR ")</f>
        <v> CARR </v>
      </c>
      <c r="V1" s="6" t="str">
        <f>IFERROR(__xludf.DUMMYFUNCTION("""COMPUTED_VALUE""")," CARR % #REF!")</f>
        <v> CARR % #REF!</v>
      </c>
      <c r="W1" s="6" t="str">
        <f>IFERROR(__xludf.DUMMYFUNCTION("""COMPUTED_VALUE""")," OTHER #REF!")</f>
        <v> OTHER #REF!</v>
      </c>
      <c r="X1" s="6" t="str">
        <f>IFERROR(__xludf.DUMMYFUNCTION("""COMPUTED_VALUE""")," OTHER % #REF!")</f>
        <v> OTHER % #REF!</v>
      </c>
      <c r="Y1" s="6" t="str">
        <f>IFERROR(__xludf.DUMMYFUNCTION("""COMPUTED_VALUE""")," TOTAL VOTES #REF!")</f>
        <v> TOTAL VOTES #REF!</v>
      </c>
      <c r="Z1" s="6" t="str">
        <f>IFERROR(__xludf.DUMMYFUNCTION("""COMPUTED_VALUE"""),"  ")</f>
        <v>  </v>
      </c>
      <c r="AA1" s="6" t="str">
        <f>IFERROR(__xludf.DUMMYFUNCTION("""COMPUTED_VALUE"""),"  ")</f>
        <v>  </v>
      </c>
    </row>
    <row r="2">
      <c r="A2" s="6" t="str">
        <f t="array" ref="A2">XLOOKUP(D2, CountyTops!D:D, CountyTops!B:B, "")
</f>
        <v>Very Small</v>
      </c>
      <c r="B2" s="6"/>
      <c r="C2" s="6" t="str">
        <f>IFERROR(__xludf.DUMMYFUNCTION("""COMPUTED_VALUE"""),"Savannah")</f>
        <v>Savannah</v>
      </c>
      <c r="D2" s="6" t="str">
        <f>IFERROR(__xludf.DUMMYFUNCTION("""COMPUTED_VALUE"""),"Appling")</f>
        <v>Appling</v>
      </c>
      <c r="E2" s="6"/>
      <c r="F2" s="6"/>
      <c r="G2" s="6"/>
      <c r="H2" s="6"/>
      <c r="I2" s="6" t="str">
        <f>IFERROR(__xludf.DUMMYFUNCTION("""COMPUTED_VALUE"""),"#DIV/0!")</f>
        <v>#DIV/0!</v>
      </c>
      <c r="J2" s="6"/>
      <c r="K2" s="6"/>
      <c r="L2" s="6"/>
      <c r="M2" s="6"/>
      <c r="N2" s="5">
        <f>IFERROR(__xludf.DUMMYFUNCTION("""COMPUTED_VALUE"""),0.0)</f>
        <v>0</v>
      </c>
      <c r="O2" s="5">
        <f>IFERROR(__xludf.DUMMYFUNCTION("""COMPUTED_VALUE"""),1.0)</f>
        <v>1</v>
      </c>
      <c r="P2" s="8">
        <f>IFERROR(__xludf.DUMMYFUNCTION("""COMPUTED_VALUE"""),0.3333333333333333)</f>
        <v>0.3333333333</v>
      </c>
      <c r="Q2" s="5">
        <f>IFERROR(__xludf.DUMMYFUNCTION("""COMPUTED_VALUE"""),2.0)</f>
        <v>2</v>
      </c>
      <c r="R2" s="8">
        <f>IFERROR(__xludf.DUMMYFUNCTION("""COMPUTED_VALUE"""),0.6666666666666666)</f>
        <v>0.6666666667</v>
      </c>
      <c r="S2" s="5">
        <f>IFERROR(__xludf.DUMMYFUNCTION("""COMPUTED_VALUE"""),3.0)</f>
        <v>3</v>
      </c>
      <c r="T2" s="6" t="str">
        <f>IFERROR(__xludf.DUMMYFUNCTION("""COMPUTED_VALUE"""),"#DIV/0!")</f>
        <v>#DIV/0!</v>
      </c>
      <c r="U2" s="8">
        <f>IFERROR(__xludf.DUMMYFUNCTION("""COMPUTED_VALUE"""),0.7148)</f>
        <v>0.7148</v>
      </c>
      <c r="V2" s="5">
        <f>IFERROR(__xludf.DUMMYFUNCTION("""COMPUTED_VALUE"""),4.0)</f>
        <v>4</v>
      </c>
      <c r="W2" s="6" t="str">
        <f>IFERROR(__xludf.DUMMYFUNCTION("""COMPUTED_VALUE"""),"#REF!")</f>
        <v>#REF!</v>
      </c>
      <c r="X2" s="5">
        <f>IFERROR(__xludf.DUMMYFUNCTION("""COMPUTED_VALUE"""),5.0)</f>
        <v>5</v>
      </c>
      <c r="Y2" s="8">
        <f>IFERROR(__xludf.DUMMYFUNCTION("""COMPUTED_VALUE"""),36.0)</f>
        <v>36</v>
      </c>
      <c r="Z2" s="6"/>
      <c r="AA2" s="6"/>
    </row>
    <row r="3">
      <c r="A3" s="6" t="str">
        <f t="array" ref="A3">XLOOKUP(D3, CountyTops!D:D, CountyTops!B:B, "")
</f>
        <v>Micro</v>
      </c>
      <c r="B3" s="6"/>
      <c r="C3" s="6" t="str">
        <f>IFERROR(__xludf.DUMMYFUNCTION("""COMPUTED_VALUE"""),"Albany")</f>
        <v>Albany</v>
      </c>
      <c r="D3" s="6" t="str">
        <f>IFERROR(__xludf.DUMMYFUNCTION("""COMPUTED_VALUE"""),"Atkinson")</f>
        <v>Atkinson</v>
      </c>
      <c r="E3" s="6"/>
      <c r="F3" s="6"/>
      <c r="G3" s="6"/>
      <c r="H3" s="6"/>
      <c r="I3" s="6" t="str">
        <f>IFERROR(__xludf.DUMMYFUNCTION("""COMPUTED_VALUE"""),"#DIV/0!")</f>
        <v>#DIV/0!</v>
      </c>
      <c r="J3" s="6"/>
      <c r="K3" s="6"/>
      <c r="L3" s="6"/>
      <c r="M3" s="6"/>
      <c r="N3" s="5">
        <f>IFERROR(__xludf.DUMMYFUNCTION("""COMPUTED_VALUE"""),0.0)</f>
        <v>0</v>
      </c>
      <c r="O3" s="5"/>
      <c r="P3" s="8"/>
      <c r="Q3" s="5"/>
      <c r="R3" s="8"/>
      <c r="S3" s="5"/>
      <c r="T3" s="6"/>
      <c r="U3" s="8"/>
      <c r="V3" s="5"/>
      <c r="W3" s="6"/>
      <c r="X3" s="5"/>
      <c r="Y3" s="8"/>
      <c r="Z3" s="6"/>
      <c r="AA3" s="6"/>
    </row>
    <row r="4">
      <c r="A4" s="6" t="str">
        <f t="array" ref="A4">XLOOKUP(D4, CountyTops!D:D, CountyTops!B:B, "")
</f>
        <v>Very Small</v>
      </c>
      <c r="B4" s="6"/>
      <c r="C4" s="6" t="str">
        <f>IFERROR(__xludf.DUMMYFUNCTION("""COMPUTED_VALUE"""),"Savannah")</f>
        <v>Savannah</v>
      </c>
      <c r="D4" s="6" t="str">
        <f>IFERROR(__xludf.DUMMYFUNCTION("""COMPUTED_VALUE"""),"Bacon")</f>
        <v>Bacon</v>
      </c>
      <c r="E4" s="6"/>
      <c r="F4" s="6"/>
      <c r="G4" s="6"/>
      <c r="H4" s="6"/>
      <c r="I4" s="6" t="str">
        <f>IFERROR(__xludf.DUMMYFUNCTION("""COMPUTED_VALUE"""),"#DIV/0!")</f>
        <v>#DIV/0!</v>
      </c>
      <c r="J4" s="6"/>
      <c r="K4" s="6"/>
      <c r="L4" s="6"/>
      <c r="M4" s="6"/>
      <c r="N4" s="5">
        <f>IFERROR(__xludf.DUMMYFUNCTION("""COMPUTED_VALUE"""),0.0)</f>
        <v>0</v>
      </c>
      <c r="O4" s="5"/>
      <c r="P4" s="8"/>
      <c r="Q4" s="5"/>
      <c r="R4" s="8"/>
      <c r="S4" s="5"/>
      <c r="T4" s="6"/>
      <c r="U4" s="8"/>
      <c r="V4" s="5"/>
      <c r="W4" s="6"/>
      <c r="X4" s="5"/>
      <c r="Y4" s="8"/>
      <c r="Z4" s="6"/>
      <c r="AA4" s="6"/>
    </row>
    <row r="5">
      <c r="A5" s="6" t="str">
        <f t="array" ref="A5">XLOOKUP(D5, CountyTops!D:D, CountyTops!B:B, "")
</f>
        <v>Micro</v>
      </c>
      <c r="B5" s="6"/>
      <c r="C5" s="6" t="str">
        <f>IFERROR(__xludf.DUMMYFUNCTION("""COMPUTED_VALUE"""),"Albany")</f>
        <v>Albany</v>
      </c>
      <c r="D5" s="6" t="str">
        <f>IFERROR(__xludf.DUMMYFUNCTION("""COMPUTED_VALUE"""),"Baker")</f>
        <v>Baker</v>
      </c>
      <c r="E5" s="6"/>
      <c r="F5" s="6"/>
      <c r="G5" s="6"/>
      <c r="H5" s="6"/>
      <c r="I5" s="6" t="str">
        <f>IFERROR(__xludf.DUMMYFUNCTION("""COMPUTED_VALUE"""),"#DIV/0!")</f>
        <v>#DIV/0!</v>
      </c>
      <c r="J5" s="6"/>
      <c r="K5" s="6"/>
      <c r="L5" s="6"/>
      <c r="M5" s="6"/>
      <c r="N5" s="5">
        <f>IFERROR(__xludf.DUMMYFUNCTION("""COMPUTED_VALUE"""),0.0)</f>
        <v>0</v>
      </c>
      <c r="O5" s="5"/>
      <c r="P5" s="8"/>
      <c r="Q5" s="5"/>
      <c r="R5" s="8"/>
      <c r="S5" s="5"/>
      <c r="T5" s="6"/>
      <c r="U5" s="8"/>
      <c r="V5" s="5"/>
      <c r="W5" s="6"/>
      <c r="X5" s="5"/>
      <c r="Y5" s="8"/>
      <c r="Z5" s="6"/>
      <c r="AA5" s="6"/>
    </row>
    <row r="6">
      <c r="A6" s="6" t="str">
        <f t="array" ref="A6">XLOOKUP(D6, CountyTops!D:D, CountyTops!B:B, "")
</f>
        <v>Very Small</v>
      </c>
      <c r="B6" s="6"/>
      <c r="C6" s="6" t="str">
        <f>IFERROR(__xludf.DUMMYFUNCTION("""COMPUTED_VALUE"""),"Macon")</f>
        <v>Macon</v>
      </c>
      <c r="D6" s="6" t="str">
        <f>IFERROR(__xludf.DUMMYFUNCTION("""COMPUTED_VALUE"""),"Baldwin")</f>
        <v>Baldwin</v>
      </c>
      <c r="E6" s="6"/>
      <c r="F6" s="6"/>
      <c r="G6" s="6"/>
      <c r="H6" s="6"/>
      <c r="I6" s="6" t="str">
        <f>IFERROR(__xludf.DUMMYFUNCTION("""COMPUTED_VALUE"""),"#DIV/0!")</f>
        <v>#DIV/0!</v>
      </c>
      <c r="J6" s="6"/>
      <c r="K6" s="6"/>
      <c r="L6" s="6"/>
      <c r="M6" s="6"/>
      <c r="N6" s="5">
        <f>IFERROR(__xludf.DUMMYFUNCTION("""COMPUTED_VALUE"""),0.0)</f>
        <v>0</v>
      </c>
      <c r="O6" s="5"/>
      <c r="P6" s="8"/>
      <c r="Q6" s="5"/>
      <c r="R6" s="8"/>
      <c r="S6" s="5"/>
      <c r="T6" s="6"/>
      <c r="U6" s="8"/>
      <c r="V6" s="5"/>
      <c r="W6" s="6"/>
      <c r="X6" s="5"/>
      <c r="Y6" s="8"/>
      <c r="Z6" s="6"/>
      <c r="AA6" s="6"/>
    </row>
    <row r="7">
      <c r="A7" s="6" t="str">
        <f t="array" ref="A7">XLOOKUP(D7, CountyTops!D:D, CountyTops!B:B, "")
</f>
        <v>Very Small</v>
      </c>
      <c r="B7" s="6"/>
      <c r="C7" s="6" t="str">
        <f>IFERROR(__xludf.DUMMYFUNCTION("""COMPUTED_VALUE"""),"Atlanta")</f>
        <v>Atlanta</v>
      </c>
      <c r="D7" s="6" t="str">
        <f>IFERROR(__xludf.DUMMYFUNCTION("""COMPUTED_VALUE"""),"Banks")</f>
        <v>Banks</v>
      </c>
      <c r="E7" s="6"/>
      <c r="F7" s="6"/>
      <c r="G7" s="6"/>
      <c r="H7" s="6"/>
      <c r="I7" s="6" t="str">
        <f>IFERROR(__xludf.DUMMYFUNCTION("""COMPUTED_VALUE"""),"#DIV/0!")</f>
        <v>#DIV/0!</v>
      </c>
      <c r="J7" s="6"/>
      <c r="K7" s="6"/>
      <c r="L7" s="6"/>
      <c r="M7" s="6"/>
      <c r="N7" s="5">
        <f>IFERROR(__xludf.DUMMYFUNCTION("""COMPUTED_VALUE"""),0.0)</f>
        <v>0</v>
      </c>
      <c r="O7" s="5"/>
      <c r="P7" s="8"/>
      <c r="Q7" s="5"/>
      <c r="R7" s="8"/>
      <c r="S7" s="5"/>
      <c r="T7" s="6"/>
      <c r="U7" s="8"/>
      <c r="V7" s="5"/>
      <c r="W7" s="6"/>
      <c r="X7" s="5"/>
      <c r="Y7" s="8"/>
      <c r="Z7" s="6"/>
      <c r="AA7" s="6"/>
    </row>
    <row r="8">
      <c r="A8" s="6" t="str">
        <f t="array" ref="A8">XLOOKUP(D8, CountyTops!D:D, CountyTops!B:B, "")
</f>
        <v>Small</v>
      </c>
      <c r="B8" s="6"/>
      <c r="C8" s="6" t="str">
        <f>IFERROR(__xludf.DUMMYFUNCTION("""COMPUTED_VALUE"""),"Atlanta")</f>
        <v>Atlanta</v>
      </c>
      <c r="D8" s="6" t="str">
        <f>IFERROR(__xludf.DUMMYFUNCTION("""COMPUTED_VALUE"""),"Barrow")</f>
        <v>Barrow</v>
      </c>
      <c r="E8" s="6"/>
      <c r="F8" s="6"/>
      <c r="G8" s="6"/>
      <c r="H8" s="6"/>
      <c r="I8" s="6" t="str">
        <f>IFERROR(__xludf.DUMMYFUNCTION("""COMPUTED_VALUE"""),"#DIV/0!")</f>
        <v>#DIV/0!</v>
      </c>
      <c r="J8" s="6"/>
      <c r="K8" s="6"/>
      <c r="L8" s="6"/>
      <c r="M8" s="6"/>
      <c r="N8" s="5">
        <f>IFERROR(__xludf.DUMMYFUNCTION("""COMPUTED_VALUE"""),0.0)</f>
        <v>0</v>
      </c>
      <c r="O8" s="5"/>
      <c r="P8" s="8"/>
      <c r="Q8" s="5"/>
      <c r="R8" s="8"/>
      <c r="S8" s="5"/>
      <c r="T8" s="6"/>
      <c r="U8" s="8"/>
      <c r="V8" s="5"/>
      <c r="W8" s="6"/>
      <c r="X8" s="5"/>
      <c r="Y8" s="8"/>
      <c r="Z8" s="6"/>
      <c r="AA8" s="6"/>
    </row>
    <row r="9">
      <c r="A9" s="6" t="str">
        <f t="array" ref="A9">XLOOKUP(D9, CountyTops!D:D, CountyTops!B:B, "")
</f>
        <v>Mid-Small</v>
      </c>
      <c r="B9" s="6"/>
      <c r="C9" s="6" t="str">
        <f>IFERROR(__xludf.DUMMYFUNCTION("""COMPUTED_VALUE"""),"Atlanta")</f>
        <v>Atlanta</v>
      </c>
      <c r="D9" s="6" t="str">
        <f>IFERROR(__xludf.DUMMYFUNCTION("""COMPUTED_VALUE"""),"Bartow")</f>
        <v>Bartow</v>
      </c>
      <c r="E9" s="6"/>
      <c r="F9" s="6"/>
      <c r="G9" s="6"/>
      <c r="H9" s="6"/>
      <c r="I9" s="6" t="str">
        <f>IFERROR(__xludf.DUMMYFUNCTION("""COMPUTED_VALUE"""),"#DIV/0!")</f>
        <v>#DIV/0!</v>
      </c>
      <c r="J9" s="6"/>
      <c r="K9" s="6"/>
      <c r="L9" s="6"/>
      <c r="M9" s="6"/>
      <c r="N9" s="5">
        <f>IFERROR(__xludf.DUMMYFUNCTION("""COMPUTED_VALUE"""),0.0)</f>
        <v>0</v>
      </c>
      <c r="O9" s="5"/>
      <c r="P9" s="8"/>
      <c r="Q9" s="5"/>
      <c r="R9" s="8"/>
      <c r="S9" s="5"/>
      <c r="T9" s="6"/>
      <c r="U9" s="8"/>
      <c r="V9" s="5"/>
      <c r="W9" s="6"/>
      <c r="X9" s="5"/>
      <c r="Y9" s="8"/>
      <c r="Z9" s="6"/>
      <c r="AA9" s="6"/>
    </row>
    <row r="10">
      <c r="A10" s="6" t="str">
        <f t="array" ref="A10">XLOOKUP(D10, CountyTops!D:D, CountyTops!B:B, "")
</f>
        <v>Very Small</v>
      </c>
      <c r="B10" s="6"/>
      <c r="C10" s="6" t="str">
        <f>IFERROR(__xludf.DUMMYFUNCTION("""COMPUTED_VALUE"""),"Albany")</f>
        <v>Albany</v>
      </c>
      <c r="D10" s="6" t="str">
        <f>IFERROR(__xludf.DUMMYFUNCTION("""COMPUTED_VALUE"""),"Ben Hill")</f>
        <v>Ben Hill</v>
      </c>
      <c r="E10" s="6"/>
      <c r="F10" s="6"/>
      <c r="G10" s="6"/>
      <c r="H10" s="6"/>
      <c r="I10" s="6" t="str">
        <f>IFERROR(__xludf.DUMMYFUNCTION("""COMPUTED_VALUE"""),"#DIV/0!")</f>
        <v>#DIV/0!</v>
      </c>
      <c r="J10" s="6"/>
      <c r="K10" s="6"/>
      <c r="L10" s="6"/>
      <c r="M10" s="6"/>
      <c r="N10" s="5">
        <f>IFERROR(__xludf.DUMMYFUNCTION("""COMPUTED_VALUE"""),0.0)</f>
        <v>0</v>
      </c>
      <c r="O10" s="5"/>
      <c r="P10" s="8"/>
      <c r="Q10" s="5"/>
      <c r="R10" s="8"/>
      <c r="S10" s="5"/>
      <c r="T10" s="6"/>
      <c r="U10" s="8"/>
      <c r="V10" s="5"/>
      <c r="W10" s="6"/>
      <c r="X10" s="5"/>
      <c r="Y10" s="8"/>
      <c r="Z10" s="6"/>
      <c r="AA10" s="6"/>
    </row>
    <row r="11">
      <c r="A11" s="6" t="str">
        <f t="array" ref="A11">XLOOKUP(D11, CountyTops!D:D, CountyTops!B:B, "")
</f>
        <v>Very Small</v>
      </c>
      <c r="B11" s="6"/>
      <c r="C11" s="6" t="str">
        <f>IFERROR(__xludf.DUMMYFUNCTION("""COMPUTED_VALUE"""),"Albany")</f>
        <v>Albany</v>
      </c>
      <c r="D11" s="6" t="str">
        <f>IFERROR(__xludf.DUMMYFUNCTION("""COMPUTED_VALUE"""),"Berrien")</f>
        <v>Berrien</v>
      </c>
      <c r="E11" s="6"/>
      <c r="F11" s="6"/>
      <c r="G11" s="6"/>
      <c r="H11" s="6"/>
      <c r="I11" s="6" t="str">
        <f>IFERROR(__xludf.DUMMYFUNCTION("""COMPUTED_VALUE"""),"#DIV/0!")</f>
        <v>#DIV/0!</v>
      </c>
      <c r="J11" s="6"/>
      <c r="K11" s="6"/>
      <c r="L11" s="6"/>
      <c r="M11" s="6"/>
      <c r="N11" s="5">
        <f>IFERROR(__xludf.DUMMYFUNCTION("""COMPUTED_VALUE"""),0.0)</f>
        <v>0</v>
      </c>
      <c r="O11" s="5"/>
      <c r="P11" s="8"/>
      <c r="Q11" s="5"/>
      <c r="R11" s="8"/>
      <c r="S11" s="5"/>
      <c r="T11" s="6"/>
      <c r="U11" s="8"/>
      <c r="V11" s="5"/>
      <c r="W11" s="6"/>
      <c r="X11" s="5"/>
      <c r="Y11" s="8"/>
      <c r="Z11" s="6"/>
      <c r="AA11" s="6"/>
    </row>
    <row r="12">
      <c r="A12" s="6" t="str">
        <f t="array" ref="A12">XLOOKUP(D12, CountyTops!D:D, CountyTops!B:B, "")
</f>
        <v>Mid-Small</v>
      </c>
      <c r="B12" s="6"/>
      <c r="C12" s="6" t="str">
        <f>IFERROR(__xludf.DUMMYFUNCTION("""COMPUTED_VALUE"""),"Macon")</f>
        <v>Macon</v>
      </c>
      <c r="D12" s="6" t="str">
        <f>IFERROR(__xludf.DUMMYFUNCTION("""COMPUTED_VALUE"""),"Bibb")</f>
        <v>Bibb</v>
      </c>
      <c r="E12" s="6"/>
      <c r="F12" s="6"/>
      <c r="G12" s="6"/>
      <c r="H12" s="6"/>
      <c r="I12" s="6" t="str">
        <f>IFERROR(__xludf.DUMMYFUNCTION("""COMPUTED_VALUE"""),"#DIV/0!")</f>
        <v>#DIV/0!</v>
      </c>
      <c r="J12" s="6"/>
      <c r="K12" s="6"/>
      <c r="L12" s="6"/>
      <c r="M12" s="6"/>
      <c r="N12" s="5">
        <f>IFERROR(__xludf.DUMMYFUNCTION("""COMPUTED_VALUE"""),0.0)</f>
        <v>0</v>
      </c>
      <c r="O12" s="5"/>
      <c r="P12" s="8"/>
      <c r="Q12" s="5"/>
      <c r="R12" s="8"/>
      <c r="S12" s="5"/>
      <c r="T12" s="6"/>
      <c r="U12" s="8"/>
      <c r="V12" s="5"/>
      <c r="W12" s="6"/>
      <c r="X12" s="5"/>
      <c r="Y12" s="8"/>
      <c r="Z12" s="6"/>
      <c r="AA12" s="6"/>
    </row>
    <row r="13">
      <c r="A13" s="6" t="str">
        <f t="array" ref="A13">XLOOKUP(D13, CountyTops!D:D, CountyTops!B:B, "")
</f>
        <v>Very Small</v>
      </c>
      <c r="B13" s="6"/>
      <c r="C13" s="6" t="str">
        <f>IFERROR(__xludf.DUMMYFUNCTION("""COMPUTED_VALUE"""),"Macon")</f>
        <v>Macon</v>
      </c>
      <c r="D13" s="6" t="str">
        <f>IFERROR(__xludf.DUMMYFUNCTION("""COMPUTED_VALUE"""),"Bleckley")</f>
        <v>Bleckley</v>
      </c>
      <c r="E13" s="6"/>
      <c r="F13" s="6"/>
      <c r="G13" s="6"/>
      <c r="H13" s="6"/>
      <c r="I13" s="6" t="str">
        <f>IFERROR(__xludf.DUMMYFUNCTION("""COMPUTED_VALUE"""),"#DIV/0!")</f>
        <v>#DIV/0!</v>
      </c>
      <c r="J13" s="6"/>
      <c r="K13" s="6"/>
      <c r="L13" s="6"/>
      <c r="M13" s="6"/>
      <c r="N13" s="5">
        <f>IFERROR(__xludf.DUMMYFUNCTION("""COMPUTED_VALUE"""),0.0)</f>
        <v>0</v>
      </c>
      <c r="O13" s="5"/>
      <c r="P13" s="8"/>
      <c r="Q13" s="5"/>
      <c r="R13" s="8"/>
      <c r="S13" s="5"/>
      <c r="T13" s="6"/>
      <c r="U13" s="8"/>
      <c r="V13" s="5"/>
      <c r="W13" s="6"/>
      <c r="X13" s="5"/>
      <c r="Y13" s="8"/>
      <c r="Z13" s="6"/>
      <c r="AA13" s="6"/>
    </row>
    <row r="14">
      <c r="A14" s="6" t="str">
        <f t="array" ref="A14">XLOOKUP(D14, CountyTops!D:D, CountyTops!B:B, "")
</f>
        <v>Very Small</v>
      </c>
      <c r="B14" s="6"/>
      <c r="C14" s="6" t="str">
        <f>IFERROR(__xludf.DUMMYFUNCTION("""COMPUTED_VALUE"""),"Jacksonville, FL")</f>
        <v>Jacksonville, FL</v>
      </c>
      <c r="D14" s="6" t="str">
        <f>IFERROR(__xludf.DUMMYFUNCTION("""COMPUTED_VALUE"""),"Brantley")</f>
        <v>Brantley</v>
      </c>
      <c r="E14" s="6"/>
      <c r="F14" s="6"/>
      <c r="G14" s="6"/>
      <c r="H14" s="6"/>
      <c r="I14" s="6" t="str">
        <f>IFERROR(__xludf.DUMMYFUNCTION("""COMPUTED_VALUE"""),"#DIV/0!")</f>
        <v>#DIV/0!</v>
      </c>
      <c r="J14" s="6"/>
      <c r="K14" s="6"/>
      <c r="L14" s="6"/>
      <c r="M14" s="6"/>
      <c r="N14" s="5">
        <f>IFERROR(__xludf.DUMMYFUNCTION("""COMPUTED_VALUE"""),0.0)</f>
        <v>0</v>
      </c>
      <c r="O14" s="5"/>
      <c r="P14" s="8"/>
      <c r="Q14" s="5"/>
      <c r="R14" s="8"/>
      <c r="S14" s="5"/>
      <c r="T14" s="6"/>
      <c r="U14" s="8"/>
      <c r="V14" s="5"/>
      <c r="W14" s="6"/>
      <c r="X14" s="5"/>
      <c r="Y14" s="8"/>
      <c r="Z14" s="6"/>
      <c r="AA14" s="6"/>
    </row>
    <row r="15">
      <c r="A15" s="6" t="str">
        <f t="array" ref="A15">XLOOKUP(D15, CountyTops!D:D, CountyTops!B:B, "")
</f>
        <v>Very Small</v>
      </c>
      <c r="B15" s="6"/>
      <c r="C15" s="6" t="str">
        <f>IFERROR(__xludf.DUMMYFUNCTION("""COMPUTED_VALUE"""),"Tallahassee, FL")</f>
        <v>Tallahassee, FL</v>
      </c>
      <c r="D15" s="6" t="str">
        <f>IFERROR(__xludf.DUMMYFUNCTION("""COMPUTED_VALUE"""),"Brooks")</f>
        <v>Brooks</v>
      </c>
      <c r="E15" s="6"/>
      <c r="F15" s="6"/>
      <c r="G15" s="6"/>
      <c r="H15" s="6"/>
      <c r="I15" s="6" t="str">
        <f>IFERROR(__xludf.DUMMYFUNCTION("""COMPUTED_VALUE"""),"#DIV/0!")</f>
        <v>#DIV/0!</v>
      </c>
      <c r="J15" s="6"/>
      <c r="K15" s="6"/>
      <c r="L15" s="6"/>
      <c r="M15" s="6"/>
      <c r="N15" s="5">
        <f>IFERROR(__xludf.DUMMYFUNCTION("""COMPUTED_VALUE"""),0.0)</f>
        <v>0</v>
      </c>
      <c r="O15" s="5"/>
      <c r="P15" s="8"/>
      <c r="Q15" s="5"/>
      <c r="R15" s="8"/>
      <c r="S15" s="5"/>
      <c r="T15" s="6"/>
      <c r="U15" s="8"/>
      <c r="V15" s="5"/>
      <c r="W15" s="6"/>
      <c r="X15" s="5"/>
      <c r="Y15" s="8"/>
      <c r="Z15" s="6"/>
      <c r="AA15" s="6"/>
    </row>
    <row r="16">
      <c r="A16" s="6" t="str">
        <f t="array" ref="A16">XLOOKUP(D16, CountyTops!D:D, CountyTops!B:B, "")
</f>
        <v>Very Small</v>
      </c>
      <c r="B16" s="6"/>
      <c r="C16" s="6" t="str">
        <f>IFERROR(__xludf.DUMMYFUNCTION("""COMPUTED_VALUE"""),"Savannah")</f>
        <v>Savannah</v>
      </c>
      <c r="D16" s="6" t="str">
        <f>IFERROR(__xludf.DUMMYFUNCTION("""COMPUTED_VALUE"""),"Bryan")</f>
        <v>Bryan</v>
      </c>
      <c r="E16" s="6"/>
      <c r="F16" s="6"/>
      <c r="G16" s="6"/>
      <c r="H16" s="6"/>
      <c r="I16" s="6" t="str">
        <f>IFERROR(__xludf.DUMMYFUNCTION("""COMPUTED_VALUE"""),"#DIV/0!")</f>
        <v>#DIV/0!</v>
      </c>
      <c r="J16" s="6"/>
      <c r="K16" s="6"/>
      <c r="L16" s="6"/>
      <c r="M16" s="6"/>
      <c r="N16" s="5">
        <f>IFERROR(__xludf.DUMMYFUNCTION("""COMPUTED_VALUE"""),0.0)</f>
        <v>0</v>
      </c>
      <c r="O16" s="5"/>
      <c r="P16" s="8"/>
      <c r="Q16" s="5"/>
      <c r="R16" s="8"/>
      <c r="S16" s="5"/>
      <c r="T16" s="6"/>
      <c r="U16" s="8"/>
      <c r="V16" s="5"/>
      <c r="W16" s="6"/>
      <c r="X16" s="5"/>
      <c r="Y16" s="8"/>
      <c r="Z16" s="6"/>
      <c r="AA16" s="6"/>
    </row>
    <row r="17">
      <c r="A17" s="6" t="str">
        <f t="array" ref="A17">XLOOKUP(D17, CountyTops!D:D, CountyTops!B:B, "")
</f>
        <v>Small</v>
      </c>
      <c r="B17" s="6"/>
      <c r="C17" s="6" t="str">
        <f>IFERROR(__xludf.DUMMYFUNCTION("""COMPUTED_VALUE"""),"Savannah")</f>
        <v>Savannah</v>
      </c>
      <c r="D17" s="6" t="str">
        <f>IFERROR(__xludf.DUMMYFUNCTION("""COMPUTED_VALUE"""),"Bulloch")</f>
        <v>Bulloch</v>
      </c>
      <c r="E17" s="6"/>
      <c r="F17" s="6"/>
      <c r="G17" s="6"/>
      <c r="H17" s="6"/>
      <c r="I17" s="6" t="str">
        <f>IFERROR(__xludf.DUMMYFUNCTION("""COMPUTED_VALUE"""),"#DIV/0!")</f>
        <v>#DIV/0!</v>
      </c>
      <c r="J17" s="6"/>
      <c r="K17" s="6"/>
      <c r="L17" s="6"/>
      <c r="M17" s="6"/>
      <c r="N17" s="5">
        <f>IFERROR(__xludf.DUMMYFUNCTION("""COMPUTED_VALUE"""),0.0)</f>
        <v>0</v>
      </c>
      <c r="O17" s="5"/>
      <c r="P17" s="8"/>
      <c r="Q17" s="5"/>
      <c r="R17" s="8"/>
      <c r="S17" s="5"/>
      <c r="T17" s="6"/>
      <c r="U17" s="8"/>
      <c r="V17" s="5"/>
      <c r="W17" s="6"/>
      <c r="X17" s="5"/>
      <c r="Y17" s="8"/>
      <c r="Z17" s="6"/>
      <c r="AA17" s="6"/>
    </row>
    <row r="18">
      <c r="A18" s="6" t="str">
        <f t="array" ref="A18">XLOOKUP(D18, CountyTops!D:D, CountyTops!B:B, "")
</f>
        <v>Very Small</v>
      </c>
      <c r="B18" s="6"/>
      <c r="C18" s="6" t="str">
        <f>IFERROR(__xludf.DUMMYFUNCTION("""COMPUTED_VALUE"""),"Augusta")</f>
        <v>Augusta</v>
      </c>
      <c r="D18" s="6" t="str">
        <f>IFERROR(__xludf.DUMMYFUNCTION("""COMPUTED_VALUE"""),"Burke")</f>
        <v>Burke</v>
      </c>
      <c r="E18" s="6"/>
      <c r="F18" s="6"/>
      <c r="G18" s="6"/>
      <c r="H18" s="6"/>
      <c r="I18" s="6" t="str">
        <f>IFERROR(__xludf.DUMMYFUNCTION("""COMPUTED_VALUE"""),"#DIV/0!")</f>
        <v>#DIV/0!</v>
      </c>
      <c r="J18" s="6"/>
      <c r="K18" s="6"/>
      <c r="L18" s="6"/>
      <c r="M18" s="6"/>
      <c r="N18" s="5">
        <f>IFERROR(__xludf.DUMMYFUNCTION("""COMPUTED_VALUE"""),0.0)</f>
        <v>0</v>
      </c>
      <c r="O18" s="5"/>
      <c r="P18" s="8"/>
      <c r="Q18" s="5"/>
      <c r="R18" s="8"/>
      <c r="S18" s="5"/>
      <c r="T18" s="6"/>
      <c r="U18" s="8"/>
      <c r="V18" s="5"/>
      <c r="W18" s="6"/>
      <c r="X18" s="5"/>
      <c r="Y18" s="8"/>
      <c r="Z18" s="6"/>
      <c r="AA18" s="6"/>
    </row>
    <row r="19">
      <c r="A19" s="6" t="str">
        <f t="array" ref="A19">XLOOKUP(D19, CountyTops!D:D, CountyTops!B:B, "")
</f>
        <v>Very Small</v>
      </c>
      <c r="B19" s="6"/>
      <c r="C19" s="6" t="str">
        <f>IFERROR(__xludf.DUMMYFUNCTION("""COMPUTED_VALUE"""),"Atlanta")</f>
        <v>Atlanta</v>
      </c>
      <c r="D19" s="6" t="str">
        <f>IFERROR(__xludf.DUMMYFUNCTION("""COMPUTED_VALUE"""),"Butts")</f>
        <v>Butts</v>
      </c>
      <c r="E19" s="6"/>
      <c r="F19" s="6"/>
      <c r="G19" s="6"/>
      <c r="H19" s="6"/>
      <c r="I19" s="6" t="str">
        <f>IFERROR(__xludf.DUMMYFUNCTION("""COMPUTED_VALUE"""),"#DIV/0!")</f>
        <v>#DIV/0!</v>
      </c>
      <c r="J19" s="6"/>
      <c r="K19" s="6"/>
      <c r="L19" s="6"/>
      <c r="M19" s="6"/>
      <c r="N19" s="5">
        <f>IFERROR(__xludf.DUMMYFUNCTION("""COMPUTED_VALUE"""),0.0)</f>
        <v>0</v>
      </c>
      <c r="O19" s="5"/>
      <c r="P19" s="8"/>
      <c r="Q19" s="5"/>
      <c r="R19" s="8"/>
      <c r="S19" s="5"/>
      <c r="T19" s="6"/>
      <c r="U19" s="8"/>
      <c r="V19" s="5"/>
      <c r="W19" s="6"/>
      <c r="X19" s="5"/>
      <c r="Y19" s="8"/>
      <c r="Z19" s="6"/>
      <c r="AA19" s="6"/>
    </row>
    <row r="20">
      <c r="A20" s="6" t="str">
        <f t="array" ref="A20">XLOOKUP(D20, CountyTops!D:D, CountyTops!B:B, "")
</f>
        <v>Micro</v>
      </c>
      <c r="B20" s="6"/>
      <c r="C20" s="6" t="str">
        <f>IFERROR(__xludf.DUMMYFUNCTION("""COMPUTED_VALUE"""),"Albany")</f>
        <v>Albany</v>
      </c>
      <c r="D20" s="6" t="str">
        <f>IFERROR(__xludf.DUMMYFUNCTION("""COMPUTED_VALUE"""),"Calhoun")</f>
        <v>Calhoun</v>
      </c>
      <c r="E20" s="6"/>
      <c r="F20" s="6"/>
      <c r="G20" s="6"/>
      <c r="H20" s="6"/>
      <c r="I20" s="6" t="str">
        <f>IFERROR(__xludf.DUMMYFUNCTION("""COMPUTED_VALUE"""),"#DIV/0!")</f>
        <v>#DIV/0!</v>
      </c>
      <c r="J20" s="6"/>
      <c r="K20" s="6"/>
      <c r="L20" s="6"/>
      <c r="M20" s="6"/>
      <c r="N20" s="5">
        <f>IFERROR(__xludf.DUMMYFUNCTION("""COMPUTED_VALUE"""),0.0)</f>
        <v>0</v>
      </c>
      <c r="O20" s="5"/>
      <c r="P20" s="8"/>
      <c r="Q20" s="5"/>
      <c r="R20" s="8"/>
      <c r="S20" s="5"/>
      <c r="T20" s="6"/>
      <c r="U20" s="8"/>
      <c r="V20" s="5"/>
      <c r="W20" s="6"/>
      <c r="X20" s="5"/>
      <c r="Y20" s="8"/>
      <c r="Z20" s="6"/>
      <c r="AA20" s="6"/>
    </row>
    <row r="21">
      <c r="A21" s="6" t="str">
        <f t="array" ref="A21">XLOOKUP(D21, CountyTops!D:D, CountyTops!B:B, "")
</f>
        <v>Small</v>
      </c>
      <c r="B21" s="6"/>
      <c r="C21" s="6" t="str">
        <f>IFERROR(__xludf.DUMMYFUNCTION("""COMPUTED_VALUE"""),"Jacksonville, FL")</f>
        <v>Jacksonville, FL</v>
      </c>
      <c r="D21" s="6" t="str">
        <f>IFERROR(__xludf.DUMMYFUNCTION("""COMPUTED_VALUE"""),"Camden")</f>
        <v>Camden</v>
      </c>
      <c r="E21" s="6"/>
      <c r="F21" s="6"/>
      <c r="G21" s="6"/>
      <c r="H21" s="6"/>
      <c r="I21" s="6" t="str">
        <f>IFERROR(__xludf.DUMMYFUNCTION("""COMPUTED_VALUE"""),"#DIV/0!")</f>
        <v>#DIV/0!</v>
      </c>
      <c r="J21" s="6"/>
      <c r="K21" s="6"/>
      <c r="L21" s="6"/>
      <c r="M21" s="6"/>
      <c r="N21" s="5">
        <f>IFERROR(__xludf.DUMMYFUNCTION("""COMPUTED_VALUE"""),0.0)</f>
        <v>0</v>
      </c>
      <c r="O21" s="5"/>
      <c r="P21" s="8"/>
      <c r="Q21" s="5"/>
      <c r="R21" s="8"/>
      <c r="S21" s="5"/>
      <c r="T21" s="6"/>
      <c r="U21" s="8"/>
      <c r="V21" s="5"/>
      <c r="W21" s="6"/>
      <c r="X21" s="5"/>
      <c r="Y21" s="8"/>
      <c r="Z21" s="6"/>
      <c r="AA21" s="6"/>
    </row>
    <row r="22">
      <c r="A22" s="6" t="str">
        <f t="array" ref="A22">XLOOKUP(D22, CountyTops!D:D, CountyTops!B:B, "")
</f>
        <v>Very Small</v>
      </c>
      <c r="B22" s="6"/>
      <c r="C22" s="6" t="str">
        <f>IFERROR(__xludf.DUMMYFUNCTION("""COMPUTED_VALUE"""),"Savannah")</f>
        <v>Savannah</v>
      </c>
      <c r="D22" s="6" t="str">
        <f>IFERROR(__xludf.DUMMYFUNCTION("""COMPUTED_VALUE"""),"Candler")</f>
        <v>Candler</v>
      </c>
      <c r="E22" s="6"/>
      <c r="F22" s="6"/>
      <c r="G22" s="6"/>
      <c r="H22" s="6"/>
      <c r="I22" s="6" t="str">
        <f>IFERROR(__xludf.DUMMYFUNCTION("""COMPUTED_VALUE"""),"#DIV/0!")</f>
        <v>#DIV/0!</v>
      </c>
      <c r="J22" s="6"/>
      <c r="K22" s="6"/>
      <c r="L22" s="6"/>
      <c r="M22" s="6"/>
      <c r="N22" s="5">
        <f>IFERROR(__xludf.DUMMYFUNCTION("""COMPUTED_VALUE"""),0.0)</f>
        <v>0</v>
      </c>
      <c r="O22" s="5"/>
      <c r="P22" s="8"/>
      <c r="Q22" s="5"/>
      <c r="R22" s="8"/>
      <c r="S22" s="5"/>
      <c r="T22" s="6"/>
      <c r="U22" s="8"/>
      <c r="V22" s="5"/>
      <c r="W22" s="6"/>
      <c r="X22" s="5"/>
      <c r="Y22" s="8"/>
      <c r="Z22" s="6"/>
      <c r="AA22" s="6"/>
    </row>
    <row r="23">
      <c r="A23" s="6" t="str">
        <f t="array" ref="A23">XLOOKUP(D23, CountyTops!D:D, CountyTops!B:B, "")
</f>
        <v>Mid-Small</v>
      </c>
      <c r="B23" s="6"/>
      <c r="C23" s="6" t="str">
        <f>IFERROR(__xludf.DUMMYFUNCTION("""COMPUTED_VALUE"""),"Atlanta")</f>
        <v>Atlanta</v>
      </c>
      <c r="D23" s="6" t="str">
        <f>IFERROR(__xludf.DUMMYFUNCTION("""COMPUTED_VALUE"""),"Carroll")</f>
        <v>Carroll</v>
      </c>
      <c r="E23" s="6"/>
      <c r="F23" s="6"/>
      <c r="G23" s="6"/>
      <c r="H23" s="6"/>
      <c r="I23" s="6" t="str">
        <f>IFERROR(__xludf.DUMMYFUNCTION("""COMPUTED_VALUE"""),"#DIV/0!")</f>
        <v>#DIV/0!</v>
      </c>
      <c r="J23" s="6"/>
      <c r="K23" s="6"/>
      <c r="L23" s="6"/>
      <c r="M23" s="6"/>
      <c r="N23" s="5">
        <f>IFERROR(__xludf.DUMMYFUNCTION("""COMPUTED_VALUE"""),0.0)</f>
        <v>0</v>
      </c>
      <c r="O23" s="5"/>
      <c r="P23" s="8"/>
      <c r="Q23" s="5"/>
      <c r="R23" s="8"/>
      <c r="S23" s="5"/>
      <c r="T23" s="6"/>
      <c r="U23" s="8"/>
      <c r="V23" s="5"/>
      <c r="W23" s="6"/>
      <c r="X23" s="5"/>
      <c r="Y23" s="8"/>
      <c r="Z23" s="6"/>
      <c r="AA23" s="6"/>
    </row>
    <row r="24">
      <c r="A24" s="6" t="str">
        <f t="array" ref="A24">XLOOKUP(D24, CountyTops!D:D, CountyTops!B:B, "")
</f>
        <v>Small</v>
      </c>
      <c r="B24" s="6"/>
      <c r="C24" s="6" t="str">
        <f>IFERROR(__xludf.DUMMYFUNCTION("""COMPUTED_VALUE"""),"Chattanooga")</f>
        <v>Chattanooga</v>
      </c>
      <c r="D24" s="6" t="str">
        <f>IFERROR(__xludf.DUMMYFUNCTION("""COMPUTED_VALUE"""),"Catoosa")</f>
        <v>Catoosa</v>
      </c>
      <c r="E24" s="6"/>
      <c r="F24" s="6"/>
      <c r="G24" s="6"/>
      <c r="H24" s="6"/>
      <c r="I24" s="6" t="str">
        <f>IFERROR(__xludf.DUMMYFUNCTION("""COMPUTED_VALUE"""),"#DIV/0!")</f>
        <v>#DIV/0!</v>
      </c>
      <c r="J24" s="6"/>
      <c r="K24" s="6"/>
      <c r="L24" s="6"/>
      <c r="M24" s="6"/>
      <c r="N24" s="5">
        <f>IFERROR(__xludf.DUMMYFUNCTION("""COMPUTED_VALUE"""),0.0)</f>
        <v>0</v>
      </c>
      <c r="O24" s="5"/>
      <c r="P24" s="8"/>
      <c r="Q24" s="5"/>
      <c r="R24" s="8"/>
      <c r="S24" s="5"/>
      <c r="T24" s="6"/>
      <c r="U24" s="8"/>
      <c r="V24" s="5"/>
      <c r="W24" s="6"/>
      <c r="X24" s="5"/>
      <c r="Y24" s="8"/>
      <c r="Z24" s="6"/>
      <c r="AA24" s="6"/>
    </row>
    <row r="25">
      <c r="A25" s="6" t="str">
        <f t="array" ref="A25">XLOOKUP(D25, CountyTops!D:D, CountyTops!B:B, "")
</f>
        <v>Very Small</v>
      </c>
      <c r="B25" s="6"/>
      <c r="C25" s="6" t="str">
        <f>IFERROR(__xludf.DUMMYFUNCTION("""COMPUTED_VALUE"""),"Jacksonville, FL")</f>
        <v>Jacksonville, FL</v>
      </c>
      <c r="D25" s="6" t="str">
        <f>IFERROR(__xludf.DUMMYFUNCTION("""COMPUTED_VALUE"""),"Charlton")</f>
        <v>Charlton</v>
      </c>
      <c r="E25" s="6"/>
      <c r="F25" s="6"/>
      <c r="G25" s="6"/>
      <c r="H25" s="6"/>
      <c r="I25" s="6" t="str">
        <f>IFERROR(__xludf.DUMMYFUNCTION("""COMPUTED_VALUE"""),"#DIV/0!")</f>
        <v>#DIV/0!</v>
      </c>
      <c r="J25" s="6"/>
      <c r="K25" s="6"/>
      <c r="L25" s="6"/>
      <c r="M25" s="6"/>
      <c r="N25" s="5">
        <f>IFERROR(__xludf.DUMMYFUNCTION("""COMPUTED_VALUE"""),0.0)</f>
        <v>0</v>
      </c>
      <c r="O25" s="5"/>
      <c r="P25" s="8"/>
      <c r="Q25" s="5"/>
      <c r="R25" s="8"/>
      <c r="S25" s="5"/>
      <c r="T25" s="6"/>
      <c r="U25" s="8"/>
      <c r="V25" s="5"/>
      <c r="W25" s="6"/>
      <c r="X25" s="5"/>
      <c r="Y25" s="8"/>
      <c r="Z25" s="6"/>
      <c r="AA25" s="6"/>
    </row>
    <row r="26">
      <c r="A26" s="6" t="str">
        <f t="array" ref="A26">XLOOKUP(D26, CountyTops!D:D, CountyTops!B:B, "")
</f>
        <v>Mid-Large</v>
      </c>
      <c r="B26" s="6"/>
      <c r="C26" s="6" t="str">
        <f>IFERROR(__xludf.DUMMYFUNCTION("""COMPUTED_VALUE"""),"Savannah")</f>
        <v>Savannah</v>
      </c>
      <c r="D26" s="6" t="str">
        <f>IFERROR(__xludf.DUMMYFUNCTION("""COMPUTED_VALUE"""),"Chatham")</f>
        <v>Chatham</v>
      </c>
      <c r="E26" s="6"/>
      <c r="F26" s="6"/>
      <c r="G26" s="6"/>
      <c r="H26" s="6"/>
      <c r="I26" s="6" t="str">
        <f>IFERROR(__xludf.DUMMYFUNCTION("""COMPUTED_VALUE"""),"#DIV/0!")</f>
        <v>#DIV/0!</v>
      </c>
      <c r="J26" s="6"/>
      <c r="K26" s="6"/>
      <c r="L26" s="6"/>
      <c r="M26" s="6"/>
      <c r="N26" s="5">
        <f>IFERROR(__xludf.DUMMYFUNCTION("""COMPUTED_VALUE"""),0.0)</f>
        <v>0</v>
      </c>
      <c r="O26" s="5"/>
      <c r="P26" s="8"/>
      <c r="Q26" s="5"/>
      <c r="R26" s="8"/>
      <c r="S26" s="5"/>
      <c r="T26" s="6"/>
      <c r="U26" s="8"/>
      <c r="V26" s="5"/>
      <c r="W26" s="6"/>
      <c r="X26" s="5"/>
      <c r="Y26" s="8"/>
      <c r="Z26" s="6"/>
      <c r="AA26" s="6"/>
    </row>
    <row r="27">
      <c r="A27" s="6" t="str">
        <f t="array" ref="A27">XLOOKUP(D27, CountyTops!D:D, CountyTops!B:B, "")
</f>
        <v>Micro</v>
      </c>
      <c r="B27" s="6"/>
      <c r="C27" s="6" t="str">
        <f>IFERROR(__xludf.DUMMYFUNCTION("""COMPUTED_VALUE"""),"Columbus")</f>
        <v>Columbus</v>
      </c>
      <c r="D27" s="6" t="str">
        <f>IFERROR(__xludf.DUMMYFUNCTION("""COMPUTED_VALUE"""),"Chattahoochee")</f>
        <v>Chattahoochee</v>
      </c>
      <c r="E27" s="6"/>
      <c r="F27" s="6"/>
      <c r="G27" s="6"/>
      <c r="H27" s="6"/>
      <c r="I27" s="6" t="str">
        <f>IFERROR(__xludf.DUMMYFUNCTION("""COMPUTED_VALUE"""),"#DIV/0!")</f>
        <v>#DIV/0!</v>
      </c>
      <c r="J27" s="6"/>
      <c r="K27" s="6"/>
      <c r="L27" s="6"/>
      <c r="M27" s="6"/>
      <c r="N27" s="5">
        <f>IFERROR(__xludf.DUMMYFUNCTION("""COMPUTED_VALUE"""),0.0)</f>
        <v>0</v>
      </c>
      <c r="O27" s="5"/>
      <c r="P27" s="8"/>
      <c r="Q27" s="5"/>
      <c r="R27" s="8"/>
      <c r="S27" s="5"/>
      <c r="T27" s="6"/>
      <c r="U27" s="8"/>
      <c r="V27" s="5"/>
      <c r="W27" s="6"/>
      <c r="X27" s="5"/>
      <c r="Y27" s="8"/>
      <c r="Z27" s="6"/>
      <c r="AA27" s="6"/>
    </row>
    <row r="28">
      <c r="A28" s="6" t="str">
        <f t="array" ref="A28">XLOOKUP(D28, CountyTops!D:D, CountyTops!B:B, "")
</f>
        <v>Very Small</v>
      </c>
      <c r="B28" s="6"/>
      <c r="C28" s="6" t="str">
        <f>IFERROR(__xludf.DUMMYFUNCTION("""COMPUTED_VALUE"""),"Atlanta")</f>
        <v>Atlanta</v>
      </c>
      <c r="D28" s="6" t="str">
        <f>IFERROR(__xludf.DUMMYFUNCTION("""COMPUTED_VALUE"""),"Chattooga")</f>
        <v>Chattooga</v>
      </c>
      <c r="E28" s="6"/>
      <c r="F28" s="6"/>
      <c r="G28" s="6"/>
      <c r="H28" s="6"/>
      <c r="I28" s="6" t="str">
        <f>IFERROR(__xludf.DUMMYFUNCTION("""COMPUTED_VALUE"""),"#DIV/0!")</f>
        <v>#DIV/0!</v>
      </c>
      <c r="J28" s="6"/>
      <c r="K28" s="6"/>
      <c r="L28" s="6"/>
      <c r="M28" s="6"/>
      <c r="N28" s="5">
        <f>IFERROR(__xludf.DUMMYFUNCTION("""COMPUTED_VALUE"""),0.0)</f>
        <v>0</v>
      </c>
      <c r="O28" s="5"/>
      <c r="P28" s="8"/>
      <c r="Q28" s="5"/>
      <c r="R28" s="8"/>
      <c r="S28" s="5"/>
      <c r="T28" s="6"/>
      <c r="U28" s="8"/>
      <c r="V28" s="5"/>
      <c r="W28" s="6"/>
      <c r="X28" s="5"/>
      <c r="Y28" s="8"/>
      <c r="Z28" s="6"/>
      <c r="AA28" s="6"/>
    </row>
    <row r="29">
      <c r="A29" s="6" t="str">
        <f t="array" ref="A29">XLOOKUP(D29, CountyTops!D:D, CountyTops!B:B, "")
</f>
        <v>Large</v>
      </c>
      <c r="B29" s="6"/>
      <c r="C29" s="6" t="str">
        <f>IFERROR(__xludf.DUMMYFUNCTION("""COMPUTED_VALUE"""),"Atlanta")</f>
        <v>Atlanta</v>
      </c>
      <c r="D29" s="6" t="str">
        <f>IFERROR(__xludf.DUMMYFUNCTION("""COMPUTED_VALUE"""),"Cherokee")</f>
        <v>Cherokee</v>
      </c>
      <c r="E29" s="6"/>
      <c r="F29" s="6"/>
      <c r="G29" s="6"/>
      <c r="H29" s="6"/>
      <c r="I29" s="6" t="str">
        <f>IFERROR(__xludf.DUMMYFUNCTION("""COMPUTED_VALUE"""),"#DIV/0!")</f>
        <v>#DIV/0!</v>
      </c>
      <c r="J29" s="6"/>
      <c r="K29" s="6"/>
      <c r="L29" s="6"/>
      <c r="M29" s="6"/>
      <c r="N29" s="5">
        <f>IFERROR(__xludf.DUMMYFUNCTION("""COMPUTED_VALUE"""),0.0)</f>
        <v>0</v>
      </c>
      <c r="O29" s="5"/>
      <c r="P29" s="8"/>
      <c r="Q29" s="5"/>
      <c r="R29" s="8"/>
      <c r="S29" s="5"/>
      <c r="T29" s="6"/>
      <c r="U29" s="8"/>
      <c r="V29" s="5"/>
      <c r="W29" s="6"/>
      <c r="X29" s="5"/>
      <c r="Y29" s="8"/>
      <c r="Z29" s="6"/>
      <c r="AA29" s="6"/>
    </row>
    <row r="30">
      <c r="A30" s="6" t="str">
        <f t="array" ref="A30">XLOOKUP(D30, CountyTops!D:D, CountyTops!B:B, "")
</f>
        <v>Small</v>
      </c>
      <c r="B30" s="6"/>
      <c r="C30" s="6" t="str">
        <f>IFERROR(__xludf.DUMMYFUNCTION("""COMPUTED_VALUE"""),"Atlanta")</f>
        <v>Atlanta</v>
      </c>
      <c r="D30" s="6" t="str">
        <f>IFERROR(__xludf.DUMMYFUNCTION("""COMPUTED_VALUE"""),"Clarke")</f>
        <v>Clarke</v>
      </c>
      <c r="E30" s="6"/>
      <c r="F30" s="6"/>
      <c r="G30" s="6"/>
      <c r="H30" s="6"/>
      <c r="I30" s="6" t="str">
        <f>IFERROR(__xludf.DUMMYFUNCTION("""COMPUTED_VALUE"""),"#DIV/0!")</f>
        <v>#DIV/0!</v>
      </c>
      <c r="J30" s="6"/>
      <c r="K30" s="6"/>
      <c r="L30" s="6"/>
      <c r="M30" s="6"/>
      <c r="N30" s="5">
        <f>IFERROR(__xludf.DUMMYFUNCTION("""COMPUTED_VALUE"""),0.0)</f>
        <v>0</v>
      </c>
      <c r="O30" s="5"/>
      <c r="P30" s="8"/>
      <c r="Q30" s="5"/>
      <c r="R30" s="8"/>
      <c r="S30" s="5"/>
      <c r="T30" s="6"/>
      <c r="U30" s="8"/>
      <c r="V30" s="5"/>
      <c r="W30" s="6"/>
      <c r="X30" s="5"/>
      <c r="Y30" s="8"/>
      <c r="Z30" s="6"/>
      <c r="AA30" s="6"/>
    </row>
    <row r="31">
      <c r="A31" s="6" t="str">
        <f t="array" ref="A31">XLOOKUP(D31, CountyTops!D:D, CountyTops!B:B, "")
</f>
        <v>Micro</v>
      </c>
      <c r="B31" s="6"/>
      <c r="C31" s="6" t="str">
        <f>IFERROR(__xludf.DUMMYFUNCTION("""COMPUTED_VALUE"""),"Columbus")</f>
        <v>Columbus</v>
      </c>
      <c r="D31" s="6" t="str">
        <f>IFERROR(__xludf.DUMMYFUNCTION("""COMPUTED_VALUE"""),"Clay")</f>
        <v>Clay</v>
      </c>
      <c r="E31" s="6"/>
      <c r="F31" s="6"/>
      <c r="G31" s="6"/>
      <c r="H31" s="6"/>
      <c r="I31" s="6" t="str">
        <f>IFERROR(__xludf.DUMMYFUNCTION("""COMPUTED_VALUE"""),"#DIV/0!")</f>
        <v>#DIV/0!</v>
      </c>
      <c r="J31" s="6"/>
      <c r="K31" s="6"/>
      <c r="L31" s="6"/>
      <c r="M31" s="6"/>
      <c r="N31" s="5">
        <f>IFERROR(__xludf.DUMMYFUNCTION("""COMPUTED_VALUE"""),0.0)</f>
        <v>0</v>
      </c>
      <c r="O31" s="5"/>
      <c r="P31" s="8"/>
      <c r="Q31" s="5"/>
      <c r="R31" s="8"/>
      <c r="S31" s="5"/>
      <c r="T31" s="6"/>
      <c r="U31" s="8"/>
      <c r="V31" s="5"/>
      <c r="W31" s="6"/>
      <c r="X31" s="5"/>
      <c r="Y31" s="8"/>
      <c r="Z31" s="6"/>
      <c r="AA31" s="6"/>
    </row>
    <row r="32">
      <c r="A32" s="6" t="str">
        <f t="array" ref="A32">XLOOKUP(D32, CountyTops!D:D, CountyTops!B:B, "")
</f>
        <v>Very Small</v>
      </c>
      <c r="B32" s="6"/>
      <c r="C32" s="6" t="str">
        <f>IFERROR(__xludf.DUMMYFUNCTION("""COMPUTED_VALUE"""),"Atlanta")</f>
        <v>Atlanta</v>
      </c>
      <c r="D32" s="6" t="str">
        <f>IFERROR(__xludf.DUMMYFUNCTION("""COMPUTED_VALUE"""),"Clayton")</f>
        <v>Clayton</v>
      </c>
      <c r="E32" s="6"/>
      <c r="F32" s="6"/>
      <c r="G32" s="6"/>
      <c r="H32" s="6"/>
      <c r="I32" s="6" t="str">
        <f>IFERROR(__xludf.DUMMYFUNCTION("""COMPUTED_VALUE"""),"#DIV/0!")</f>
        <v>#DIV/0!</v>
      </c>
      <c r="J32" s="6"/>
      <c r="K32" s="6"/>
      <c r="L32" s="6"/>
      <c r="M32" s="6"/>
      <c r="N32" s="5">
        <f>IFERROR(__xludf.DUMMYFUNCTION("""COMPUTED_VALUE"""),0.0)</f>
        <v>0</v>
      </c>
      <c r="O32" s="5"/>
      <c r="P32" s="8"/>
      <c r="Q32" s="5"/>
      <c r="R32" s="8"/>
      <c r="S32" s="5"/>
      <c r="T32" s="6"/>
      <c r="U32" s="8"/>
      <c r="V32" s="5"/>
      <c r="W32" s="6"/>
      <c r="X32" s="5"/>
      <c r="Y32" s="8"/>
      <c r="Z32" s="6"/>
      <c r="AA32" s="6"/>
    </row>
    <row r="33">
      <c r="A33" s="6" t="str">
        <f t="array" ref="A33">XLOOKUP(D33, CountyTops!D:D, CountyTops!B:B, "")
</f>
        <v>Micro</v>
      </c>
      <c r="B33" s="6"/>
      <c r="C33" s="6" t="str">
        <f>IFERROR(__xludf.DUMMYFUNCTION("""COMPUTED_VALUE"""),"Tallahassee, FL")</f>
        <v>Tallahassee, FL</v>
      </c>
      <c r="D33" s="6" t="str">
        <f>IFERROR(__xludf.DUMMYFUNCTION("""COMPUTED_VALUE"""),"Clinch")</f>
        <v>Clinch</v>
      </c>
      <c r="E33" s="6"/>
      <c r="F33" s="6"/>
      <c r="G33" s="6"/>
      <c r="H33" s="6"/>
      <c r="I33" s="6" t="str">
        <f>IFERROR(__xludf.DUMMYFUNCTION("""COMPUTED_VALUE"""),"#DIV/0!")</f>
        <v>#DIV/0!</v>
      </c>
      <c r="J33" s="6"/>
      <c r="K33" s="6"/>
      <c r="L33" s="6"/>
      <c r="M33" s="6"/>
      <c r="N33" s="5">
        <f>IFERROR(__xludf.DUMMYFUNCTION("""COMPUTED_VALUE"""),0.0)</f>
        <v>0</v>
      </c>
      <c r="O33" s="5"/>
      <c r="P33" s="8"/>
      <c r="Q33" s="5"/>
      <c r="R33" s="8"/>
      <c r="S33" s="5"/>
      <c r="T33" s="6"/>
      <c r="U33" s="8"/>
      <c r="V33" s="5"/>
      <c r="W33" s="6"/>
      <c r="X33" s="5"/>
      <c r="Y33" s="8"/>
      <c r="Z33" s="6"/>
      <c r="AA33" s="6"/>
    </row>
    <row r="34">
      <c r="A34" s="6" t="str">
        <f t="array" ref="A34">XLOOKUP(D34, CountyTops!D:D, CountyTops!B:B, "")
</f>
        <v>Mega</v>
      </c>
      <c r="B34" s="6"/>
      <c r="C34" s="6" t="str">
        <f>IFERROR(__xludf.DUMMYFUNCTION("""COMPUTED_VALUE"""),"Atlanta")</f>
        <v>Atlanta</v>
      </c>
      <c r="D34" s="6" t="str">
        <f>IFERROR(__xludf.DUMMYFUNCTION("""COMPUTED_VALUE"""),"Cobb")</f>
        <v>Cobb</v>
      </c>
      <c r="E34" s="6"/>
      <c r="F34" s="6"/>
      <c r="G34" s="6"/>
      <c r="H34" s="6"/>
      <c r="I34" s="6" t="str">
        <f>IFERROR(__xludf.DUMMYFUNCTION("""COMPUTED_VALUE"""),"#DIV/0!")</f>
        <v>#DIV/0!</v>
      </c>
      <c r="J34" s="6"/>
      <c r="K34" s="6"/>
      <c r="L34" s="6"/>
      <c r="M34" s="6"/>
      <c r="N34" s="5">
        <f>IFERROR(__xludf.DUMMYFUNCTION("""COMPUTED_VALUE"""),0.0)</f>
        <v>0</v>
      </c>
      <c r="O34" s="5"/>
      <c r="P34" s="8"/>
      <c r="Q34" s="5"/>
      <c r="R34" s="8"/>
      <c r="S34" s="5"/>
      <c r="T34" s="6"/>
      <c r="U34" s="8"/>
      <c r="V34" s="5"/>
      <c r="W34" s="6"/>
      <c r="X34" s="5"/>
      <c r="Y34" s="8"/>
      <c r="Z34" s="6"/>
      <c r="AA34" s="6"/>
    </row>
    <row r="35">
      <c r="A35" s="6" t="str">
        <f t="array" ref="A35">XLOOKUP(D35, CountyTops!D:D, CountyTops!B:B, "")
</f>
        <v>Very Small</v>
      </c>
      <c r="B35" s="6"/>
      <c r="C35" s="6" t="str">
        <f>IFERROR(__xludf.DUMMYFUNCTION("""COMPUTED_VALUE"""),"Albany")</f>
        <v>Albany</v>
      </c>
      <c r="D35" s="6" t="str">
        <f>IFERROR(__xludf.DUMMYFUNCTION("""COMPUTED_VALUE"""),"Coffee")</f>
        <v>Coffee</v>
      </c>
      <c r="E35" s="6"/>
      <c r="F35" s="6"/>
      <c r="G35" s="6"/>
      <c r="H35" s="6"/>
      <c r="I35" s="6" t="str">
        <f>IFERROR(__xludf.DUMMYFUNCTION("""COMPUTED_VALUE"""),"#DIV/0!")</f>
        <v>#DIV/0!</v>
      </c>
      <c r="J35" s="6"/>
      <c r="K35" s="6"/>
      <c r="L35" s="6"/>
      <c r="M35" s="6"/>
      <c r="N35" s="5">
        <f>IFERROR(__xludf.DUMMYFUNCTION("""COMPUTED_VALUE"""),0.0)</f>
        <v>0</v>
      </c>
      <c r="O35" s="5"/>
      <c r="P35" s="8"/>
      <c r="Q35" s="5"/>
      <c r="R35" s="8"/>
      <c r="S35" s="5"/>
      <c r="T35" s="6"/>
      <c r="U35" s="8"/>
      <c r="V35" s="5"/>
      <c r="W35" s="6"/>
      <c r="X35" s="5"/>
      <c r="Y35" s="8"/>
      <c r="Z35" s="6"/>
      <c r="AA35" s="6"/>
    </row>
    <row r="36">
      <c r="A36" s="6" t="str">
        <f t="array" ref="A36">XLOOKUP(D36, CountyTops!D:D, CountyTops!B:B, "")
</f>
        <v>Very Small</v>
      </c>
      <c r="B36" s="6"/>
      <c r="C36" s="6" t="str">
        <f>IFERROR(__xludf.DUMMYFUNCTION("""COMPUTED_VALUE"""),"Albany")</f>
        <v>Albany</v>
      </c>
      <c r="D36" s="6" t="str">
        <f>IFERROR(__xludf.DUMMYFUNCTION("""COMPUTED_VALUE"""),"Colquitt")</f>
        <v>Colquitt</v>
      </c>
      <c r="E36" s="6"/>
      <c r="F36" s="6"/>
      <c r="G36" s="6"/>
      <c r="H36" s="6"/>
      <c r="I36" s="6" t="str">
        <f>IFERROR(__xludf.DUMMYFUNCTION("""COMPUTED_VALUE"""),"#DIV/0!")</f>
        <v>#DIV/0!</v>
      </c>
      <c r="J36" s="6"/>
      <c r="K36" s="6"/>
      <c r="L36" s="6"/>
      <c r="M36" s="6"/>
      <c r="N36" s="5">
        <f>IFERROR(__xludf.DUMMYFUNCTION("""COMPUTED_VALUE"""),0.0)</f>
        <v>0</v>
      </c>
      <c r="O36" s="5"/>
      <c r="P36" s="8"/>
      <c r="Q36" s="5"/>
      <c r="R36" s="8"/>
      <c r="S36" s="5"/>
      <c r="T36" s="6"/>
      <c r="U36" s="8"/>
      <c r="V36" s="5"/>
      <c r="W36" s="6"/>
      <c r="X36" s="5"/>
      <c r="Y36" s="8"/>
      <c r="Z36" s="6"/>
      <c r="AA36" s="6"/>
    </row>
    <row r="37">
      <c r="A37" s="6" t="str">
        <f t="array" ref="A37">XLOOKUP(D37, CountyTops!D:D, CountyTops!B:B, "")
</f>
        <v>Large</v>
      </c>
      <c r="B37" s="6"/>
      <c r="C37" s="6" t="str">
        <f>IFERROR(__xludf.DUMMYFUNCTION("""COMPUTED_VALUE"""),"Augusta")</f>
        <v>Augusta</v>
      </c>
      <c r="D37" s="6" t="str">
        <f>IFERROR(__xludf.DUMMYFUNCTION("""COMPUTED_VALUE"""),"Columbia")</f>
        <v>Columbia</v>
      </c>
      <c r="E37" s="6"/>
      <c r="F37" s="6"/>
      <c r="G37" s="6"/>
      <c r="H37" s="6"/>
      <c r="I37" s="6" t="str">
        <f>IFERROR(__xludf.DUMMYFUNCTION("""COMPUTED_VALUE"""),"#DIV/0!")</f>
        <v>#DIV/0!</v>
      </c>
      <c r="J37" s="6"/>
      <c r="K37" s="6"/>
      <c r="L37" s="6"/>
      <c r="M37" s="6"/>
      <c r="N37" s="5">
        <f>IFERROR(__xludf.DUMMYFUNCTION("""COMPUTED_VALUE"""),0.0)</f>
        <v>0</v>
      </c>
      <c r="O37" s="5"/>
      <c r="P37" s="8"/>
      <c r="Q37" s="5"/>
      <c r="R37" s="8"/>
      <c r="S37" s="5"/>
      <c r="T37" s="6"/>
      <c r="U37" s="8"/>
      <c r="V37" s="5"/>
      <c r="W37" s="6"/>
      <c r="X37" s="5"/>
      <c r="Y37" s="8"/>
      <c r="Z37" s="6"/>
      <c r="AA37" s="6"/>
    </row>
    <row r="38">
      <c r="A38" s="6" t="str">
        <f t="array" ref="A38">XLOOKUP(D38, CountyTops!D:D, CountyTops!B:B, "")
</f>
        <v>Very Small</v>
      </c>
      <c r="B38" s="6"/>
      <c r="C38" s="6" t="str">
        <f>IFERROR(__xludf.DUMMYFUNCTION("""COMPUTED_VALUE"""),"Albany")</f>
        <v>Albany</v>
      </c>
      <c r="D38" s="6" t="str">
        <f>IFERROR(__xludf.DUMMYFUNCTION("""COMPUTED_VALUE"""),"Cook")</f>
        <v>Cook</v>
      </c>
      <c r="E38" s="6"/>
      <c r="F38" s="6"/>
      <c r="G38" s="6"/>
      <c r="H38" s="6"/>
      <c r="I38" s="6" t="str">
        <f>IFERROR(__xludf.DUMMYFUNCTION("""COMPUTED_VALUE"""),"#DIV/0!")</f>
        <v>#DIV/0!</v>
      </c>
      <c r="J38" s="6"/>
      <c r="K38" s="6"/>
      <c r="L38" s="6"/>
      <c r="M38" s="6"/>
      <c r="N38" s="5">
        <f>IFERROR(__xludf.DUMMYFUNCTION("""COMPUTED_VALUE"""),0.0)</f>
        <v>0</v>
      </c>
      <c r="O38" s="5"/>
      <c r="P38" s="8"/>
      <c r="Q38" s="5"/>
      <c r="R38" s="8"/>
      <c r="S38" s="5"/>
      <c r="T38" s="6"/>
      <c r="U38" s="8"/>
      <c r="V38" s="5"/>
      <c r="W38" s="6"/>
      <c r="X38" s="5"/>
      <c r="Y38" s="8"/>
      <c r="Z38" s="6"/>
      <c r="AA38" s="6"/>
    </row>
    <row r="39">
      <c r="A39" s="6" t="str">
        <f t="array" ref="A39">XLOOKUP(D39, CountyTops!D:D, CountyTops!B:B, "")
</f>
        <v>Mid-Large</v>
      </c>
      <c r="B39" s="6"/>
      <c r="C39" s="6" t="str">
        <f>IFERROR(__xludf.DUMMYFUNCTION("""COMPUTED_VALUE"""),"Atlanta")</f>
        <v>Atlanta</v>
      </c>
      <c r="D39" s="6" t="str">
        <f>IFERROR(__xludf.DUMMYFUNCTION("""COMPUTED_VALUE"""),"Coweta")</f>
        <v>Coweta</v>
      </c>
      <c r="E39" s="6"/>
      <c r="F39" s="6"/>
      <c r="G39" s="6"/>
      <c r="H39" s="6"/>
      <c r="I39" s="6" t="str">
        <f>IFERROR(__xludf.DUMMYFUNCTION("""COMPUTED_VALUE"""),"#DIV/0!")</f>
        <v>#DIV/0!</v>
      </c>
      <c r="J39" s="6"/>
      <c r="K39" s="6"/>
      <c r="L39" s="6"/>
      <c r="M39" s="6"/>
      <c r="N39" s="5">
        <f>IFERROR(__xludf.DUMMYFUNCTION("""COMPUTED_VALUE"""),0.0)</f>
        <v>0</v>
      </c>
      <c r="O39" s="5"/>
      <c r="P39" s="8"/>
      <c r="Q39" s="5"/>
      <c r="R39" s="8"/>
      <c r="S39" s="5"/>
      <c r="T39" s="6"/>
      <c r="U39" s="8"/>
      <c r="V39" s="5"/>
      <c r="W39" s="6"/>
      <c r="X39" s="5"/>
      <c r="Y39" s="8"/>
      <c r="Z39" s="6"/>
      <c r="AA39" s="6"/>
    </row>
    <row r="40">
      <c r="A40" s="6" t="str">
        <f t="array" ref="A40">XLOOKUP(D40, CountyTops!D:D, CountyTops!B:B, "")
</f>
        <v>Very Small</v>
      </c>
      <c r="B40" s="6"/>
      <c r="C40" s="6" t="str">
        <f>IFERROR(__xludf.DUMMYFUNCTION("""COMPUTED_VALUE"""),"Macon")</f>
        <v>Macon</v>
      </c>
      <c r="D40" s="6" t="str">
        <f>IFERROR(__xludf.DUMMYFUNCTION("""COMPUTED_VALUE"""),"Crawford")</f>
        <v>Crawford</v>
      </c>
      <c r="E40" s="6"/>
      <c r="F40" s="6"/>
      <c r="G40" s="6"/>
      <c r="H40" s="6"/>
      <c r="I40" s="6" t="str">
        <f>IFERROR(__xludf.DUMMYFUNCTION("""COMPUTED_VALUE"""),"#DIV/0!")</f>
        <v>#DIV/0!</v>
      </c>
      <c r="J40" s="6"/>
      <c r="K40" s="6"/>
      <c r="L40" s="6"/>
      <c r="M40" s="6"/>
      <c r="N40" s="5">
        <f>IFERROR(__xludf.DUMMYFUNCTION("""COMPUTED_VALUE"""),0.0)</f>
        <v>0</v>
      </c>
      <c r="O40" s="5"/>
      <c r="P40" s="8"/>
      <c r="Q40" s="5"/>
      <c r="R40" s="8"/>
      <c r="S40" s="5"/>
      <c r="T40" s="6"/>
      <c r="U40" s="8"/>
      <c r="V40" s="5"/>
      <c r="W40" s="6"/>
      <c r="X40" s="5"/>
      <c r="Y40" s="8"/>
      <c r="Z40" s="6"/>
      <c r="AA40" s="6"/>
    </row>
    <row r="41">
      <c r="A41" s="6" t="str">
        <f t="array" ref="A41">XLOOKUP(D41, CountyTops!D:D, CountyTops!B:B, "")
</f>
        <v>Very Small</v>
      </c>
      <c r="B41" s="6"/>
      <c r="C41" s="6" t="str">
        <f>IFERROR(__xludf.DUMMYFUNCTION("""COMPUTED_VALUE"""),"Albany")</f>
        <v>Albany</v>
      </c>
      <c r="D41" s="6" t="str">
        <f>IFERROR(__xludf.DUMMYFUNCTION("""COMPUTED_VALUE"""),"Crisp")</f>
        <v>Crisp</v>
      </c>
      <c r="E41" s="6"/>
      <c r="F41" s="6"/>
      <c r="G41" s="6"/>
      <c r="H41" s="6"/>
      <c r="I41" s="6" t="str">
        <f>IFERROR(__xludf.DUMMYFUNCTION("""COMPUTED_VALUE"""),"#DIV/0!")</f>
        <v>#DIV/0!</v>
      </c>
      <c r="J41" s="6"/>
      <c r="K41" s="6"/>
      <c r="L41" s="6"/>
      <c r="M41" s="6"/>
      <c r="N41" s="5">
        <f>IFERROR(__xludf.DUMMYFUNCTION("""COMPUTED_VALUE"""),0.0)</f>
        <v>0</v>
      </c>
      <c r="O41" s="5"/>
      <c r="P41" s="8"/>
      <c r="Q41" s="5"/>
      <c r="R41" s="8"/>
      <c r="S41" s="5"/>
      <c r="T41" s="6"/>
      <c r="U41" s="8"/>
      <c r="V41" s="5"/>
      <c r="W41" s="6"/>
      <c r="X41" s="5"/>
      <c r="Y41" s="8"/>
      <c r="Z41" s="6"/>
      <c r="AA41" s="6"/>
    </row>
    <row r="42">
      <c r="A42" s="6" t="str">
        <f t="array" ref="A42">XLOOKUP(D42, CountyTops!D:D, CountyTops!B:B, "")
</f>
        <v>Very Small</v>
      </c>
      <c r="B42" s="6"/>
      <c r="C42" s="6" t="str">
        <f>IFERROR(__xludf.DUMMYFUNCTION("""COMPUTED_VALUE"""),"Chattanooga")</f>
        <v>Chattanooga</v>
      </c>
      <c r="D42" s="6" t="str">
        <f>IFERROR(__xludf.DUMMYFUNCTION("""COMPUTED_VALUE"""),"Dade")</f>
        <v>Dade</v>
      </c>
      <c r="E42" s="6"/>
      <c r="F42" s="6"/>
      <c r="G42" s="6"/>
      <c r="H42" s="6"/>
      <c r="I42" s="6" t="str">
        <f>IFERROR(__xludf.DUMMYFUNCTION("""COMPUTED_VALUE"""),"#DIV/0!")</f>
        <v>#DIV/0!</v>
      </c>
      <c r="J42" s="6"/>
      <c r="K42" s="6"/>
      <c r="L42" s="6"/>
      <c r="M42" s="6"/>
      <c r="N42" s="5">
        <f>IFERROR(__xludf.DUMMYFUNCTION("""COMPUTED_VALUE"""),0.0)</f>
        <v>0</v>
      </c>
      <c r="O42" s="5"/>
      <c r="P42" s="8"/>
      <c r="Q42" s="5"/>
      <c r="R42" s="8"/>
      <c r="S42" s="5"/>
      <c r="T42" s="6"/>
      <c r="U42" s="8"/>
      <c r="V42" s="5"/>
      <c r="W42" s="6"/>
      <c r="X42" s="5"/>
      <c r="Y42" s="8"/>
      <c r="Z42" s="6"/>
      <c r="AA42" s="6"/>
    </row>
    <row r="43">
      <c r="A43" s="6" t="str">
        <f t="array" ref="A43">XLOOKUP(D43, CountyTops!D:D, CountyTops!B:B, "")
</f>
        <v>Small</v>
      </c>
      <c r="B43" s="6"/>
      <c r="C43" s="6" t="str">
        <f>IFERROR(__xludf.DUMMYFUNCTION("""COMPUTED_VALUE"""),"Atlanta")</f>
        <v>Atlanta</v>
      </c>
      <c r="D43" s="6" t="str">
        <f>IFERROR(__xludf.DUMMYFUNCTION("""COMPUTED_VALUE"""),"Dawson")</f>
        <v>Dawson</v>
      </c>
      <c r="E43" s="6"/>
      <c r="F43" s="6"/>
      <c r="G43" s="6"/>
      <c r="H43" s="6"/>
      <c r="I43" s="6" t="str">
        <f>IFERROR(__xludf.DUMMYFUNCTION("""COMPUTED_VALUE"""),"#DIV/0!")</f>
        <v>#DIV/0!</v>
      </c>
      <c r="J43" s="6"/>
      <c r="K43" s="6"/>
      <c r="L43" s="6"/>
      <c r="M43" s="6"/>
      <c r="N43" s="5">
        <f>IFERROR(__xludf.DUMMYFUNCTION("""COMPUTED_VALUE"""),0.0)</f>
        <v>0</v>
      </c>
      <c r="O43" s="5"/>
      <c r="P43" s="8"/>
      <c r="Q43" s="5"/>
      <c r="R43" s="8"/>
      <c r="S43" s="5"/>
      <c r="T43" s="6"/>
      <c r="U43" s="8"/>
      <c r="V43" s="5"/>
      <c r="W43" s="6"/>
      <c r="X43" s="5"/>
      <c r="Y43" s="8"/>
      <c r="Z43" s="6"/>
      <c r="AA43" s="6"/>
    </row>
    <row r="44">
      <c r="A44" s="6" t="str">
        <f t="array" ref="A44">XLOOKUP(D44, CountyTops!D:D, CountyTops!B:B, "")
</f>
        <v>Very Small</v>
      </c>
      <c r="B44" s="6"/>
      <c r="C44" s="6" t="str">
        <f>IFERROR(__xludf.DUMMYFUNCTION("""COMPUTED_VALUE"""),"Tallahassee, FL")</f>
        <v>Tallahassee, FL</v>
      </c>
      <c r="D44" s="6" t="str">
        <f>IFERROR(__xludf.DUMMYFUNCTION("""COMPUTED_VALUE"""),"Decatur")</f>
        <v>Decatur</v>
      </c>
      <c r="E44" s="6"/>
      <c r="F44" s="6"/>
      <c r="G44" s="6"/>
      <c r="H44" s="6"/>
      <c r="I44" s="6" t="str">
        <f>IFERROR(__xludf.DUMMYFUNCTION("""COMPUTED_VALUE"""),"#DIV/0!")</f>
        <v>#DIV/0!</v>
      </c>
      <c r="J44" s="6"/>
      <c r="K44" s="6"/>
      <c r="L44" s="6"/>
      <c r="M44" s="6"/>
      <c r="N44" s="5">
        <f>IFERROR(__xludf.DUMMYFUNCTION("""COMPUTED_VALUE"""),0.0)</f>
        <v>0</v>
      </c>
      <c r="O44" s="5"/>
      <c r="P44" s="8"/>
      <c r="Q44" s="5"/>
      <c r="R44" s="8"/>
      <c r="S44" s="5"/>
      <c r="T44" s="6"/>
      <c r="U44" s="8"/>
      <c r="V44" s="5"/>
      <c r="W44" s="6"/>
      <c r="X44" s="5"/>
      <c r="Y44" s="8"/>
      <c r="Z44" s="6"/>
      <c r="AA44" s="6"/>
    </row>
    <row r="45">
      <c r="A45" s="6" t="str">
        <f t="array" ref="A45">XLOOKUP(D45, CountyTops!D:D, CountyTops!B:B, "")
</f>
        <v>Large</v>
      </c>
      <c r="B45" s="6"/>
      <c r="C45" s="6" t="str">
        <f>IFERROR(__xludf.DUMMYFUNCTION("""COMPUTED_VALUE"""),"Atlanta")</f>
        <v>Atlanta</v>
      </c>
      <c r="D45" s="6" t="str">
        <f>IFERROR(__xludf.DUMMYFUNCTION("""COMPUTED_VALUE"""),"DeKalb")</f>
        <v>DeKalb</v>
      </c>
      <c r="E45" s="6"/>
      <c r="F45" s="6"/>
      <c r="G45" s="6"/>
      <c r="H45" s="6"/>
      <c r="I45" s="6" t="str">
        <f>IFERROR(__xludf.DUMMYFUNCTION("""COMPUTED_VALUE"""),"#DIV/0!")</f>
        <v>#DIV/0!</v>
      </c>
      <c r="J45" s="6"/>
      <c r="K45" s="6"/>
      <c r="L45" s="6"/>
      <c r="M45" s="6"/>
      <c r="N45" s="5">
        <f>IFERROR(__xludf.DUMMYFUNCTION("""COMPUTED_VALUE"""),0.0)</f>
        <v>0</v>
      </c>
      <c r="O45" s="5"/>
      <c r="P45" s="8"/>
      <c r="Q45" s="5"/>
      <c r="R45" s="8"/>
      <c r="S45" s="5"/>
      <c r="T45" s="6"/>
      <c r="U45" s="8"/>
      <c r="V45" s="5"/>
      <c r="W45" s="6"/>
      <c r="X45" s="5"/>
      <c r="Y45" s="8"/>
      <c r="Z45" s="6"/>
      <c r="AA45" s="6"/>
    </row>
    <row r="46">
      <c r="A46" s="6" t="str">
        <f t="array" ref="A46">XLOOKUP(D46, CountyTops!D:D, CountyTops!B:B, "")
</f>
        <v>Very Small</v>
      </c>
      <c r="B46" s="6"/>
      <c r="C46" s="6" t="str">
        <f>IFERROR(__xludf.DUMMYFUNCTION("""COMPUTED_VALUE"""),"Macon")</f>
        <v>Macon</v>
      </c>
      <c r="D46" s="6" t="str">
        <f>IFERROR(__xludf.DUMMYFUNCTION("""COMPUTED_VALUE"""),"Dodge")</f>
        <v>Dodge</v>
      </c>
      <c r="E46" s="6"/>
      <c r="F46" s="6"/>
      <c r="G46" s="6"/>
      <c r="H46" s="6"/>
      <c r="I46" s="6" t="str">
        <f>IFERROR(__xludf.DUMMYFUNCTION("""COMPUTED_VALUE"""),"#DIV/0!")</f>
        <v>#DIV/0!</v>
      </c>
      <c r="J46" s="6"/>
      <c r="K46" s="6"/>
      <c r="L46" s="6"/>
      <c r="M46" s="6"/>
      <c r="N46" s="5">
        <f>IFERROR(__xludf.DUMMYFUNCTION("""COMPUTED_VALUE"""),0.0)</f>
        <v>0</v>
      </c>
      <c r="O46" s="5"/>
      <c r="P46" s="8"/>
      <c r="Q46" s="5"/>
      <c r="R46" s="8"/>
      <c r="S46" s="5"/>
      <c r="T46" s="6"/>
      <c r="U46" s="8"/>
      <c r="V46" s="5"/>
      <c r="W46" s="6"/>
      <c r="X46" s="5"/>
      <c r="Y46" s="8"/>
      <c r="Z46" s="6"/>
      <c r="AA46" s="6"/>
    </row>
    <row r="47">
      <c r="A47" s="6" t="str">
        <f t="array" ref="A47">XLOOKUP(D47, CountyTops!D:D, CountyTops!B:B, "")
</f>
        <v>Micro</v>
      </c>
      <c r="B47" s="6"/>
      <c r="C47" s="6" t="str">
        <f>IFERROR(__xludf.DUMMYFUNCTION("""COMPUTED_VALUE"""),"Macon")</f>
        <v>Macon</v>
      </c>
      <c r="D47" s="6" t="str">
        <f>IFERROR(__xludf.DUMMYFUNCTION("""COMPUTED_VALUE"""),"Dooly")</f>
        <v>Dooly</v>
      </c>
      <c r="E47" s="6"/>
      <c r="F47" s="6"/>
      <c r="G47" s="6"/>
      <c r="H47" s="6"/>
      <c r="I47" s="6" t="str">
        <f>IFERROR(__xludf.DUMMYFUNCTION("""COMPUTED_VALUE"""),"#DIV/0!")</f>
        <v>#DIV/0!</v>
      </c>
      <c r="J47" s="6"/>
      <c r="K47" s="6"/>
      <c r="L47" s="6"/>
      <c r="M47" s="6"/>
      <c r="N47" s="5">
        <f>IFERROR(__xludf.DUMMYFUNCTION("""COMPUTED_VALUE"""),0.0)</f>
        <v>0</v>
      </c>
      <c r="O47" s="5"/>
      <c r="P47" s="8"/>
      <c r="Q47" s="5"/>
      <c r="R47" s="8"/>
      <c r="S47" s="5"/>
      <c r="T47" s="6"/>
      <c r="U47" s="8"/>
      <c r="V47" s="5"/>
      <c r="W47" s="6"/>
      <c r="X47" s="5"/>
      <c r="Y47" s="8"/>
      <c r="Z47" s="6"/>
      <c r="AA47" s="6"/>
    </row>
    <row r="48">
      <c r="A48" s="6" t="str">
        <f t="array" ref="A48">XLOOKUP(D48, CountyTops!D:D, CountyTops!B:B, "")
</f>
        <v>Very Small</v>
      </c>
      <c r="B48" s="6"/>
      <c r="C48" s="6" t="str">
        <f>IFERROR(__xludf.DUMMYFUNCTION("""COMPUTED_VALUE"""),"Albany")</f>
        <v>Albany</v>
      </c>
      <c r="D48" s="6" t="str">
        <f>IFERROR(__xludf.DUMMYFUNCTION("""COMPUTED_VALUE"""),"Dougherty")</f>
        <v>Dougherty</v>
      </c>
      <c r="E48" s="6"/>
      <c r="F48" s="6"/>
      <c r="G48" s="6"/>
      <c r="H48" s="6"/>
      <c r="I48" s="6" t="str">
        <f>IFERROR(__xludf.DUMMYFUNCTION("""COMPUTED_VALUE"""),"#DIV/0!")</f>
        <v>#DIV/0!</v>
      </c>
      <c r="J48" s="6"/>
      <c r="K48" s="6"/>
      <c r="L48" s="6"/>
      <c r="M48" s="6"/>
      <c r="N48" s="5">
        <f>IFERROR(__xludf.DUMMYFUNCTION("""COMPUTED_VALUE"""),0.0)</f>
        <v>0</v>
      </c>
      <c r="O48" s="5"/>
      <c r="P48" s="8"/>
      <c r="Q48" s="5"/>
      <c r="R48" s="8"/>
      <c r="S48" s="5"/>
      <c r="T48" s="6"/>
      <c r="U48" s="8"/>
      <c r="V48" s="5"/>
      <c r="W48" s="6"/>
      <c r="X48" s="5"/>
      <c r="Y48" s="8"/>
      <c r="Z48" s="6"/>
      <c r="AA48" s="6"/>
    </row>
    <row r="49">
      <c r="A49" s="6" t="str">
        <f t="array" ref="A49">XLOOKUP(D49, CountyTops!D:D, CountyTops!B:B, "")
</f>
        <v>Small</v>
      </c>
      <c r="B49" s="6"/>
      <c r="C49" s="6" t="str">
        <f>IFERROR(__xludf.DUMMYFUNCTION("""COMPUTED_VALUE"""),"Atlanta")</f>
        <v>Atlanta</v>
      </c>
      <c r="D49" s="6" t="str">
        <f>IFERROR(__xludf.DUMMYFUNCTION("""COMPUTED_VALUE"""),"Douglas")</f>
        <v>Douglas</v>
      </c>
      <c r="E49" s="6"/>
      <c r="F49" s="6"/>
      <c r="G49" s="6"/>
      <c r="H49" s="6"/>
      <c r="I49" s="6" t="str">
        <f>IFERROR(__xludf.DUMMYFUNCTION("""COMPUTED_VALUE"""),"#DIV/0!")</f>
        <v>#DIV/0!</v>
      </c>
      <c r="J49" s="6"/>
      <c r="K49" s="6"/>
      <c r="L49" s="6"/>
      <c r="M49" s="6"/>
      <c r="N49" s="5">
        <f>IFERROR(__xludf.DUMMYFUNCTION("""COMPUTED_VALUE"""),0.0)</f>
        <v>0</v>
      </c>
      <c r="O49" s="5"/>
      <c r="P49" s="8"/>
      <c r="Q49" s="5"/>
      <c r="R49" s="8"/>
      <c r="S49" s="5"/>
      <c r="T49" s="6"/>
      <c r="U49" s="8"/>
      <c r="V49" s="5"/>
      <c r="W49" s="6"/>
      <c r="X49" s="5"/>
      <c r="Y49" s="8"/>
      <c r="Z49" s="6"/>
      <c r="AA49" s="6"/>
    </row>
    <row r="50">
      <c r="A50" s="6" t="str">
        <f t="array" ref="A50">XLOOKUP(D50, CountyTops!D:D, CountyTops!B:B, "")
</f>
        <v>Very Small</v>
      </c>
      <c r="B50" s="6"/>
      <c r="C50" s="6" t="str">
        <f>IFERROR(__xludf.DUMMYFUNCTION("""COMPUTED_VALUE"""),"Dothan, AL")</f>
        <v>Dothan, AL</v>
      </c>
      <c r="D50" s="6" t="str">
        <f>IFERROR(__xludf.DUMMYFUNCTION("""COMPUTED_VALUE"""),"Early")</f>
        <v>Early</v>
      </c>
      <c r="E50" s="6"/>
      <c r="F50" s="6"/>
      <c r="G50" s="6"/>
      <c r="H50" s="6"/>
      <c r="I50" s="6" t="str">
        <f>IFERROR(__xludf.DUMMYFUNCTION("""COMPUTED_VALUE"""),"#DIV/0!")</f>
        <v>#DIV/0!</v>
      </c>
      <c r="J50" s="6"/>
      <c r="K50" s="6"/>
      <c r="L50" s="6"/>
      <c r="M50" s="6"/>
      <c r="N50" s="5">
        <f>IFERROR(__xludf.DUMMYFUNCTION("""COMPUTED_VALUE"""),0.0)</f>
        <v>0</v>
      </c>
      <c r="O50" s="5"/>
      <c r="P50" s="8"/>
      <c r="Q50" s="5"/>
      <c r="R50" s="8"/>
      <c r="S50" s="5"/>
      <c r="T50" s="6"/>
      <c r="U50" s="8"/>
      <c r="V50" s="5"/>
      <c r="W50" s="6"/>
      <c r="X50" s="5"/>
      <c r="Y50" s="8"/>
      <c r="Z50" s="6"/>
      <c r="AA50" s="6"/>
    </row>
    <row r="51">
      <c r="A51" s="6" t="str">
        <f t="array" ref="A51">XLOOKUP(D51, CountyTops!D:D, CountyTops!B:B, "")
</f>
        <v>Micro</v>
      </c>
      <c r="B51" s="6"/>
      <c r="C51" s="6" t="str">
        <f>IFERROR(__xludf.DUMMYFUNCTION("""COMPUTED_VALUE"""),"Tallahassee, FL")</f>
        <v>Tallahassee, FL</v>
      </c>
      <c r="D51" s="6" t="str">
        <f>IFERROR(__xludf.DUMMYFUNCTION("""COMPUTED_VALUE"""),"Echols")</f>
        <v>Echols</v>
      </c>
      <c r="E51" s="6"/>
      <c r="F51" s="6"/>
      <c r="G51" s="6"/>
      <c r="H51" s="6"/>
      <c r="I51" s="6" t="str">
        <f>IFERROR(__xludf.DUMMYFUNCTION("""COMPUTED_VALUE"""),"#DIV/0!")</f>
        <v>#DIV/0!</v>
      </c>
      <c r="J51" s="6"/>
      <c r="K51" s="6"/>
      <c r="L51" s="6"/>
      <c r="M51" s="6"/>
      <c r="N51" s="5">
        <f>IFERROR(__xludf.DUMMYFUNCTION("""COMPUTED_VALUE"""),0.0)</f>
        <v>0</v>
      </c>
      <c r="O51" s="5"/>
      <c r="P51" s="8"/>
      <c r="Q51" s="5"/>
      <c r="R51" s="8"/>
      <c r="S51" s="5"/>
      <c r="T51" s="6"/>
      <c r="U51" s="8"/>
      <c r="V51" s="5"/>
      <c r="W51" s="6"/>
      <c r="X51" s="5"/>
      <c r="Y51" s="8"/>
      <c r="Z51" s="6"/>
      <c r="AA51" s="6"/>
    </row>
    <row r="52">
      <c r="A52" s="6" t="str">
        <f t="array" ref="A52">XLOOKUP(D52, CountyTops!D:D, CountyTops!B:B, "")
</f>
        <v>Small</v>
      </c>
      <c r="B52" s="6"/>
      <c r="C52" s="6" t="str">
        <f>IFERROR(__xludf.DUMMYFUNCTION("""COMPUTED_VALUE"""),"Savannah")</f>
        <v>Savannah</v>
      </c>
      <c r="D52" s="6" t="str">
        <f>IFERROR(__xludf.DUMMYFUNCTION("""COMPUTED_VALUE"""),"Effingham")</f>
        <v>Effingham</v>
      </c>
      <c r="E52" s="6"/>
      <c r="F52" s="6"/>
      <c r="G52" s="6"/>
      <c r="H52" s="6"/>
      <c r="I52" s="6" t="str">
        <f>IFERROR(__xludf.DUMMYFUNCTION("""COMPUTED_VALUE"""),"#DIV/0!")</f>
        <v>#DIV/0!</v>
      </c>
      <c r="J52" s="6"/>
      <c r="K52" s="6"/>
      <c r="L52" s="6"/>
      <c r="M52" s="6"/>
      <c r="N52" s="5">
        <f>IFERROR(__xludf.DUMMYFUNCTION("""COMPUTED_VALUE"""),0.0)</f>
        <v>0</v>
      </c>
      <c r="O52" s="5"/>
      <c r="P52" s="8"/>
      <c r="Q52" s="5"/>
      <c r="R52" s="8"/>
      <c r="S52" s="5"/>
      <c r="T52" s="6"/>
      <c r="U52" s="8"/>
      <c r="V52" s="5"/>
      <c r="W52" s="6"/>
      <c r="X52" s="5"/>
      <c r="Y52" s="8"/>
      <c r="Z52" s="6"/>
      <c r="AA52" s="6"/>
    </row>
    <row r="53">
      <c r="A53" s="6" t="str">
        <f t="array" ref="A53">XLOOKUP(D53, CountyTops!D:D, CountyTops!B:B, "")
</f>
        <v>Very Small</v>
      </c>
      <c r="B53" s="6"/>
      <c r="C53" s="6" t="str">
        <f>IFERROR(__xludf.DUMMYFUNCTION("""COMPUTED_VALUE"""),"Greenville, SC")</f>
        <v>Greenville, SC</v>
      </c>
      <c r="D53" s="6" t="str">
        <f>IFERROR(__xludf.DUMMYFUNCTION("""COMPUTED_VALUE"""),"Elbert")</f>
        <v>Elbert</v>
      </c>
      <c r="E53" s="6"/>
      <c r="F53" s="6"/>
      <c r="G53" s="6"/>
      <c r="H53" s="6"/>
      <c r="I53" s="6" t="str">
        <f>IFERROR(__xludf.DUMMYFUNCTION("""COMPUTED_VALUE"""),"#DIV/0!")</f>
        <v>#DIV/0!</v>
      </c>
      <c r="J53" s="6"/>
      <c r="K53" s="6"/>
      <c r="L53" s="6"/>
      <c r="M53" s="6"/>
      <c r="N53" s="5">
        <f>IFERROR(__xludf.DUMMYFUNCTION("""COMPUTED_VALUE"""),0.0)</f>
        <v>0</v>
      </c>
      <c r="O53" s="5"/>
      <c r="P53" s="8"/>
      <c r="Q53" s="5"/>
      <c r="R53" s="8"/>
      <c r="S53" s="5"/>
      <c r="T53" s="6"/>
      <c r="U53" s="8"/>
      <c r="V53" s="5"/>
      <c r="W53" s="6"/>
      <c r="X53" s="5"/>
      <c r="Y53" s="8"/>
      <c r="Z53" s="6"/>
      <c r="AA53" s="6"/>
    </row>
    <row r="54">
      <c r="A54" s="6" t="str">
        <f t="array" ref="A54">XLOOKUP(D54, CountyTops!D:D, CountyTops!B:B, "")
</f>
        <v>Very Small</v>
      </c>
      <c r="B54" s="6"/>
      <c r="C54" s="6" t="str">
        <f>IFERROR(__xludf.DUMMYFUNCTION("""COMPUTED_VALUE"""),"Augusta")</f>
        <v>Augusta</v>
      </c>
      <c r="D54" s="6" t="str">
        <f>IFERROR(__xludf.DUMMYFUNCTION("""COMPUTED_VALUE"""),"Emanuel")</f>
        <v>Emanuel</v>
      </c>
      <c r="E54" s="6"/>
      <c r="F54" s="6"/>
      <c r="G54" s="6"/>
      <c r="H54" s="6"/>
      <c r="I54" s="6" t="str">
        <f>IFERROR(__xludf.DUMMYFUNCTION("""COMPUTED_VALUE"""),"#DIV/0!")</f>
        <v>#DIV/0!</v>
      </c>
      <c r="J54" s="6"/>
      <c r="K54" s="6"/>
      <c r="L54" s="6"/>
      <c r="M54" s="6"/>
      <c r="N54" s="5">
        <f>IFERROR(__xludf.DUMMYFUNCTION("""COMPUTED_VALUE"""),0.0)</f>
        <v>0</v>
      </c>
      <c r="O54" s="5"/>
      <c r="P54" s="8"/>
      <c r="Q54" s="5"/>
      <c r="R54" s="8"/>
      <c r="S54" s="5"/>
      <c r="T54" s="6"/>
      <c r="U54" s="8"/>
      <c r="V54" s="5"/>
      <c r="W54" s="6"/>
      <c r="X54" s="5"/>
      <c r="Y54" s="8"/>
      <c r="Z54" s="6"/>
      <c r="AA54" s="6"/>
    </row>
    <row r="55">
      <c r="A55" s="6" t="str">
        <f t="array" ref="A55">XLOOKUP(D55, CountyTops!D:D, CountyTops!B:B, "")
</f>
        <v>Very Small</v>
      </c>
      <c r="B55" s="6"/>
      <c r="C55" s="6" t="str">
        <f>IFERROR(__xludf.DUMMYFUNCTION("""COMPUTED_VALUE"""),"Savannah")</f>
        <v>Savannah</v>
      </c>
      <c r="D55" s="6" t="str">
        <f>IFERROR(__xludf.DUMMYFUNCTION("""COMPUTED_VALUE"""),"Evans")</f>
        <v>Evans</v>
      </c>
      <c r="E55" s="6"/>
      <c r="F55" s="6"/>
      <c r="G55" s="6"/>
      <c r="H55" s="6"/>
      <c r="I55" s="6" t="str">
        <f>IFERROR(__xludf.DUMMYFUNCTION("""COMPUTED_VALUE"""),"#DIV/0!")</f>
        <v>#DIV/0!</v>
      </c>
      <c r="J55" s="6"/>
      <c r="K55" s="6"/>
      <c r="L55" s="6"/>
      <c r="M55" s="6"/>
      <c r="N55" s="5">
        <f>IFERROR(__xludf.DUMMYFUNCTION("""COMPUTED_VALUE"""),0.0)</f>
        <v>0</v>
      </c>
      <c r="O55" s="5"/>
      <c r="P55" s="8"/>
      <c r="Q55" s="5"/>
      <c r="R55" s="8"/>
      <c r="S55" s="5"/>
      <c r="T55" s="6"/>
      <c r="U55" s="8"/>
      <c r="V55" s="5"/>
      <c r="W55" s="6"/>
      <c r="X55" s="5"/>
      <c r="Y55" s="8"/>
      <c r="Z55" s="6"/>
      <c r="AA55" s="6"/>
    </row>
    <row r="56">
      <c r="A56" s="6" t="str">
        <f t="array" ref="A56">XLOOKUP(D56, CountyTops!D:D, CountyTops!B:B, "")
</f>
        <v>Small</v>
      </c>
      <c r="B56" s="6"/>
      <c r="C56" s="6" t="str">
        <f>IFERROR(__xludf.DUMMYFUNCTION("""COMPUTED_VALUE"""),"Atlanta")</f>
        <v>Atlanta</v>
      </c>
      <c r="D56" s="6" t="str">
        <f>IFERROR(__xludf.DUMMYFUNCTION("""COMPUTED_VALUE"""),"Fannin")</f>
        <v>Fannin</v>
      </c>
      <c r="E56" s="6"/>
      <c r="F56" s="6"/>
      <c r="G56" s="6"/>
      <c r="H56" s="6"/>
      <c r="I56" s="6" t="str">
        <f>IFERROR(__xludf.DUMMYFUNCTION("""COMPUTED_VALUE"""),"#DIV/0!")</f>
        <v>#DIV/0!</v>
      </c>
      <c r="J56" s="6"/>
      <c r="K56" s="6"/>
      <c r="L56" s="6"/>
      <c r="M56" s="6"/>
      <c r="N56" s="5">
        <f>IFERROR(__xludf.DUMMYFUNCTION("""COMPUTED_VALUE"""),0.0)</f>
        <v>0</v>
      </c>
      <c r="O56" s="5"/>
      <c r="P56" s="8"/>
      <c r="Q56" s="5"/>
      <c r="R56" s="8"/>
      <c r="S56" s="5"/>
      <c r="T56" s="6"/>
      <c r="U56" s="8"/>
      <c r="V56" s="5"/>
      <c r="W56" s="6"/>
      <c r="X56" s="5"/>
      <c r="Y56" s="8"/>
      <c r="Z56" s="6"/>
      <c r="AA56" s="6"/>
    </row>
    <row r="57">
      <c r="A57" s="6" t="str">
        <f t="array" ref="A57">XLOOKUP(D57, CountyTops!D:D, CountyTops!B:B, "")
</f>
        <v>Mid-Large</v>
      </c>
      <c r="B57" s="6"/>
      <c r="C57" s="6" t="str">
        <f>IFERROR(__xludf.DUMMYFUNCTION("""COMPUTED_VALUE"""),"Atlanta")</f>
        <v>Atlanta</v>
      </c>
      <c r="D57" s="6" t="str">
        <f>IFERROR(__xludf.DUMMYFUNCTION("""COMPUTED_VALUE"""),"Fayette")</f>
        <v>Fayette</v>
      </c>
      <c r="E57" s="6"/>
      <c r="F57" s="6"/>
      <c r="G57" s="6"/>
      <c r="H57" s="6"/>
      <c r="I57" s="6" t="str">
        <f>IFERROR(__xludf.DUMMYFUNCTION("""COMPUTED_VALUE"""),"#DIV/0!")</f>
        <v>#DIV/0!</v>
      </c>
      <c r="J57" s="6"/>
      <c r="K57" s="6"/>
      <c r="L57" s="6"/>
      <c r="M57" s="6"/>
      <c r="N57" s="5">
        <f>IFERROR(__xludf.DUMMYFUNCTION("""COMPUTED_VALUE"""),0.0)</f>
        <v>0</v>
      </c>
      <c r="O57" s="5"/>
      <c r="P57" s="8"/>
      <c r="Q57" s="5"/>
      <c r="R57" s="8"/>
      <c r="S57" s="5"/>
      <c r="T57" s="6"/>
      <c r="U57" s="8"/>
      <c r="V57" s="5"/>
      <c r="W57" s="6"/>
      <c r="X57" s="5"/>
      <c r="Y57" s="8"/>
      <c r="Z57" s="6"/>
      <c r="AA57" s="6"/>
    </row>
    <row r="58">
      <c r="A58" s="6" t="str">
        <f t="array" ref="A58">XLOOKUP(D58, CountyTops!D:D, CountyTops!B:B, "")
</f>
        <v>Mid-Small</v>
      </c>
      <c r="B58" s="6"/>
      <c r="C58" s="6" t="str">
        <f>IFERROR(__xludf.DUMMYFUNCTION("""COMPUTED_VALUE"""),"Atlanta")</f>
        <v>Atlanta</v>
      </c>
      <c r="D58" s="6" t="str">
        <f>IFERROR(__xludf.DUMMYFUNCTION("""COMPUTED_VALUE"""),"Floyd")</f>
        <v>Floyd</v>
      </c>
      <c r="E58" s="6"/>
      <c r="F58" s="6"/>
      <c r="G58" s="6"/>
      <c r="H58" s="6"/>
      <c r="I58" s="6" t="str">
        <f>IFERROR(__xludf.DUMMYFUNCTION("""COMPUTED_VALUE"""),"#DIV/0!")</f>
        <v>#DIV/0!</v>
      </c>
      <c r="J58" s="6"/>
      <c r="K58" s="6"/>
      <c r="L58" s="6"/>
      <c r="M58" s="6"/>
      <c r="N58" s="5">
        <f>IFERROR(__xludf.DUMMYFUNCTION("""COMPUTED_VALUE"""),0.0)</f>
        <v>0</v>
      </c>
      <c r="O58" s="5"/>
      <c r="P58" s="8"/>
      <c r="Q58" s="5"/>
      <c r="R58" s="8"/>
      <c r="S58" s="5"/>
      <c r="T58" s="6"/>
      <c r="U58" s="8"/>
      <c r="V58" s="5"/>
      <c r="W58" s="6"/>
      <c r="X58" s="5"/>
      <c r="Y58" s="8"/>
      <c r="Z58" s="6"/>
      <c r="AA58" s="6"/>
    </row>
    <row r="59">
      <c r="A59" s="6" t="str">
        <f t="array" ref="A59">XLOOKUP(D59, CountyTops!D:D, CountyTops!B:B, "")
</f>
        <v>Large</v>
      </c>
      <c r="B59" s="6"/>
      <c r="C59" s="6" t="str">
        <f>IFERROR(__xludf.DUMMYFUNCTION("""COMPUTED_VALUE"""),"Atlanta")</f>
        <v>Atlanta</v>
      </c>
      <c r="D59" s="6" t="str">
        <f>IFERROR(__xludf.DUMMYFUNCTION("""COMPUTED_VALUE"""),"Forsyth")</f>
        <v>Forsyth</v>
      </c>
      <c r="E59" s="6"/>
      <c r="F59" s="6"/>
      <c r="G59" s="6"/>
      <c r="H59" s="6"/>
      <c r="I59" s="6" t="str">
        <f>IFERROR(__xludf.DUMMYFUNCTION("""COMPUTED_VALUE"""),"#DIV/0!")</f>
        <v>#DIV/0!</v>
      </c>
      <c r="J59" s="6"/>
      <c r="K59" s="6"/>
      <c r="L59" s="6"/>
      <c r="M59" s="6"/>
      <c r="N59" s="5">
        <f>IFERROR(__xludf.DUMMYFUNCTION("""COMPUTED_VALUE"""),0.0)</f>
        <v>0</v>
      </c>
      <c r="O59" s="5"/>
      <c r="P59" s="8"/>
      <c r="Q59" s="5"/>
      <c r="R59" s="8"/>
      <c r="S59" s="5"/>
      <c r="T59" s="6"/>
      <c r="U59" s="8"/>
      <c r="V59" s="5"/>
      <c r="W59" s="6"/>
      <c r="X59" s="5"/>
      <c r="Y59" s="8"/>
      <c r="Z59" s="6"/>
      <c r="AA59" s="6"/>
    </row>
    <row r="60">
      <c r="A60" s="6" t="str">
        <f t="array" ref="A60">XLOOKUP(D60, CountyTops!D:D, CountyTops!B:B, "")
</f>
        <v>Very Small</v>
      </c>
      <c r="B60" s="6"/>
      <c r="C60" s="6" t="str">
        <f>IFERROR(__xludf.DUMMYFUNCTION("""COMPUTED_VALUE"""),"Greenville, SC")</f>
        <v>Greenville, SC</v>
      </c>
      <c r="D60" s="6" t="str">
        <f>IFERROR(__xludf.DUMMYFUNCTION("""COMPUTED_VALUE"""),"Franklin")</f>
        <v>Franklin</v>
      </c>
      <c r="E60" s="6"/>
      <c r="F60" s="6"/>
      <c r="G60" s="6"/>
      <c r="H60" s="6"/>
      <c r="I60" s="6" t="str">
        <f>IFERROR(__xludf.DUMMYFUNCTION("""COMPUTED_VALUE"""),"#DIV/0!")</f>
        <v>#DIV/0!</v>
      </c>
      <c r="J60" s="6"/>
      <c r="K60" s="6"/>
      <c r="L60" s="6"/>
      <c r="M60" s="6"/>
      <c r="N60" s="5">
        <f>IFERROR(__xludf.DUMMYFUNCTION("""COMPUTED_VALUE"""),0.0)</f>
        <v>0</v>
      </c>
      <c r="O60" s="5"/>
      <c r="P60" s="8"/>
      <c r="Q60" s="5"/>
      <c r="R60" s="8"/>
      <c r="S60" s="5"/>
      <c r="T60" s="6"/>
      <c r="U60" s="8"/>
      <c r="V60" s="5"/>
      <c r="W60" s="6"/>
      <c r="X60" s="5"/>
      <c r="Y60" s="8"/>
      <c r="Z60" s="6"/>
      <c r="AA60" s="6"/>
    </row>
    <row r="61">
      <c r="A61" s="6" t="str">
        <f t="array" ref="A61">XLOOKUP(D61, CountyTops!D:D, CountyTops!B:B, "")
</f>
        <v>Mega</v>
      </c>
      <c r="B61" s="6"/>
      <c r="C61" s="6" t="str">
        <f>IFERROR(__xludf.DUMMYFUNCTION("""COMPUTED_VALUE"""),"Atlanta")</f>
        <v>Atlanta</v>
      </c>
      <c r="D61" s="6" t="str">
        <f>IFERROR(__xludf.DUMMYFUNCTION("""COMPUTED_VALUE"""),"Fulton")</f>
        <v>Fulton</v>
      </c>
      <c r="E61" s="6"/>
      <c r="F61" s="6"/>
      <c r="G61" s="6"/>
      <c r="H61" s="6"/>
      <c r="I61" s="6" t="str">
        <f>IFERROR(__xludf.DUMMYFUNCTION("""COMPUTED_VALUE"""),"#DIV/0!")</f>
        <v>#DIV/0!</v>
      </c>
      <c r="J61" s="6"/>
      <c r="K61" s="6"/>
      <c r="L61" s="6"/>
      <c r="M61" s="6"/>
      <c r="N61" s="5">
        <f>IFERROR(__xludf.DUMMYFUNCTION("""COMPUTED_VALUE"""),0.0)</f>
        <v>0</v>
      </c>
      <c r="O61" s="5"/>
      <c r="P61" s="8"/>
      <c r="Q61" s="5"/>
      <c r="R61" s="8"/>
      <c r="S61" s="5"/>
      <c r="T61" s="6"/>
      <c r="U61" s="8"/>
      <c r="V61" s="5"/>
      <c r="W61" s="6"/>
      <c r="X61" s="5"/>
      <c r="Y61" s="8"/>
      <c r="Z61" s="6"/>
      <c r="AA61" s="6"/>
    </row>
    <row r="62">
      <c r="A62" s="6" t="str">
        <f t="array" ref="A62">XLOOKUP(D62, CountyTops!D:D, CountyTops!B:B, "")
</f>
        <v>Small</v>
      </c>
      <c r="B62" s="6"/>
      <c r="C62" s="6" t="str">
        <f>IFERROR(__xludf.DUMMYFUNCTION("""COMPUTED_VALUE"""),"Atlanta")</f>
        <v>Atlanta</v>
      </c>
      <c r="D62" s="6" t="str">
        <f>IFERROR(__xludf.DUMMYFUNCTION("""COMPUTED_VALUE"""),"Gilmer")</f>
        <v>Gilmer</v>
      </c>
      <c r="E62" s="6"/>
      <c r="F62" s="6"/>
      <c r="G62" s="6"/>
      <c r="H62" s="6"/>
      <c r="I62" s="6" t="str">
        <f>IFERROR(__xludf.DUMMYFUNCTION("""COMPUTED_VALUE"""),"#DIV/0!")</f>
        <v>#DIV/0!</v>
      </c>
      <c r="J62" s="6"/>
      <c r="K62" s="6"/>
      <c r="L62" s="6"/>
      <c r="M62" s="6"/>
      <c r="N62" s="5">
        <f>IFERROR(__xludf.DUMMYFUNCTION("""COMPUTED_VALUE"""),0.0)</f>
        <v>0</v>
      </c>
      <c r="O62" s="5"/>
      <c r="P62" s="8"/>
      <c r="Q62" s="5"/>
      <c r="R62" s="8"/>
      <c r="S62" s="5"/>
      <c r="T62" s="6"/>
      <c r="U62" s="8"/>
      <c r="V62" s="5"/>
      <c r="W62" s="6"/>
      <c r="X62" s="5"/>
      <c r="Y62" s="8"/>
      <c r="Z62" s="6"/>
      <c r="AA62" s="6"/>
    </row>
    <row r="63">
      <c r="A63" s="6" t="str">
        <f t="array" ref="A63">XLOOKUP(D63, CountyTops!D:D, CountyTops!B:B, "")
</f>
        <v>Micro</v>
      </c>
      <c r="B63" s="6"/>
      <c r="C63" s="6" t="str">
        <f>IFERROR(__xludf.DUMMYFUNCTION("""COMPUTED_VALUE"""),"Augusta")</f>
        <v>Augusta</v>
      </c>
      <c r="D63" s="6" t="str">
        <f>IFERROR(__xludf.DUMMYFUNCTION("""COMPUTED_VALUE"""),"Glascock")</f>
        <v>Glascock</v>
      </c>
      <c r="E63" s="6"/>
      <c r="F63" s="6"/>
      <c r="G63" s="6"/>
      <c r="H63" s="6"/>
      <c r="I63" s="6" t="str">
        <f>IFERROR(__xludf.DUMMYFUNCTION("""COMPUTED_VALUE"""),"#DIV/0!")</f>
        <v>#DIV/0!</v>
      </c>
      <c r="J63" s="6"/>
      <c r="K63" s="6"/>
      <c r="L63" s="6"/>
      <c r="M63" s="6"/>
      <c r="N63" s="5">
        <f>IFERROR(__xludf.DUMMYFUNCTION("""COMPUTED_VALUE"""),0.0)</f>
        <v>0</v>
      </c>
      <c r="O63" s="5"/>
      <c r="P63" s="8"/>
      <c r="Q63" s="5"/>
      <c r="R63" s="8"/>
      <c r="S63" s="5"/>
      <c r="T63" s="6"/>
      <c r="U63" s="8"/>
      <c r="V63" s="5"/>
      <c r="W63" s="6"/>
      <c r="X63" s="5"/>
      <c r="Y63" s="8"/>
      <c r="Z63" s="6"/>
      <c r="AA63" s="6"/>
    </row>
    <row r="64">
      <c r="A64" s="6" t="str">
        <f t="array" ref="A64">XLOOKUP(D64, CountyTops!D:D, CountyTops!B:B, "")
</f>
        <v>Mid-Small</v>
      </c>
      <c r="B64" s="6"/>
      <c r="C64" s="6" t="str">
        <f>IFERROR(__xludf.DUMMYFUNCTION("""COMPUTED_VALUE"""),"Jacksonville, FL")</f>
        <v>Jacksonville, FL</v>
      </c>
      <c r="D64" s="6" t="str">
        <f>IFERROR(__xludf.DUMMYFUNCTION("""COMPUTED_VALUE"""),"Glynn")</f>
        <v>Glynn</v>
      </c>
      <c r="E64" s="6"/>
      <c r="F64" s="6"/>
      <c r="G64" s="6"/>
      <c r="H64" s="6"/>
      <c r="I64" s="6" t="str">
        <f>IFERROR(__xludf.DUMMYFUNCTION("""COMPUTED_VALUE"""),"#DIV/0!")</f>
        <v>#DIV/0!</v>
      </c>
      <c r="J64" s="6"/>
      <c r="K64" s="6"/>
      <c r="L64" s="6"/>
      <c r="M64" s="6"/>
      <c r="N64" s="5">
        <f>IFERROR(__xludf.DUMMYFUNCTION("""COMPUTED_VALUE"""),0.0)</f>
        <v>0</v>
      </c>
      <c r="O64" s="5"/>
      <c r="P64" s="8"/>
      <c r="Q64" s="5"/>
      <c r="R64" s="8"/>
      <c r="S64" s="5"/>
      <c r="T64" s="6"/>
      <c r="U64" s="8"/>
      <c r="V64" s="5"/>
      <c r="W64" s="6"/>
      <c r="X64" s="5"/>
      <c r="Y64" s="8"/>
      <c r="Z64" s="6"/>
      <c r="AA64" s="6"/>
    </row>
    <row r="65">
      <c r="A65" s="6" t="str">
        <f t="array" ref="A65">XLOOKUP(D65, CountyTops!D:D, CountyTops!B:B, "")
</f>
        <v>Small</v>
      </c>
      <c r="B65" s="6"/>
      <c r="C65" s="6" t="str">
        <f>IFERROR(__xludf.DUMMYFUNCTION("""COMPUTED_VALUE"""),"Atlanta")</f>
        <v>Atlanta</v>
      </c>
      <c r="D65" s="6" t="str">
        <f>IFERROR(__xludf.DUMMYFUNCTION("""COMPUTED_VALUE"""),"Gordon")</f>
        <v>Gordon</v>
      </c>
      <c r="E65" s="6"/>
      <c r="F65" s="6"/>
      <c r="G65" s="6"/>
      <c r="H65" s="6"/>
      <c r="I65" s="6" t="str">
        <f>IFERROR(__xludf.DUMMYFUNCTION("""COMPUTED_VALUE"""),"#DIV/0!")</f>
        <v>#DIV/0!</v>
      </c>
      <c r="J65" s="6"/>
      <c r="K65" s="6"/>
      <c r="L65" s="6"/>
      <c r="M65" s="6"/>
      <c r="N65" s="5">
        <f>IFERROR(__xludf.DUMMYFUNCTION("""COMPUTED_VALUE"""),0.0)</f>
        <v>0</v>
      </c>
      <c r="O65" s="5"/>
      <c r="P65" s="8"/>
      <c r="Q65" s="5"/>
      <c r="R65" s="8"/>
      <c r="S65" s="5"/>
      <c r="T65" s="6"/>
      <c r="U65" s="8"/>
      <c r="V65" s="5"/>
      <c r="W65" s="6"/>
      <c r="X65" s="5"/>
      <c r="Y65" s="8"/>
      <c r="Z65" s="6"/>
      <c r="AA65" s="6"/>
    </row>
    <row r="66">
      <c r="A66" s="6" t="str">
        <f t="array" ref="A66">XLOOKUP(D66, CountyTops!D:D, CountyTops!B:B, "")
</f>
        <v>Very Small</v>
      </c>
      <c r="B66" s="6"/>
      <c r="C66" s="6" t="str">
        <f>IFERROR(__xludf.DUMMYFUNCTION("""COMPUTED_VALUE"""),"Tallahassee, FL")</f>
        <v>Tallahassee, FL</v>
      </c>
      <c r="D66" s="6" t="str">
        <f>IFERROR(__xludf.DUMMYFUNCTION("""COMPUTED_VALUE"""),"Grady")</f>
        <v>Grady</v>
      </c>
      <c r="E66" s="6"/>
      <c r="F66" s="6"/>
      <c r="G66" s="6"/>
      <c r="H66" s="6"/>
      <c r="I66" s="6" t="str">
        <f>IFERROR(__xludf.DUMMYFUNCTION("""COMPUTED_VALUE"""),"#DIV/0!")</f>
        <v>#DIV/0!</v>
      </c>
      <c r="J66" s="6"/>
      <c r="K66" s="6"/>
      <c r="L66" s="6"/>
      <c r="M66" s="6"/>
      <c r="N66" s="5">
        <f>IFERROR(__xludf.DUMMYFUNCTION("""COMPUTED_VALUE"""),0.0)</f>
        <v>0</v>
      </c>
      <c r="O66" s="5"/>
      <c r="P66" s="8"/>
      <c r="Q66" s="5"/>
      <c r="R66" s="8"/>
      <c r="S66" s="5"/>
      <c r="T66" s="6"/>
      <c r="U66" s="8"/>
      <c r="V66" s="5"/>
      <c r="W66" s="6"/>
      <c r="X66" s="5"/>
      <c r="Y66" s="8"/>
      <c r="Z66" s="6"/>
      <c r="AA66" s="6"/>
    </row>
    <row r="67">
      <c r="A67" s="6" t="str">
        <f t="array" ref="A67">XLOOKUP(D67, CountyTops!D:D, CountyTops!B:B, "")
</f>
        <v>Very Small</v>
      </c>
      <c r="B67" s="6"/>
      <c r="C67" s="6" t="str">
        <f>IFERROR(__xludf.DUMMYFUNCTION("""COMPUTED_VALUE"""),"Atlanta")</f>
        <v>Atlanta</v>
      </c>
      <c r="D67" s="6" t="str">
        <f>IFERROR(__xludf.DUMMYFUNCTION("""COMPUTED_VALUE"""),"Greene")</f>
        <v>Greene</v>
      </c>
      <c r="E67" s="6"/>
      <c r="F67" s="6"/>
      <c r="G67" s="6"/>
      <c r="H67" s="6"/>
      <c r="I67" s="6" t="str">
        <f>IFERROR(__xludf.DUMMYFUNCTION("""COMPUTED_VALUE"""),"#DIV/0!")</f>
        <v>#DIV/0!</v>
      </c>
      <c r="J67" s="6"/>
      <c r="K67" s="6"/>
      <c r="L67" s="6"/>
      <c r="M67" s="6"/>
      <c r="N67" s="5">
        <f>IFERROR(__xludf.DUMMYFUNCTION("""COMPUTED_VALUE"""),0.0)</f>
        <v>0</v>
      </c>
      <c r="O67" s="5"/>
      <c r="P67" s="8"/>
      <c r="Q67" s="5"/>
      <c r="R67" s="8"/>
      <c r="S67" s="5"/>
      <c r="T67" s="6"/>
      <c r="U67" s="8"/>
      <c r="V67" s="5"/>
      <c r="W67" s="6"/>
      <c r="X67" s="5"/>
      <c r="Y67" s="8"/>
      <c r="Z67" s="6"/>
      <c r="AA67" s="6"/>
    </row>
    <row r="68">
      <c r="A68" s="6" t="str">
        <f t="array" ref="A68">XLOOKUP(D68, CountyTops!D:D, CountyTops!B:B, "")
</f>
        <v>Mega</v>
      </c>
      <c r="B68" s="6"/>
      <c r="C68" s="6" t="str">
        <f>IFERROR(__xludf.DUMMYFUNCTION("""COMPUTED_VALUE"""),"Atlanta")</f>
        <v>Atlanta</v>
      </c>
      <c r="D68" s="6" t="str">
        <f>IFERROR(__xludf.DUMMYFUNCTION("""COMPUTED_VALUE"""),"Gwinnett")</f>
        <v>Gwinnett</v>
      </c>
      <c r="E68" s="6"/>
      <c r="F68" s="6"/>
      <c r="G68" s="6"/>
      <c r="H68" s="6"/>
      <c r="I68" s="6" t="str">
        <f>IFERROR(__xludf.DUMMYFUNCTION("""COMPUTED_VALUE"""),"#DIV/0!")</f>
        <v>#DIV/0!</v>
      </c>
      <c r="J68" s="6"/>
      <c r="K68" s="6"/>
      <c r="L68" s="6"/>
      <c r="M68" s="6"/>
      <c r="N68" s="5">
        <f>IFERROR(__xludf.DUMMYFUNCTION("""COMPUTED_VALUE"""),0.0)</f>
        <v>0</v>
      </c>
      <c r="O68" s="5"/>
      <c r="P68" s="8"/>
      <c r="Q68" s="5"/>
      <c r="R68" s="8"/>
      <c r="S68" s="5"/>
      <c r="T68" s="6"/>
      <c r="U68" s="8"/>
      <c r="V68" s="5"/>
      <c r="W68" s="6"/>
      <c r="X68" s="5"/>
      <c r="Y68" s="8"/>
      <c r="Z68" s="6"/>
      <c r="AA68" s="6"/>
    </row>
    <row r="69">
      <c r="A69" s="6" t="str">
        <f t="array" ref="A69">XLOOKUP(D69, CountyTops!D:D, CountyTops!B:B, "")
</f>
        <v>Small</v>
      </c>
      <c r="B69" s="6"/>
      <c r="C69" s="6" t="str">
        <f>IFERROR(__xludf.DUMMYFUNCTION("""COMPUTED_VALUE"""),"Atlanta")</f>
        <v>Atlanta</v>
      </c>
      <c r="D69" s="6" t="str">
        <f>IFERROR(__xludf.DUMMYFUNCTION("""COMPUTED_VALUE"""),"Habersham")</f>
        <v>Habersham</v>
      </c>
      <c r="E69" s="6"/>
      <c r="F69" s="6"/>
      <c r="G69" s="6"/>
      <c r="H69" s="6"/>
      <c r="I69" s="6" t="str">
        <f>IFERROR(__xludf.DUMMYFUNCTION("""COMPUTED_VALUE"""),"#DIV/0!")</f>
        <v>#DIV/0!</v>
      </c>
      <c r="J69" s="6"/>
      <c r="K69" s="6"/>
      <c r="L69" s="6"/>
      <c r="M69" s="6"/>
      <c r="N69" s="5">
        <f>IFERROR(__xludf.DUMMYFUNCTION("""COMPUTED_VALUE"""),0.0)</f>
        <v>0</v>
      </c>
      <c r="O69" s="5"/>
      <c r="P69" s="8"/>
      <c r="Q69" s="5"/>
      <c r="R69" s="8"/>
      <c r="S69" s="5"/>
      <c r="T69" s="6"/>
      <c r="U69" s="8"/>
      <c r="V69" s="5"/>
      <c r="W69" s="6"/>
      <c r="X69" s="5"/>
      <c r="Y69" s="8"/>
      <c r="Z69" s="6"/>
      <c r="AA69" s="6"/>
    </row>
    <row r="70">
      <c r="A70" s="6" t="str">
        <f t="array" ref="A70">XLOOKUP(D70, CountyTops!D:D, CountyTops!B:B, "")
</f>
        <v>Large</v>
      </c>
      <c r="B70" s="6"/>
      <c r="C70" s="6" t="str">
        <f>IFERROR(__xludf.DUMMYFUNCTION("""COMPUTED_VALUE"""),"Atlanta")</f>
        <v>Atlanta</v>
      </c>
      <c r="D70" s="6" t="str">
        <f>IFERROR(__xludf.DUMMYFUNCTION("""COMPUTED_VALUE"""),"Hall")</f>
        <v>Hall</v>
      </c>
      <c r="E70" s="6"/>
      <c r="F70" s="6"/>
      <c r="G70" s="6"/>
      <c r="H70" s="6"/>
      <c r="I70" s="6" t="str">
        <f>IFERROR(__xludf.DUMMYFUNCTION("""COMPUTED_VALUE"""),"#DIV/0!")</f>
        <v>#DIV/0!</v>
      </c>
      <c r="J70" s="6"/>
      <c r="K70" s="6"/>
      <c r="L70" s="6"/>
      <c r="M70" s="6"/>
      <c r="N70" s="5">
        <f>IFERROR(__xludf.DUMMYFUNCTION("""COMPUTED_VALUE"""),0.0)</f>
        <v>0</v>
      </c>
      <c r="O70" s="5"/>
      <c r="P70" s="8"/>
      <c r="Q70" s="5"/>
      <c r="R70" s="8"/>
      <c r="S70" s="5"/>
      <c r="T70" s="6"/>
      <c r="U70" s="8"/>
      <c r="V70" s="5"/>
      <c r="W70" s="6"/>
      <c r="X70" s="5"/>
      <c r="Y70" s="8"/>
      <c r="Z70" s="6"/>
      <c r="AA70" s="6"/>
    </row>
    <row r="71">
      <c r="A71" s="6" t="str">
        <f t="array" ref="A71">XLOOKUP(D71, CountyTops!D:D, CountyTops!B:B, "")
</f>
        <v>Micro</v>
      </c>
      <c r="B71" s="6"/>
      <c r="C71" s="6" t="str">
        <f>IFERROR(__xludf.DUMMYFUNCTION("""COMPUTED_VALUE"""),"Macon")</f>
        <v>Macon</v>
      </c>
      <c r="D71" s="6" t="str">
        <f>IFERROR(__xludf.DUMMYFUNCTION("""COMPUTED_VALUE"""),"Hancock")</f>
        <v>Hancock</v>
      </c>
      <c r="E71" s="6"/>
      <c r="F71" s="6"/>
      <c r="G71" s="6"/>
      <c r="H71" s="6"/>
      <c r="I71" s="6" t="str">
        <f>IFERROR(__xludf.DUMMYFUNCTION("""COMPUTED_VALUE"""),"#DIV/0!")</f>
        <v>#DIV/0!</v>
      </c>
      <c r="J71" s="6"/>
      <c r="K71" s="6"/>
      <c r="L71" s="6"/>
      <c r="M71" s="6"/>
      <c r="N71" s="5">
        <f>IFERROR(__xludf.DUMMYFUNCTION("""COMPUTED_VALUE"""),0.0)</f>
        <v>0</v>
      </c>
      <c r="O71" s="5"/>
      <c r="P71" s="8"/>
      <c r="Q71" s="5"/>
      <c r="R71" s="8"/>
      <c r="S71" s="5"/>
      <c r="T71" s="6"/>
      <c r="U71" s="8"/>
      <c r="V71" s="5"/>
      <c r="W71" s="6"/>
      <c r="X71" s="5"/>
      <c r="Y71" s="8"/>
      <c r="Z71" s="6"/>
      <c r="AA71" s="6"/>
    </row>
    <row r="72">
      <c r="A72" s="6" t="str">
        <f t="array" ref="A72">XLOOKUP(D72, CountyTops!D:D, CountyTops!B:B, "")
</f>
        <v>Very Small</v>
      </c>
      <c r="B72" s="6"/>
      <c r="C72" s="6" t="str">
        <f>IFERROR(__xludf.DUMMYFUNCTION("""COMPUTED_VALUE"""),"Atlanta")</f>
        <v>Atlanta</v>
      </c>
      <c r="D72" s="6" t="str">
        <f>IFERROR(__xludf.DUMMYFUNCTION("""COMPUTED_VALUE"""),"Haralson")</f>
        <v>Haralson</v>
      </c>
      <c r="E72" s="6"/>
      <c r="F72" s="6"/>
      <c r="G72" s="6"/>
      <c r="H72" s="6"/>
      <c r="I72" s="6" t="str">
        <f>IFERROR(__xludf.DUMMYFUNCTION("""COMPUTED_VALUE"""),"#DIV/0!")</f>
        <v>#DIV/0!</v>
      </c>
      <c r="J72" s="6"/>
      <c r="K72" s="6"/>
      <c r="L72" s="6"/>
      <c r="M72" s="6"/>
      <c r="N72" s="5">
        <f>IFERROR(__xludf.DUMMYFUNCTION("""COMPUTED_VALUE"""),0.0)</f>
        <v>0</v>
      </c>
      <c r="O72" s="5"/>
      <c r="P72" s="8"/>
      <c r="Q72" s="5"/>
      <c r="R72" s="8"/>
      <c r="S72" s="5"/>
      <c r="T72" s="6"/>
      <c r="U72" s="8"/>
      <c r="V72" s="5"/>
      <c r="W72" s="6"/>
      <c r="X72" s="5"/>
      <c r="Y72" s="8"/>
      <c r="Z72" s="6"/>
      <c r="AA72" s="6"/>
    </row>
    <row r="73">
      <c r="A73" s="6" t="str">
        <f t="array" ref="A73">XLOOKUP(D73, CountyTops!D:D, CountyTops!B:B, "")
</f>
        <v>Small</v>
      </c>
      <c r="B73" s="6"/>
      <c r="C73" s="6" t="str">
        <f>IFERROR(__xludf.DUMMYFUNCTION("""COMPUTED_VALUE"""),"Columbus")</f>
        <v>Columbus</v>
      </c>
      <c r="D73" s="6" t="str">
        <f>IFERROR(__xludf.DUMMYFUNCTION("""COMPUTED_VALUE"""),"Harris")</f>
        <v>Harris</v>
      </c>
      <c r="E73" s="6"/>
      <c r="F73" s="6"/>
      <c r="G73" s="6"/>
      <c r="H73" s="6"/>
      <c r="I73" s="6" t="str">
        <f>IFERROR(__xludf.DUMMYFUNCTION("""COMPUTED_VALUE"""),"#DIV/0!")</f>
        <v>#DIV/0!</v>
      </c>
      <c r="J73" s="6"/>
      <c r="K73" s="6"/>
      <c r="L73" s="6"/>
      <c r="M73" s="6"/>
      <c r="N73" s="5">
        <f>IFERROR(__xludf.DUMMYFUNCTION("""COMPUTED_VALUE"""),0.0)</f>
        <v>0</v>
      </c>
      <c r="O73" s="5"/>
      <c r="P73" s="8"/>
      <c r="Q73" s="5"/>
      <c r="R73" s="8"/>
      <c r="S73" s="5"/>
      <c r="T73" s="6"/>
      <c r="U73" s="8"/>
      <c r="V73" s="5"/>
      <c r="W73" s="6"/>
      <c r="X73" s="5"/>
      <c r="Y73" s="8"/>
      <c r="Z73" s="6"/>
      <c r="AA73" s="6"/>
    </row>
    <row r="74">
      <c r="A74" s="6" t="str">
        <f t="array" ref="A74">XLOOKUP(D74, CountyTops!D:D, CountyTops!B:B, "")
</f>
        <v>Very Small</v>
      </c>
      <c r="B74" s="6"/>
      <c r="C74" s="6" t="str">
        <f>IFERROR(__xludf.DUMMYFUNCTION("""COMPUTED_VALUE"""),"Greenville, SC")</f>
        <v>Greenville, SC</v>
      </c>
      <c r="D74" s="6" t="str">
        <f>IFERROR(__xludf.DUMMYFUNCTION("""COMPUTED_VALUE"""),"Hart")</f>
        <v>Hart</v>
      </c>
      <c r="E74" s="6"/>
      <c r="F74" s="6"/>
      <c r="G74" s="6"/>
      <c r="H74" s="6"/>
      <c r="I74" s="6" t="str">
        <f>IFERROR(__xludf.DUMMYFUNCTION("""COMPUTED_VALUE"""),"#DIV/0!")</f>
        <v>#DIV/0!</v>
      </c>
      <c r="J74" s="6"/>
      <c r="K74" s="6"/>
      <c r="L74" s="6"/>
      <c r="M74" s="6"/>
      <c r="N74" s="5">
        <f>IFERROR(__xludf.DUMMYFUNCTION("""COMPUTED_VALUE"""),0.0)</f>
        <v>0</v>
      </c>
      <c r="O74" s="5"/>
      <c r="P74" s="8"/>
      <c r="Q74" s="5"/>
      <c r="R74" s="8"/>
      <c r="S74" s="5"/>
      <c r="T74" s="6"/>
      <c r="U74" s="8"/>
      <c r="V74" s="5"/>
      <c r="W74" s="6"/>
      <c r="X74" s="5"/>
      <c r="Y74" s="8"/>
      <c r="Z74" s="6"/>
      <c r="AA74" s="6"/>
    </row>
    <row r="75">
      <c r="A75" s="6" t="str">
        <f t="array" ref="A75">XLOOKUP(D75, CountyTops!D:D, CountyTops!B:B, "")
</f>
        <v>Very Small</v>
      </c>
      <c r="B75" s="6"/>
      <c r="C75" s="6" t="str">
        <f>IFERROR(__xludf.DUMMYFUNCTION("""COMPUTED_VALUE"""),"Atlanta")</f>
        <v>Atlanta</v>
      </c>
      <c r="D75" s="6" t="str">
        <f>IFERROR(__xludf.DUMMYFUNCTION("""COMPUTED_VALUE"""),"Heard")</f>
        <v>Heard</v>
      </c>
      <c r="E75" s="6"/>
      <c r="F75" s="6"/>
      <c r="G75" s="6"/>
      <c r="H75" s="6"/>
      <c r="I75" s="6" t="str">
        <f>IFERROR(__xludf.DUMMYFUNCTION("""COMPUTED_VALUE"""),"#DIV/0!")</f>
        <v>#DIV/0!</v>
      </c>
      <c r="J75" s="6"/>
      <c r="K75" s="6"/>
      <c r="L75" s="6"/>
      <c r="M75" s="6"/>
      <c r="N75" s="5">
        <f>IFERROR(__xludf.DUMMYFUNCTION("""COMPUTED_VALUE"""),0.0)</f>
        <v>0</v>
      </c>
      <c r="O75" s="5"/>
      <c r="P75" s="8"/>
      <c r="Q75" s="5"/>
      <c r="R75" s="8"/>
      <c r="S75" s="5"/>
      <c r="T75" s="6"/>
      <c r="U75" s="8"/>
      <c r="V75" s="5"/>
      <c r="W75" s="6"/>
      <c r="X75" s="5"/>
      <c r="Y75" s="8"/>
      <c r="Z75" s="6"/>
      <c r="AA75" s="6"/>
    </row>
    <row r="76">
      <c r="A76" s="6" t="str">
        <f t="array" ref="A76">XLOOKUP(D76, CountyTops!D:D, CountyTops!B:B, "")
</f>
        <v>Mid-Large</v>
      </c>
      <c r="B76" s="6"/>
      <c r="C76" s="6" t="str">
        <f>IFERROR(__xludf.DUMMYFUNCTION("""COMPUTED_VALUE"""),"Atlanta")</f>
        <v>Atlanta</v>
      </c>
      <c r="D76" s="6" t="str">
        <f>IFERROR(__xludf.DUMMYFUNCTION("""COMPUTED_VALUE"""),"Henry")</f>
        <v>Henry</v>
      </c>
      <c r="E76" s="6"/>
      <c r="F76" s="6"/>
      <c r="G76" s="6"/>
      <c r="H76" s="6"/>
      <c r="I76" s="6" t="str">
        <f>IFERROR(__xludf.DUMMYFUNCTION("""COMPUTED_VALUE"""),"#DIV/0!")</f>
        <v>#DIV/0!</v>
      </c>
      <c r="J76" s="6"/>
      <c r="K76" s="6"/>
      <c r="L76" s="6"/>
      <c r="M76" s="6"/>
      <c r="N76" s="5">
        <f>IFERROR(__xludf.DUMMYFUNCTION("""COMPUTED_VALUE"""),0.0)</f>
        <v>0</v>
      </c>
      <c r="O76" s="5"/>
      <c r="P76" s="8"/>
      <c r="Q76" s="5"/>
      <c r="R76" s="8"/>
      <c r="S76" s="5"/>
      <c r="T76" s="6"/>
      <c r="U76" s="8"/>
      <c r="V76" s="5"/>
      <c r="W76" s="6"/>
      <c r="X76" s="5"/>
      <c r="Y76" s="8"/>
      <c r="Z76" s="6"/>
      <c r="AA76" s="6"/>
    </row>
    <row r="77">
      <c r="A77" s="6" t="str">
        <f t="array" ref="A77">XLOOKUP(D77, CountyTops!D:D, CountyTops!B:B, "")
</f>
        <v>Mid-Small</v>
      </c>
      <c r="B77" s="6"/>
      <c r="C77" s="6" t="str">
        <f>IFERROR(__xludf.DUMMYFUNCTION("""COMPUTED_VALUE"""),"Macon")</f>
        <v>Macon</v>
      </c>
      <c r="D77" s="6" t="str">
        <f>IFERROR(__xludf.DUMMYFUNCTION("""COMPUTED_VALUE"""),"Houston")</f>
        <v>Houston</v>
      </c>
      <c r="E77" s="6"/>
      <c r="F77" s="6"/>
      <c r="G77" s="6"/>
      <c r="H77" s="6"/>
      <c r="I77" s="6" t="str">
        <f>IFERROR(__xludf.DUMMYFUNCTION("""COMPUTED_VALUE"""),"#DIV/0!")</f>
        <v>#DIV/0!</v>
      </c>
      <c r="J77" s="6"/>
      <c r="K77" s="6"/>
      <c r="L77" s="6"/>
      <c r="M77" s="6"/>
      <c r="N77" s="5">
        <f>IFERROR(__xludf.DUMMYFUNCTION("""COMPUTED_VALUE"""),0.0)</f>
        <v>0</v>
      </c>
      <c r="O77" s="5"/>
      <c r="P77" s="8"/>
      <c r="Q77" s="5"/>
      <c r="R77" s="8"/>
      <c r="S77" s="5"/>
      <c r="T77" s="6"/>
      <c r="U77" s="8"/>
      <c r="V77" s="5"/>
      <c r="W77" s="6"/>
      <c r="X77" s="5"/>
      <c r="Y77" s="8"/>
      <c r="Z77" s="6"/>
      <c r="AA77" s="6"/>
    </row>
    <row r="78">
      <c r="A78" s="6" t="str">
        <f t="array" ref="A78">XLOOKUP(D78, CountyTops!D:D, CountyTops!B:B, "")
</f>
        <v>Very Small</v>
      </c>
      <c r="B78" s="6"/>
      <c r="C78" s="6" t="str">
        <f>IFERROR(__xludf.DUMMYFUNCTION("""COMPUTED_VALUE"""),"Albany")</f>
        <v>Albany</v>
      </c>
      <c r="D78" s="6" t="str">
        <f>IFERROR(__xludf.DUMMYFUNCTION("""COMPUTED_VALUE"""),"Irwin")</f>
        <v>Irwin</v>
      </c>
      <c r="E78" s="6"/>
      <c r="F78" s="6"/>
      <c r="G78" s="6"/>
      <c r="H78" s="6"/>
      <c r="I78" s="6" t="str">
        <f>IFERROR(__xludf.DUMMYFUNCTION("""COMPUTED_VALUE"""),"#DIV/0!")</f>
        <v>#DIV/0!</v>
      </c>
      <c r="J78" s="6"/>
      <c r="K78" s="6"/>
      <c r="L78" s="6"/>
      <c r="M78" s="6"/>
      <c r="N78" s="5">
        <f>IFERROR(__xludf.DUMMYFUNCTION("""COMPUTED_VALUE"""),0.0)</f>
        <v>0</v>
      </c>
      <c r="O78" s="5"/>
      <c r="P78" s="8"/>
      <c r="Q78" s="5"/>
      <c r="R78" s="8"/>
      <c r="S78" s="5"/>
      <c r="T78" s="6"/>
      <c r="U78" s="8"/>
      <c r="V78" s="5"/>
      <c r="W78" s="6"/>
      <c r="X78" s="5"/>
      <c r="Y78" s="8"/>
      <c r="Z78" s="6"/>
      <c r="AA78" s="6"/>
    </row>
    <row r="79">
      <c r="A79" s="6" t="str">
        <f t="array" ref="A79">XLOOKUP(D79, CountyTops!D:D, CountyTops!B:B, "")
</f>
        <v>Mid-Small</v>
      </c>
      <c r="B79" s="6"/>
      <c r="C79" s="6" t="str">
        <f>IFERROR(__xludf.DUMMYFUNCTION("""COMPUTED_VALUE"""),"Atlanta")</f>
        <v>Atlanta</v>
      </c>
      <c r="D79" s="6" t="str">
        <f>IFERROR(__xludf.DUMMYFUNCTION("""COMPUTED_VALUE"""),"Jackson")</f>
        <v>Jackson</v>
      </c>
      <c r="E79" s="6"/>
      <c r="F79" s="6"/>
      <c r="G79" s="6"/>
      <c r="H79" s="6"/>
      <c r="I79" s="6" t="str">
        <f>IFERROR(__xludf.DUMMYFUNCTION("""COMPUTED_VALUE"""),"#DIV/0!")</f>
        <v>#DIV/0!</v>
      </c>
      <c r="J79" s="6"/>
      <c r="K79" s="6"/>
      <c r="L79" s="6"/>
      <c r="M79" s="6"/>
      <c r="N79" s="5">
        <f>IFERROR(__xludf.DUMMYFUNCTION("""COMPUTED_VALUE"""),0.0)</f>
        <v>0</v>
      </c>
      <c r="O79" s="5"/>
      <c r="P79" s="8"/>
      <c r="Q79" s="5"/>
      <c r="R79" s="8"/>
      <c r="S79" s="5"/>
      <c r="T79" s="6"/>
      <c r="U79" s="8"/>
      <c r="V79" s="5"/>
      <c r="W79" s="6"/>
      <c r="X79" s="5"/>
      <c r="Y79" s="8"/>
      <c r="Z79" s="6"/>
      <c r="AA79" s="6"/>
    </row>
    <row r="80">
      <c r="A80" s="6" t="str">
        <f t="array" ref="A80">XLOOKUP(D80, CountyTops!D:D, CountyTops!B:B, "")
</f>
        <v>Very Small</v>
      </c>
      <c r="B80" s="6"/>
      <c r="C80" s="6" t="str">
        <f>IFERROR(__xludf.DUMMYFUNCTION("""COMPUTED_VALUE"""),"Atlanta")</f>
        <v>Atlanta</v>
      </c>
      <c r="D80" s="6" t="str">
        <f>IFERROR(__xludf.DUMMYFUNCTION("""COMPUTED_VALUE"""),"Jasper")</f>
        <v>Jasper</v>
      </c>
      <c r="E80" s="6"/>
      <c r="F80" s="6"/>
      <c r="G80" s="6"/>
      <c r="H80" s="6"/>
      <c r="I80" s="6" t="str">
        <f>IFERROR(__xludf.DUMMYFUNCTION("""COMPUTED_VALUE"""),"#DIV/0!")</f>
        <v>#DIV/0!</v>
      </c>
      <c r="J80" s="6"/>
      <c r="K80" s="6"/>
      <c r="L80" s="6"/>
      <c r="M80" s="6"/>
      <c r="N80" s="5">
        <f>IFERROR(__xludf.DUMMYFUNCTION("""COMPUTED_VALUE"""),0.0)</f>
        <v>0</v>
      </c>
      <c r="O80" s="5"/>
      <c r="P80" s="8"/>
      <c r="Q80" s="5"/>
      <c r="R80" s="8"/>
      <c r="S80" s="5"/>
      <c r="T80" s="6"/>
      <c r="U80" s="8"/>
      <c r="V80" s="5"/>
      <c r="W80" s="6"/>
      <c r="X80" s="5"/>
      <c r="Y80" s="8"/>
      <c r="Z80" s="6"/>
      <c r="AA80" s="6"/>
    </row>
    <row r="81">
      <c r="A81" s="6" t="str">
        <f t="array" ref="A81">XLOOKUP(D81, CountyTops!D:D, CountyTops!B:B, "")
</f>
        <v>Very Small</v>
      </c>
      <c r="B81" s="6"/>
      <c r="C81" s="6" t="str">
        <f>IFERROR(__xludf.DUMMYFUNCTION("""COMPUTED_VALUE"""),"Savannah")</f>
        <v>Savannah</v>
      </c>
      <c r="D81" s="6" t="str">
        <f>IFERROR(__xludf.DUMMYFUNCTION("""COMPUTED_VALUE"""),"Jeff Davis")</f>
        <v>Jeff Davis</v>
      </c>
      <c r="E81" s="6"/>
      <c r="F81" s="6"/>
      <c r="G81" s="6"/>
      <c r="H81" s="6"/>
      <c r="I81" s="6" t="str">
        <f>IFERROR(__xludf.DUMMYFUNCTION("""COMPUTED_VALUE"""),"#DIV/0!")</f>
        <v>#DIV/0!</v>
      </c>
      <c r="J81" s="6"/>
      <c r="K81" s="6"/>
      <c r="L81" s="6"/>
      <c r="M81" s="6"/>
      <c r="N81" s="5">
        <f>IFERROR(__xludf.DUMMYFUNCTION("""COMPUTED_VALUE"""),0.0)</f>
        <v>0</v>
      </c>
      <c r="O81" s="5"/>
      <c r="P81" s="8"/>
      <c r="Q81" s="5"/>
      <c r="R81" s="8"/>
      <c r="S81" s="5"/>
      <c r="T81" s="6"/>
      <c r="U81" s="8"/>
      <c r="V81" s="5"/>
      <c r="W81" s="6"/>
      <c r="X81" s="5"/>
      <c r="Y81" s="8"/>
      <c r="Z81" s="6"/>
      <c r="AA81" s="6"/>
    </row>
    <row r="82">
      <c r="A82" s="6" t="str">
        <f t="array" ref="A82">XLOOKUP(D82, CountyTops!D:D, CountyTops!B:B, "")
</f>
        <v>Very Small</v>
      </c>
      <c r="B82" s="6"/>
      <c r="C82" s="6" t="str">
        <f>IFERROR(__xludf.DUMMYFUNCTION("""COMPUTED_VALUE"""),"Augusta")</f>
        <v>Augusta</v>
      </c>
      <c r="D82" s="6" t="str">
        <f>IFERROR(__xludf.DUMMYFUNCTION("""COMPUTED_VALUE"""),"Jefferson")</f>
        <v>Jefferson</v>
      </c>
      <c r="E82" s="6"/>
      <c r="F82" s="6"/>
      <c r="G82" s="6"/>
      <c r="H82" s="6"/>
      <c r="I82" s="6" t="str">
        <f>IFERROR(__xludf.DUMMYFUNCTION("""COMPUTED_VALUE"""),"#DIV/0!")</f>
        <v>#DIV/0!</v>
      </c>
      <c r="J82" s="6"/>
      <c r="K82" s="6"/>
      <c r="L82" s="6"/>
      <c r="M82" s="6"/>
      <c r="N82" s="5">
        <f>IFERROR(__xludf.DUMMYFUNCTION("""COMPUTED_VALUE"""),0.0)</f>
        <v>0</v>
      </c>
      <c r="O82" s="5"/>
      <c r="P82" s="8"/>
      <c r="Q82" s="5"/>
      <c r="R82" s="8"/>
      <c r="S82" s="5"/>
      <c r="T82" s="6"/>
      <c r="U82" s="8"/>
      <c r="V82" s="5"/>
      <c r="W82" s="6"/>
      <c r="X82" s="5"/>
      <c r="Y82" s="8"/>
      <c r="Z82" s="6"/>
      <c r="AA82" s="6"/>
    </row>
    <row r="83">
      <c r="A83" s="6" t="str">
        <f t="array" ref="A83">XLOOKUP(D83, CountyTops!D:D, CountyTops!B:B, "")
</f>
        <v>Micro</v>
      </c>
      <c r="B83" s="6"/>
      <c r="C83" s="6" t="str">
        <f>IFERROR(__xludf.DUMMYFUNCTION("""COMPUTED_VALUE"""),"Augusta")</f>
        <v>Augusta</v>
      </c>
      <c r="D83" s="6" t="str">
        <f>IFERROR(__xludf.DUMMYFUNCTION("""COMPUTED_VALUE"""),"Jenkins")</f>
        <v>Jenkins</v>
      </c>
      <c r="E83" s="6"/>
      <c r="F83" s="6"/>
      <c r="G83" s="6"/>
      <c r="H83" s="6"/>
      <c r="I83" s="6" t="str">
        <f>IFERROR(__xludf.DUMMYFUNCTION("""COMPUTED_VALUE"""),"#DIV/0!")</f>
        <v>#DIV/0!</v>
      </c>
      <c r="J83" s="6"/>
      <c r="K83" s="6"/>
      <c r="L83" s="6"/>
      <c r="M83" s="6"/>
      <c r="N83" s="5">
        <f>IFERROR(__xludf.DUMMYFUNCTION("""COMPUTED_VALUE"""),0.0)</f>
        <v>0</v>
      </c>
      <c r="O83" s="5"/>
      <c r="P83" s="8"/>
      <c r="Q83" s="5"/>
      <c r="R83" s="8"/>
      <c r="S83" s="5"/>
      <c r="T83" s="6"/>
      <c r="U83" s="8"/>
      <c r="V83" s="5"/>
      <c r="W83" s="6"/>
      <c r="X83" s="5"/>
      <c r="Y83" s="8"/>
      <c r="Z83" s="6"/>
      <c r="AA83" s="6"/>
    </row>
    <row r="84">
      <c r="A84" s="6" t="str">
        <f t="array" ref="A84">XLOOKUP(D84, CountyTops!D:D, CountyTops!B:B, "")
</f>
        <v>Very Small</v>
      </c>
      <c r="B84" s="6"/>
      <c r="C84" s="6" t="str">
        <f>IFERROR(__xludf.DUMMYFUNCTION("""COMPUTED_VALUE"""),"Macon")</f>
        <v>Macon</v>
      </c>
      <c r="D84" s="6" t="str">
        <f>IFERROR(__xludf.DUMMYFUNCTION("""COMPUTED_VALUE"""),"Johnson")</f>
        <v>Johnson</v>
      </c>
      <c r="E84" s="6"/>
      <c r="F84" s="6"/>
      <c r="G84" s="6"/>
      <c r="H84" s="6"/>
      <c r="I84" s="6" t="str">
        <f>IFERROR(__xludf.DUMMYFUNCTION("""COMPUTED_VALUE"""),"#DIV/0!")</f>
        <v>#DIV/0!</v>
      </c>
      <c r="J84" s="6"/>
      <c r="K84" s="6"/>
      <c r="L84" s="6"/>
      <c r="M84" s="6"/>
      <c r="N84" s="5">
        <f>IFERROR(__xludf.DUMMYFUNCTION("""COMPUTED_VALUE"""),0.0)</f>
        <v>0</v>
      </c>
      <c r="O84" s="5"/>
      <c r="P84" s="8"/>
      <c r="Q84" s="5"/>
      <c r="R84" s="8"/>
      <c r="S84" s="5"/>
      <c r="T84" s="6"/>
      <c r="U84" s="8"/>
      <c r="V84" s="5"/>
      <c r="W84" s="6"/>
      <c r="X84" s="5"/>
      <c r="Y84" s="8"/>
      <c r="Z84" s="6"/>
      <c r="AA84" s="6"/>
    </row>
    <row r="85">
      <c r="A85" s="6" t="str">
        <f t="array" ref="A85">XLOOKUP(D85, CountyTops!D:D, CountyTops!B:B, "")
</f>
        <v>Very Small</v>
      </c>
      <c r="B85" s="6"/>
      <c r="C85" s="6" t="str">
        <f>IFERROR(__xludf.DUMMYFUNCTION("""COMPUTED_VALUE"""),"Macon")</f>
        <v>Macon</v>
      </c>
      <c r="D85" s="6" t="str">
        <f>IFERROR(__xludf.DUMMYFUNCTION("""COMPUTED_VALUE"""),"Jones")</f>
        <v>Jones</v>
      </c>
      <c r="E85" s="6"/>
      <c r="F85" s="6"/>
      <c r="G85" s="6"/>
      <c r="H85" s="6"/>
      <c r="I85" s="6" t="str">
        <f>IFERROR(__xludf.DUMMYFUNCTION("""COMPUTED_VALUE"""),"#DIV/0!")</f>
        <v>#DIV/0!</v>
      </c>
      <c r="J85" s="6"/>
      <c r="K85" s="6"/>
      <c r="L85" s="6"/>
      <c r="M85" s="6"/>
      <c r="N85" s="5">
        <f>IFERROR(__xludf.DUMMYFUNCTION("""COMPUTED_VALUE"""),0.0)</f>
        <v>0</v>
      </c>
      <c r="O85" s="5"/>
      <c r="P85" s="8"/>
      <c r="Q85" s="5"/>
      <c r="R85" s="8"/>
      <c r="S85" s="5"/>
      <c r="T85" s="6"/>
      <c r="U85" s="8"/>
      <c r="V85" s="5"/>
      <c r="W85" s="6"/>
      <c r="X85" s="5"/>
      <c r="Y85" s="8"/>
      <c r="Z85" s="6"/>
      <c r="AA85" s="6"/>
    </row>
    <row r="86">
      <c r="A86" s="6" t="str">
        <f t="array" ref="A86">XLOOKUP(D86, CountyTops!D:D, CountyTops!B:B, "")
</f>
        <v>Very Small</v>
      </c>
      <c r="B86" s="6"/>
      <c r="C86" s="6" t="str">
        <f>IFERROR(__xludf.DUMMYFUNCTION("""COMPUTED_VALUE"""),"Atlanta")</f>
        <v>Atlanta</v>
      </c>
      <c r="D86" s="6" t="str">
        <f>IFERROR(__xludf.DUMMYFUNCTION("""COMPUTED_VALUE"""),"Lamar")</f>
        <v>Lamar</v>
      </c>
      <c r="E86" s="6"/>
      <c r="F86" s="6"/>
      <c r="G86" s="6"/>
      <c r="H86" s="6"/>
      <c r="I86" s="6" t="str">
        <f>IFERROR(__xludf.DUMMYFUNCTION("""COMPUTED_VALUE"""),"#DIV/0!")</f>
        <v>#DIV/0!</v>
      </c>
      <c r="J86" s="6"/>
      <c r="K86" s="6"/>
      <c r="L86" s="6"/>
      <c r="M86" s="6"/>
      <c r="N86" s="5">
        <f>IFERROR(__xludf.DUMMYFUNCTION("""COMPUTED_VALUE"""),0.0)</f>
        <v>0</v>
      </c>
      <c r="O86" s="5"/>
      <c r="P86" s="8"/>
      <c r="Q86" s="5"/>
      <c r="R86" s="8"/>
      <c r="S86" s="5"/>
      <c r="T86" s="6"/>
      <c r="U86" s="8"/>
      <c r="V86" s="5"/>
      <c r="W86" s="6"/>
      <c r="X86" s="5"/>
      <c r="Y86" s="8"/>
      <c r="Z86" s="6"/>
      <c r="AA86" s="6"/>
    </row>
    <row r="87">
      <c r="A87" s="6" t="str">
        <f t="array" ref="A87">XLOOKUP(D87, CountyTops!D:D, CountyTops!B:B, "")
</f>
        <v>Micro</v>
      </c>
      <c r="B87" s="6"/>
      <c r="C87" s="6" t="str">
        <f>IFERROR(__xludf.DUMMYFUNCTION("""COMPUTED_VALUE"""),"Tallahassee, FL")</f>
        <v>Tallahassee, FL</v>
      </c>
      <c r="D87" s="6" t="str">
        <f>IFERROR(__xludf.DUMMYFUNCTION("""COMPUTED_VALUE"""),"Lanier")</f>
        <v>Lanier</v>
      </c>
      <c r="E87" s="6"/>
      <c r="F87" s="6"/>
      <c r="G87" s="6"/>
      <c r="H87" s="6"/>
      <c r="I87" s="6" t="str">
        <f>IFERROR(__xludf.DUMMYFUNCTION("""COMPUTED_VALUE"""),"#DIV/0!")</f>
        <v>#DIV/0!</v>
      </c>
      <c r="J87" s="6"/>
      <c r="K87" s="6"/>
      <c r="L87" s="6"/>
      <c r="M87" s="6"/>
      <c r="N87" s="5">
        <f>IFERROR(__xludf.DUMMYFUNCTION("""COMPUTED_VALUE"""),0.0)</f>
        <v>0</v>
      </c>
      <c r="O87" s="5"/>
      <c r="P87" s="8"/>
      <c r="Q87" s="5"/>
      <c r="R87" s="8"/>
      <c r="S87" s="5"/>
      <c r="T87" s="6"/>
      <c r="U87" s="8"/>
      <c r="V87" s="5"/>
      <c r="W87" s="6"/>
      <c r="X87" s="5"/>
      <c r="Y87" s="8"/>
      <c r="Z87" s="6"/>
      <c r="AA87" s="6"/>
    </row>
    <row r="88">
      <c r="A88" s="6" t="str">
        <f t="array" ref="A88">XLOOKUP(D88, CountyTops!D:D, CountyTops!B:B, "")
</f>
        <v>Small</v>
      </c>
      <c r="B88" s="6"/>
      <c r="C88" s="6" t="str">
        <f>IFERROR(__xludf.DUMMYFUNCTION("""COMPUTED_VALUE"""),"Macon")</f>
        <v>Macon</v>
      </c>
      <c r="D88" s="6" t="str">
        <f>IFERROR(__xludf.DUMMYFUNCTION("""COMPUTED_VALUE"""),"Laurens")</f>
        <v>Laurens</v>
      </c>
      <c r="E88" s="6"/>
      <c r="F88" s="6"/>
      <c r="G88" s="6"/>
      <c r="H88" s="6"/>
      <c r="I88" s="6" t="str">
        <f>IFERROR(__xludf.DUMMYFUNCTION("""COMPUTED_VALUE"""),"#DIV/0!")</f>
        <v>#DIV/0!</v>
      </c>
      <c r="J88" s="6"/>
      <c r="K88" s="6"/>
      <c r="L88" s="6"/>
      <c r="M88" s="6"/>
      <c r="N88" s="5">
        <f>IFERROR(__xludf.DUMMYFUNCTION("""COMPUTED_VALUE"""),0.0)</f>
        <v>0</v>
      </c>
      <c r="O88" s="5"/>
      <c r="P88" s="8"/>
      <c r="Q88" s="5"/>
      <c r="R88" s="8"/>
      <c r="S88" s="5"/>
      <c r="T88" s="6"/>
      <c r="U88" s="8"/>
      <c r="V88" s="5"/>
      <c r="W88" s="6"/>
      <c r="X88" s="5"/>
      <c r="Y88" s="8"/>
      <c r="Z88" s="6"/>
      <c r="AA88" s="6"/>
    </row>
    <row r="89">
      <c r="A89" s="6" t="str">
        <f t="array" ref="A89">XLOOKUP(D89, CountyTops!D:D, CountyTops!B:B, "")
</f>
        <v>Very Small</v>
      </c>
      <c r="B89" s="6"/>
      <c r="C89" s="6" t="str">
        <f>IFERROR(__xludf.DUMMYFUNCTION("""COMPUTED_VALUE"""),"Albany")</f>
        <v>Albany</v>
      </c>
      <c r="D89" s="6" t="str">
        <f>IFERROR(__xludf.DUMMYFUNCTION("""COMPUTED_VALUE"""),"Lee")</f>
        <v>Lee</v>
      </c>
      <c r="E89" s="6"/>
      <c r="F89" s="6"/>
      <c r="G89" s="6"/>
      <c r="H89" s="6"/>
      <c r="I89" s="6" t="str">
        <f>IFERROR(__xludf.DUMMYFUNCTION("""COMPUTED_VALUE"""),"#DIV/0!")</f>
        <v>#DIV/0!</v>
      </c>
      <c r="J89" s="6"/>
      <c r="K89" s="6"/>
      <c r="L89" s="6"/>
      <c r="M89" s="6"/>
      <c r="N89" s="5">
        <f>IFERROR(__xludf.DUMMYFUNCTION("""COMPUTED_VALUE"""),0.0)</f>
        <v>0</v>
      </c>
      <c r="O89" s="5"/>
      <c r="P89" s="8"/>
      <c r="Q89" s="5"/>
      <c r="R89" s="8"/>
      <c r="S89" s="5"/>
      <c r="T89" s="6"/>
      <c r="U89" s="8"/>
      <c r="V89" s="5"/>
      <c r="W89" s="6"/>
      <c r="X89" s="5"/>
      <c r="Y89" s="8"/>
      <c r="Z89" s="6"/>
      <c r="AA89" s="6"/>
    </row>
    <row r="90">
      <c r="A90" s="6" t="str">
        <f t="array" ref="A90">XLOOKUP(D90, CountyTops!D:D, CountyTops!B:B, "")
</f>
        <v>Very Small</v>
      </c>
      <c r="B90" s="6"/>
      <c r="C90" s="6" t="str">
        <f>IFERROR(__xludf.DUMMYFUNCTION("""COMPUTED_VALUE"""),"Savannah")</f>
        <v>Savannah</v>
      </c>
      <c r="D90" s="6" t="str">
        <f>IFERROR(__xludf.DUMMYFUNCTION("""COMPUTED_VALUE"""),"Liberty")</f>
        <v>Liberty</v>
      </c>
      <c r="E90" s="6"/>
      <c r="F90" s="6"/>
      <c r="G90" s="6"/>
      <c r="H90" s="6"/>
      <c r="I90" s="6" t="str">
        <f>IFERROR(__xludf.DUMMYFUNCTION("""COMPUTED_VALUE"""),"#DIV/0!")</f>
        <v>#DIV/0!</v>
      </c>
      <c r="J90" s="6"/>
      <c r="K90" s="6"/>
      <c r="L90" s="6"/>
      <c r="M90" s="6"/>
      <c r="N90" s="5">
        <f>IFERROR(__xludf.DUMMYFUNCTION("""COMPUTED_VALUE"""),0.0)</f>
        <v>0</v>
      </c>
      <c r="O90" s="5"/>
      <c r="P90" s="8"/>
      <c r="Q90" s="5"/>
      <c r="R90" s="8"/>
      <c r="S90" s="5"/>
      <c r="T90" s="6"/>
      <c r="U90" s="8"/>
      <c r="V90" s="5"/>
      <c r="W90" s="6"/>
      <c r="X90" s="5"/>
      <c r="Y90" s="8"/>
      <c r="Z90" s="6"/>
      <c r="AA90" s="6"/>
    </row>
    <row r="91">
      <c r="A91" s="6" t="str">
        <f t="array" ref="A91">XLOOKUP(D91, CountyTops!D:D, CountyTops!B:B, "")
</f>
        <v>Very Small</v>
      </c>
      <c r="B91" s="6"/>
      <c r="C91" s="6" t="str">
        <f>IFERROR(__xludf.DUMMYFUNCTION("""COMPUTED_VALUE"""),"Augusta")</f>
        <v>Augusta</v>
      </c>
      <c r="D91" s="6" t="str">
        <f>IFERROR(__xludf.DUMMYFUNCTION("""COMPUTED_VALUE"""),"Lincoln")</f>
        <v>Lincoln</v>
      </c>
      <c r="E91" s="6"/>
      <c r="F91" s="6"/>
      <c r="G91" s="6"/>
      <c r="H91" s="6"/>
      <c r="I91" s="6" t="str">
        <f>IFERROR(__xludf.DUMMYFUNCTION("""COMPUTED_VALUE"""),"#DIV/0!")</f>
        <v>#DIV/0!</v>
      </c>
      <c r="J91" s="6"/>
      <c r="K91" s="6"/>
      <c r="L91" s="6"/>
      <c r="M91" s="6"/>
      <c r="N91" s="5">
        <f>IFERROR(__xludf.DUMMYFUNCTION("""COMPUTED_VALUE"""),0.0)</f>
        <v>0</v>
      </c>
      <c r="O91" s="5"/>
      <c r="P91" s="8"/>
      <c r="Q91" s="5"/>
      <c r="R91" s="8"/>
      <c r="S91" s="5"/>
      <c r="T91" s="6"/>
      <c r="U91" s="8"/>
      <c r="V91" s="5"/>
      <c r="W91" s="6"/>
      <c r="X91" s="5"/>
      <c r="Y91" s="8"/>
      <c r="Z91" s="6"/>
      <c r="AA91" s="6"/>
    </row>
    <row r="92">
      <c r="A92" s="6" t="str">
        <f t="array" ref="A92">XLOOKUP(D92, CountyTops!D:D, CountyTops!B:B, "")
</f>
        <v>Very Small</v>
      </c>
      <c r="B92" s="6"/>
      <c r="C92" s="6" t="str">
        <f>IFERROR(__xludf.DUMMYFUNCTION("""COMPUTED_VALUE"""),"Savannah")</f>
        <v>Savannah</v>
      </c>
      <c r="D92" s="6" t="str">
        <f>IFERROR(__xludf.DUMMYFUNCTION("""COMPUTED_VALUE"""),"Long")</f>
        <v>Long</v>
      </c>
      <c r="E92" s="6"/>
      <c r="F92" s="6"/>
      <c r="G92" s="6"/>
      <c r="H92" s="6"/>
      <c r="I92" s="6" t="str">
        <f>IFERROR(__xludf.DUMMYFUNCTION("""COMPUTED_VALUE"""),"#DIV/0!")</f>
        <v>#DIV/0!</v>
      </c>
      <c r="J92" s="6"/>
      <c r="K92" s="6"/>
      <c r="L92" s="6"/>
      <c r="M92" s="6"/>
      <c r="N92" s="5">
        <f>IFERROR(__xludf.DUMMYFUNCTION("""COMPUTED_VALUE"""),0.0)</f>
        <v>0</v>
      </c>
      <c r="O92" s="5"/>
      <c r="P92" s="8"/>
      <c r="Q92" s="5"/>
      <c r="R92" s="8"/>
      <c r="S92" s="5"/>
      <c r="T92" s="6"/>
      <c r="U92" s="8"/>
      <c r="V92" s="5"/>
      <c r="W92" s="6"/>
      <c r="X92" s="5"/>
      <c r="Y92" s="8"/>
      <c r="Z92" s="6"/>
      <c r="AA92" s="6"/>
    </row>
    <row r="93">
      <c r="A93" s="6" t="str">
        <f t="array" ref="A93">XLOOKUP(D93, CountyTops!D:D, CountyTops!B:B, "")
</f>
        <v>Small</v>
      </c>
      <c r="B93" s="6"/>
      <c r="C93" s="6" t="str">
        <f>IFERROR(__xludf.DUMMYFUNCTION("""COMPUTED_VALUE"""),"Tallahassee, FL")</f>
        <v>Tallahassee, FL</v>
      </c>
      <c r="D93" s="6" t="str">
        <f>IFERROR(__xludf.DUMMYFUNCTION("""COMPUTED_VALUE"""),"Lowndes")</f>
        <v>Lowndes</v>
      </c>
      <c r="E93" s="6"/>
      <c r="F93" s="6"/>
      <c r="G93" s="6"/>
      <c r="H93" s="6"/>
      <c r="I93" s="6" t="str">
        <f>IFERROR(__xludf.DUMMYFUNCTION("""COMPUTED_VALUE"""),"#DIV/0!")</f>
        <v>#DIV/0!</v>
      </c>
      <c r="J93" s="6"/>
      <c r="K93" s="6"/>
      <c r="L93" s="6"/>
      <c r="M93" s="6"/>
      <c r="N93" s="5">
        <f>IFERROR(__xludf.DUMMYFUNCTION("""COMPUTED_VALUE"""),0.0)</f>
        <v>0</v>
      </c>
      <c r="O93" s="5"/>
      <c r="P93" s="8"/>
      <c r="Q93" s="5"/>
      <c r="R93" s="8"/>
      <c r="S93" s="5"/>
      <c r="T93" s="6"/>
      <c r="U93" s="8"/>
      <c r="V93" s="5"/>
      <c r="W93" s="6"/>
      <c r="X93" s="5"/>
      <c r="Y93" s="8"/>
      <c r="Z93" s="6"/>
      <c r="AA93" s="6"/>
    </row>
    <row r="94">
      <c r="A94" s="6" t="str">
        <f t="array" ref="A94">XLOOKUP(D94, CountyTops!D:D, CountyTops!B:B, "")
</f>
        <v>Very Small</v>
      </c>
      <c r="B94" s="6"/>
      <c r="C94" s="6" t="str">
        <f>IFERROR(__xludf.DUMMYFUNCTION("""COMPUTED_VALUE"""),"Atlanta")</f>
        <v>Atlanta</v>
      </c>
      <c r="D94" s="6" t="str">
        <f>IFERROR(__xludf.DUMMYFUNCTION("""COMPUTED_VALUE"""),"Lumpkin")</f>
        <v>Lumpkin</v>
      </c>
      <c r="E94" s="6"/>
      <c r="F94" s="6"/>
      <c r="G94" s="6"/>
      <c r="H94" s="6"/>
      <c r="I94" s="6" t="str">
        <f>IFERROR(__xludf.DUMMYFUNCTION("""COMPUTED_VALUE"""),"#DIV/0!")</f>
        <v>#DIV/0!</v>
      </c>
      <c r="J94" s="6"/>
      <c r="K94" s="6"/>
      <c r="L94" s="6"/>
      <c r="M94" s="6"/>
      <c r="N94" s="5">
        <f>IFERROR(__xludf.DUMMYFUNCTION("""COMPUTED_VALUE"""),0.0)</f>
        <v>0</v>
      </c>
      <c r="O94" s="5"/>
      <c r="P94" s="8"/>
      <c r="Q94" s="5"/>
      <c r="R94" s="8"/>
      <c r="S94" s="5"/>
      <c r="T94" s="6"/>
      <c r="U94" s="8"/>
      <c r="V94" s="5"/>
      <c r="W94" s="6"/>
      <c r="X94" s="5"/>
      <c r="Y94" s="8"/>
      <c r="Z94" s="6"/>
      <c r="AA94" s="6"/>
    </row>
    <row r="95">
      <c r="A95" s="6" t="str">
        <f t="array" ref="A95">XLOOKUP(D95, CountyTops!D:D, CountyTops!B:B, "")
</f>
        <v>Micro</v>
      </c>
      <c r="B95" s="6"/>
      <c r="C95" s="6" t="str">
        <f>IFERROR(__xludf.DUMMYFUNCTION("""COMPUTED_VALUE"""),"Macon")</f>
        <v>Macon</v>
      </c>
      <c r="D95" s="6" t="str">
        <f>IFERROR(__xludf.DUMMYFUNCTION("""COMPUTED_VALUE"""),"Macon")</f>
        <v>Macon</v>
      </c>
      <c r="E95" s="6"/>
      <c r="F95" s="6"/>
      <c r="G95" s="6"/>
      <c r="H95" s="6"/>
      <c r="I95" s="6" t="str">
        <f>IFERROR(__xludf.DUMMYFUNCTION("""COMPUTED_VALUE"""),"#DIV/0!")</f>
        <v>#DIV/0!</v>
      </c>
      <c r="J95" s="6"/>
      <c r="K95" s="6"/>
      <c r="L95" s="6"/>
      <c r="M95" s="6"/>
      <c r="N95" s="5">
        <f>IFERROR(__xludf.DUMMYFUNCTION("""COMPUTED_VALUE"""),0.0)</f>
        <v>0</v>
      </c>
      <c r="O95" s="5"/>
      <c r="P95" s="8"/>
      <c r="Q95" s="5"/>
      <c r="R95" s="8"/>
      <c r="S95" s="5"/>
      <c r="T95" s="6"/>
      <c r="U95" s="8"/>
      <c r="V95" s="5"/>
      <c r="W95" s="6"/>
      <c r="X95" s="5"/>
      <c r="Y95" s="8"/>
      <c r="Z95" s="6"/>
      <c r="AA95" s="6"/>
    </row>
    <row r="96">
      <c r="A96" s="6" t="str">
        <f t="array" ref="A96">XLOOKUP(D96, CountyTops!D:D, CountyTops!B:B, "")
</f>
        <v>Very Small</v>
      </c>
      <c r="B96" s="6"/>
      <c r="C96" s="6" t="str">
        <f>IFERROR(__xludf.DUMMYFUNCTION("""COMPUTED_VALUE"""),"Atlanta")</f>
        <v>Atlanta</v>
      </c>
      <c r="D96" s="6" t="str">
        <f>IFERROR(__xludf.DUMMYFUNCTION("""COMPUTED_VALUE"""),"Madison")</f>
        <v>Madison</v>
      </c>
      <c r="E96" s="6"/>
      <c r="F96" s="6"/>
      <c r="G96" s="6"/>
      <c r="H96" s="6"/>
      <c r="I96" s="6" t="str">
        <f>IFERROR(__xludf.DUMMYFUNCTION("""COMPUTED_VALUE"""),"#DIV/0!")</f>
        <v>#DIV/0!</v>
      </c>
      <c r="J96" s="6"/>
      <c r="K96" s="6"/>
      <c r="L96" s="6"/>
      <c r="M96" s="6"/>
      <c r="N96" s="5">
        <f>IFERROR(__xludf.DUMMYFUNCTION("""COMPUTED_VALUE"""),0.0)</f>
        <v>0</v>
      </c>
      <c r="O96" s="5"/>
      <c r="P96" s="8"/>
      <c r="Q96" s="5"/>
      <c r="R96" s="8"/>
      <c r="S96" s="5"/>
      <c r="T96" s="6"/>
      <c r="U96" s="8"/>
      <c r="V96" s="5"/>
      <c r="W96" s="6"/>
      <c r="X96" s="5"/>
      <c r="Y96" s="8"/>
      <c r="Z96" s="6"/>
      <c r="AA96" s="6"/>
    </row>
    <row r="97">
      <c r="A97" s="6" t="str">
        <f t="array" ref="A97">XLOOKUP(D97, CountyTops!D:D, CountyTops!B:B, "")
</f>
        <v>Micro</v>
      </c>
      <c r="B97" s="6"/>
      <c r="C97" s="6" t="str">
        <f>IFERROR(__xludf.DUMMYFUNCTION("""COMPUTED_VALUE"""),"Columbus")</f>
        <v>Columbus</v>
      </c>
      <c r="D97" s="6" t="str">
        <f>IFERROR(__xludf.DUMMYFUNCTION("""COMPUTED_VALUE"""),"Marion")</f>
        <v>Marion</v>
      </c>
      <c r="E97" s="6"/>
      <c r="F97" s="6"/>
      <c r="G97" s="6"/>
      <c r="H97" s="6"/>
      <c r="I97" s="6" t="str">
        <f>IFERROR(__xludf.DUMMYFUNCTION("""COMPUTED_VALUE"""),"#DIV/0!")</f>
        <v>#DIV/0!</v>
      </c>
      <c r="J97" s="6"/>
      <c r="K97" s="6"/>
      <c r="L97" s="6"/>
      <c r="M97" s="6"/>
      <c r="N97" s="5">
        <f>IFERROR(__xludf.DUMMYFUNCTION("""COMPUTED_VALUE"""),0.0)</f>
        <v>0</v>
      </c>
      <c r="O97" s="5"/>
      <c r="P97" s="8"/>
      <c r="Q97" s="5"/>
      <c r="R97" s="8"/>
      <c r="S97" s="5"/>
      <c r="T97" s="6"/>
      <c r="U97" s="8"/>
      <c r="V97" s="5"/>
      <c r="W97" s="6"/>
      <c r="X97" s="5"/>
      <c r="Y97" s="8"/>
      <c r="Z97" s="6"/>
      <c r="AA97" s="6"/>
    </row>
    <row r="98">
      <c r="A98" s="6" t="str">
        <f t="array" ref="A98">XLOOKUP(D98, CountyTops!D:D, CountyTops!B:B, "")
</f>
        <v>Very Small</v>
      </c>
      <c r="B98" s="6"/>
      <c r="C98" s="6" t="str">
        <f>IFERROR(__xludf.DUMMYFUNCTION("""COMPUTED_VALUE"""),"Augusta")</f>
        <v>Augusta</v>
      </c>
      <c r="D98" s="6" t="str">
        <f>IFERROR(__xludf.DUMMYFUNCTION("""COMPUTED_VALUE"""),"McDuffie")</f>
        <v>McDuffie</v>
      </c>
      <c r="E98" s="6"/>
      <c r="F98" s="6"/>
      <c r="G98" s="6"/>
      <c r="H98" s="6"/>
      <c r="I98" s="6" t="str">
        <f>IFERROR(__xludf.DUMMYFUNCTION("""COMPUTED_VALUE"""),"#DIV/0!")</f>
        <v>#DIV/0!</v>
      </c>
      <c r="J98" s="6"/>
      <c r="K98" s="6"/>
      <c r="L98" s="6"/>
      <c r="M98" s="6"/>
      <c r="N98" s="5">
        <f>IFERROR(__xludf.DUMMYFUNCTION("""COMPUTED_VALUE"""),0.0)</f>
        <v>0</v>
      </c>
      <c r="O98" s="5"/>
      <c r="P98" s="8"/>
      <c r="Q98" s="5"/>
      <c r="R98" s="8"/>
      <c r="S98" s="5"/>
      <c r="T98" s="6"/>
      <c r="U98" s="8"/>
      <c r="V98" s="5"/>
      <c r="W98" s="6"/>
      <c r="X98" s="5"/>
      <c r="Y98" s="8"/>
      <c r="Z98" s="6"/>
      <c r="AA98" s="6"/>
    </row>
    <row r="99">
      <c r="A99" s="6" t="str">
        <f t="array" ref="A99">XLOOKUP(D99, CountyTops!D:D, CountyTops!B:B, "")
</f>
        <v>Very Small</v>
      </c>
      <c r="B99" s="6"/>
      <c r="C99" s="6" t="str">
        <f>IFERROR(__xludf.DUMMYFUNCTION("""COMPUTED_VALUE"""),"Savannah")</f>
        <v>Savannah</v>
      </c>
      <c r="D99" s="6" t="str">
        <f>IFERROR(__xludf.DUMMYFUNCTION("""COMPUTED_VALUE"""),"McIntosh")</f>
        <v>McIntosh</v>
      </c>
      <c r="E99" s="6"/>
      <c r="F99" s="6"/>
      <c r="G99" s="6"/>
      <c r="H99" s="6"/>
      <c r="I99" s="6" t="str">
        <f>IFERROR(__xludf.DUMMYFUNCTION("""COMPUTED_VALUE"""),"#DIV/0!")</f>
        <v>#DIV/0!</v>
      </c>
      <c r="J99" s="6"/>
      <c r="K99" s="6"/>
      <c r="L99" s="6"/>
      <c r="M99" s="6"/>
      <c r="N99" s="5">
        <f>IFERROR(__xludf.DUMMYFUNCTION("""COMPUTED_VALUE"""),0.0)</f>
        <v>0</v>
      </c>
      <c r="O99" s="5"/>
      <c r="P99" s="8"/>
      <c r="Q99" s="5"/>
      <c r="R99" s="8"/>
      <c r="S99" s="5"/>
      <c r="T99" s="6"/>
      <c r="U99" s="8"/>
      <c r="V99" s="5"/>
      <c r="W99" s="6"/>
      <c r="X99" s="5"/>
      <c r="Y99" s="8"/>
      <c r="Z99" s="6"/>
      <c r="AA99" s="6"/>
    </row>
    <row r="100">
      <c r="A100" s="6" t="str">
        <f t="array" ref="A100">XLOOKUP(D100, CountyTops!D:D, CountyTops!B:B, "")
</f>
        <v>Very Small</v>
      </c>
      <c r="B100" s="6"/>
      <c r="C100" s="6" t="str">
        <f>IFERROR(__xludf.DUMMYFUNCTION("""COMPUTED_VALUE"""),"Atlanta")</f>
        <v>Atlanta</v>
      </c>
      <c r="D100" s="6" t="str">
        <f>IFERROR(__xludf.DUMMYFUNCTION("""COMPUTED_VALUE"""),"Meriwether")</f>
        <v>Meriwether</v>
      </c>
      <c r="E100" s="6"/>
      <c r="F100" s="6"/>
      <c r="G100" s="6"/>
      <c r="H100" s="6"/>
      <c r="I100" s="6" t="str">
        <f>IFERROR(__xludf.DUMMYFUNCTION("""COMPUTED_VALUE"""),"#DIV/0!")</f>
        <v>#DIV/0!</v>
      </c>
      <c r="J100" s="6"/>
      <c r="K100" s="6"/>
      <c r="L100" s="6"/>
      <c r="M100" s="6"/>
      <c r="N100" s="5">
        <f>IFERROR(__xludf.DUMMYFUNCTION("""COMPUTED_VALUE"""),0.0)</f>
        <v>0</v>
      </c>
      <c r="O100" s="5"/>
      <c r="P100" s="8"/>
      <c r="Q100" s="5"/>
      <c r="R100" s="8"/>
      <c r="S100" s="5"/>
      <c r="T100" s="6"/>
      <c r="U100" s="8"/>
      <c r="V100" s="5"/>
      <c r="W100" s="6"/>
      <c r="X100" s="5"/>
      <c r="Y100" s="8"/>
      <c r="Z100" s="6"/>
      <c r="AA100" s="6"/>
    </row>
    <row r="101">
      <c r="A101" s="6" t="str">
        <f t="array" ref="A101">XLOOKUP(D101, CountyTops!D:D, CountyTops!B:B, "")
</f>
        <v>Micro</v>
      </c>
      <c r="B101" s="6"/>
      <c r="C101" s="6" t="str">
        <f>IFERROR(__xludf.DUMMYFUNCTION("""COMPUTED_VALUE"""),"Tallahassee, FL")</f>
        <v>Tallahassee, FL</v>
      </c>
      <c r="D101" s="6" t="str">
        <f>IFERROR(__xludf.DUMMYFUNCTION("""COMPUTED_VALUE"""),"Miller")</f>
        <v>Miller</v>
      </c>
      <c r="E101" s="6"/>
      <c r="F101" s="6"/>
      <c r="G101" s="6"/>
      <c r="H101" s="6"/>
      <c r="I101" s="6" t="str">
        <f>IFERROR(__xludf.DUMMYFUNCTION("""COMPUTED_VALUE"""),"#DIV/0!")</f>
        <v>#DIV/0!</v>
      </c>
      <c r="J101" s="6"/>
      <c r="K101" s="6"/>
      <c r="L101" s="6"/>
      <c r="M101" s="6"/>
      <c r="N101" s="5">
        <f>IFERROR(__xludf.DUMMYFUNCTION("""COMPUTED_VALUE"""),0.0)</f>
        <v>0</v>
      </c>
      <c r="O101" s="5"/>
      <c r="P101" s="8"/>
      <c r="Q101" s="5"/>
      <c r="R101" s="8"/>
      <c r="S101" s="5"/>
      <c r="T101" s="6"/>
      <c r="U101" s="8"/>
      <c r="V101" s="5"/>
      <c r="W101" s="6"/>
      <c r="X101" s="5"/>
      <c r="Y101" s="8"/>
      <c r="Z101" s="6"/>
      <c r="AA101" s="6"/>
    </row>
    <row r="102">
      <c r="A102" s="6" t="str">
        <f t="array" ref="A102">XLOOKUP(D102, CountyTops!D:D, CountyTops!B:B, "")
</f>
        <v>Very Small</v>
      </c>
      <c r="B102" s="6"/>
      <c r="C102" s="6" t="str">
        <f>IFERROR(__xludf.DUMMYFUNCTION("""COMPUTED_VALUE"""),"Albany")</f>
        <v>Albany</v>
      </c>
      <c r="D102" s="6" t="str">
        <f>IFERROR(__xludf.DUMMYFUNCTION("""COMPUTED_VALUE"""),"Mitchell")</f>
        <v>Mitchell</v>
      </c>
      <c r="E102" s="6"/>
      <c r="F102" s="6"/>
      <c r="G102" s="6"/>
      <c r="H102" s="6"/>
      <c r="I102" s="6" t="str">
        <f>IFERROR(__xludf.DUMMYFUNCTION("""COMPUTED_VALUE"""),"#DIV/0!")</f>
        <v>#DIV/0!</v>
      </c>
      <c r="J102" s="6"/>
      <c r="K102" s="6"/>
      <c r="L102" s="6"/>
      <c r="M102" s="6"/>
      <c r="N102" s="5">
        <f>IFERROR(__xludf.DUMMYFUNCTION("""COMPUTED_VALUE"""),0.0)</f>
        <v>0</v>
      </c>
      <c r="O102" s="5"/>
      <c r="P102" s="8"/>
      <c r="Q102" s="5"/>
      <c r="R102" s="8"/>
      <c r="S102" s="5"/>
      <c r="T102" s="6"/>
      <c r="U102" s="8"/>
      <c r="V102" s="5"/>
      <c r="W102" s="6"/>
      <c r="X102" s="5"/>
      <c r="Y102" s="8"/>
      <c r="Z102" s="6"/>
      <c r="AA102" s="6"/>
    </row>
    <row r="103">
      <c r="A103" s="6" t="str">
        <f t="array" ref="A103">XLOOKUP(D103, CountyTops!D:D, CountyTops!B:B, "")
</f>
        <v>Small</v>
      </c>
      <c r="B103" s="6"/>
      <c r="C103" s="6" t="str">
        <f>IFERROR(__xludf.DUMMYFUNCTION("""COMPUTED_VALUE"""),"Macon")</f>
        <v>Macon</v>
      </c>
      <c r="D103" s="6" t="str">
        <f>IFERROR(__xludf.DUMMYFUNCTION("""COMPUTED_VALUE"""),"Monroe")</f>
        <v>Monroe</v>
      </c>
      <c r="E103" s="6"/>
      <c r="F103" s="6"/>
      <c r="G103" s="6"/>
      <c r="H103" s="6"/>
      <c r="I103" s="6" t="str">
        <f>IFERROR(__xludf.DUMMYFUNCTION("""COMPUTED_VALUE"""),"#DIV/0!")</f>
        <v>#DIV/0!</v>
      </c>
      <c r="J103" s="6"/>
      <c r="K103" s="6"/>
      <c r="L103" s="6"/>
      <c r="M103" s="6"/>
      <c r="N103" s="5">
        <f>IFERROR(__xludf.DUMMYFUNCTION("""COMPUTED_VALUE"""),0.0)</f>
        <v>0</v>
      </c>
      <c r="O103" s="5"/>
      <c r="P103" s="8"/>
      <c r="Q103" s="5"/>
      <c r="R103" s="8"/>
      <c r="S103" s="5"/>
      <c r="T103" s="6"/>
      <c r="U103" s="8"/>
      <c r="V103" s="5"/>
      <c r="W103" s="6"/>
      <c r="X103" s="5"/>
      <c r="Y103" s="8"/>
      <c r="Z103" s="6"/>
      <c r="AA103" s="6"/>
    </row>
    <row r="104">
      <c r="A104" s="6" t="str">
        <f t="array" ref="A104">XLOOKUP(D104, CountyTops!D:D, CountyTops!B:B, "")
</f>
        <v>Very Small</v>
      </c>
      <c r="B104" s="6"/>
      <c r="C104" s="6" t="str">
        <f>IFERROR(__xludf.DUMMYFUNCTION("""COMPUTED_VALUE"""),"Savannah")</f>
        <v>Savannah</v>
      </c>
      <c r="D104" s="6" t="str">
        <f>IFERROR(__xludf.DUMMYFUNCTION("""COMPUTED_VALUE"""),"Montgomery")</f>
        <v>Montgomery</v>
      </c>
      <c r="E104" s="6"/>
      <c r="F104" s="6"/>
      <c r="G104" s="6"/>
      <c r="H104" s="6"/>
      <c r="I104" s="6" t="str">
        <f>IFERROR(__xludf.DUMMYFUNCTION("""COMPUTED_VALUE"""),"#DIV/0!")</f>
        <v>#DIV/0!</v>
      </c>
      <c r="J104" s="6"/>
      <c r="K104" s="6"/>
      <c r="L104" s="6"/>
      <c r="M104" s="6"/>
      <c r="N104" s="5">
        <f>IFERROR(__xludf.DUMMYFUNCTION("""COMPUTED_VALUE"""),0.0)</f>
        <v>0</v>
      </c>
      <c r="O104" s="5"/>
      <c r="P104" s="8"/>
      <c r="Q104" s="5"/>
      <c r="R104" s="8"/>
      <c r="S104" s="5"/>
      <c r="T104" s="6"/>
      <c r="U104" s="8"/>
      <c r="V104" s="5"/>
      <c r="W104" s="6"/>
      <c r="X104" s="5"/>
      <c r="Y104" s="8"/>
      <c r="Z104" s="6"/>
      <c r="AA104" s="6"/>
    </row>
    <row r="105">
      <c r="A105" s="6" t="str">
        <f t="array" ref="A105">XLOOKUP(D105, CountyTops!D:D, CountyTops!B:B, "")
</f>
        <v>Very Small</v>
      </c>
      <c r="B105" s="6"/>
      <c r="C105" s="6" t="str">
        <f>IFERROR(__xludf.DUMMYFUNCTION("""COMPUTED_VALUE"""),"Atlanta")</f>
        <v>Atlanta</v>
      </c>
      <c r="D105" s="6" t="str">
        <f>IFERROR(__xludf.DUMMYFUNCTION("""COMPUTED_VALUE"""),"Morgan")</f>
        <v>Morgan</v>
      </c>
      <c r="E105" s="6"/>
      <c r="F105" s="6"/>
      <c r="G105" s="6"/>
      <c r="H105" s="6"/>
      <c r="I105" s="6" t="str">
        <f>IFERROR(__xludf.DUMMYFUNCTION("""COMPUTED_VALUE"""),"#DIV/0!")</f>
        <v>#DIV/0!</v>
      </c>
      <c r="J105" s="6"/>
      <c r="K105" s="6"/>
      <c r="L105" s="6"/>
      <c r="M105" s="6"/>
      <c r="N105" s="5">
        <f>IFERROR(__xludf.DUMMYFUNCTION("""COMPUTED_VALUE"""),0.0)</f>
        <v>0</v>
      </c>
      <c r="O105" s="5"/>
      <c r="P105" s="8"/>
      <c r="Q105" s="5"/>
      <c r="R105" s="8"/>
      <c r="S105" s="5"/>
      <c r="T105" s="6"/>
      <c r="U105" s="8"/>
      <c r="V105" s="5"/>
      <c r="W105" s="6"/>
      <c r="X105" s="5"/>
      <c r="Y105" s="8"/>
      <c r="Z105" s="6"/>
      <c r="AA105" s="6"/>
    </row>
    <row r="106">
      <c r="A106" s="6" t="str">
        <f t="array" ref="A106">XLOOKUP(D106, CountyTops!D:D, CountyTops!B:B, "")
</f>
        <v>Very Small</v>
      </c>
      <c r="B106" s="6"/>
      <c r="C106" s="6" t="str">
        <f>IFERROR(__xludf.DUMMYFUNCTION("""COMPUTED_VALUE"""),"Chattanooga")</f>
        <v>Chattanooga</v>
      </c>
      <c r="D106" s="6" t="str">
        <f>IFERROR(__xludf.DUMMYFUNCTION("""COMPUTED_VALUE"""),"Murray")</f>
        <v>Murray</v>
      </c>
      <c r="E106" s="6"/>
      <c r="F106" s="6"/>
      <c r="G106" s="6"/>
      <c r="H106" s="6"/>
      <c r="I106" s="6" t="str">
        <f>IFERROR(__xludf.DUMMYFUNCTION("""COMPUTED_VALUE"""),"#DIV/0!")</f>
        <v>#DIV/0!</v>
      </c>
      <c r="J106" s="6"/>
      <c r="K106" s="6"/>
      <c r="L106" s="6"/>
      <c r="M106" s="6"/>
      <c r="N106" s="5">
        <f>IFERROR(__xludf.DUMMYFUNCTION("""COMPUTED_VALUE"""),0.0)</f>
        <v>0</v>
      </c>
      <c r="O106" s="5"/>
      <c r="P106" s="8"/>
      <c r="Q106" s="5"/>
      <c r="R106" s="8"/>
      <c r="S106" s="5"/>
      <c r="T106" s="6"/>
      <c r="U106" s="8"/>
      <c r="V106" s="5"/>
      <c r="W106" s="6"/>
      <c r="X106" s="5"/>
      <c r="Y106" s="8"/>
      <c r="Z106" s="6"/>
      <c r="AA106" s="6"/>
    </row>
    <row r="107">
      <c r="A107" s="6" t="str">
        <f t="array" ref="A107">XLOOKUP(D107, CountyTops!D:D, CountyTops!B:B, "")
</f>
        <v>Mid-Small</v>
      </c>
      <c r="B107" s="6"/>
      <c r="C107" s="6" t="str">
        <f>IFERROR(__xludf.DUMMYFUNCTION("""COMPUTED_VALUE"""),"Columbus")</f>
        <v>Columbus</v>
      </c>
      <c r="D107" s="6" t="str">
        <f>IFERROR(__xludf.DUMMYFUNCTION("""COMPUTED_VALUE"""),"Muscogee")</f>
        <v>Muscogee</v>
      </c>
      <c r="E107" s="6"/>
      <c r="F107" s="6"/>
      <c r="G107" s="6"/>
      <c r="H107" s="6"/>
      <c r="I107" s="6" t="str">
        <f>IFERROR(__xludf.DUMMYFUNCTION("""COMPUTED_VALUE"""),"#DIV/0!")</f>
        <v>#DIV/0!</v>
      </c>
      <c r="J107" s="6"/>
      <c r="K107" s="6"/>
      <c r="L107" s="6"/>
      <c r="M107" s="6"/>
      <c r="N107" s="5">
        <f>IFERROR(__xludf.DUMMYFUNCTION("""COMPUTED_VALUE"""),0.0)</f>
        <v>0</v>
      </c>
      <c r="O107" s="5"/>
      <c r="P107" s="8"/>
      <c r="Q107" s="5"/>
      <c r="R107" s="8"/>
      <c r="S107" s="5"/>
      <c r="T107" s="6"/>
      <c r="U107" s="8"/>
      <c r="V107" s="5"/>
      <c r="W107" s="6"/>
      <c r="X107" s="5"/>
      <c r="Y107" s="8"/>
      <c r="Z107" s="6"/>
      <c r="AA107" s="6"/>
    </row>
    <row r="108">
      <c r="A108" s="6" t="str">
        <f t="array" ref="A108">XLOOKUP(D108, CountyTops!D:D, CountyTops!B:B, "")
</f>
        <v>Small</v>
      </c>
      <c r="B108" s="6"/>
      <c r="C108" s="6" t="str">
        <f>IFERROR(__xludf.DUMMYFUNCTION("""COMPUTED_VALUE"""),"Atlanta")</f>
        <v>Atlanta</v>
      </c>
      <c r="D108" s="6" t="str">
        <f>IFERROR(__xludf.DUMMYFUNCTION("""COMPUTED_VALUE"""),"Newton")</f>
        <v>Newton</v>
      </c>
      <c r="E108" s="6"/>
      <c r="F108" s="6"/>
      <c r="G108" s="6"/>
      <c r="H108" s="6"/>
      <c r="I108" s="6" t="str">
        <f>IFERROR(__xludf.DUMMYFUNCTION("""COMPUTED_VALUE"""),"#DIV/0!")</f>
        <v>#DIV/0!</v>
      </c>
      <c r="J108" s="6"/>
      <c r="K108" s="6"/>
      <c r="L108" s="6"/>
      <c r="M108" s="6"/>
      <c r="N108" s="5">
        <f>IFERROR(__xludf.DUMMYFUNCTION("""COMPUTED_VALUE"""),0.0)</f>
        <v>0</v>
      </c>
      <c r="O108" s="5"/>
      <c r="P108" s="8"/>
      <c r="Q108" s="5"/>
      <c r="R108" s="8"/>
      <c r="S108" s="5"/>
      <c r="T108" s="6"/>
      <c r="U108" s="8"/>
      <c r="V108" s="5"/>
      <c r="W108" s="6"/>
      <c r="X108" s="5"/>
      <c r="Y108" s="8"/>
      <c r="Z108" s="6"/>
      <c r="AA108" s="6"/>
    </row>
    <row r="109">
      <c r="A109" s="6" t="str">
        <f t="array" ref="A109">XLOOKUP(D109, CountyTops!D:D, CountyTops!B:B, "")
</f>
        <v>Small</v>
      </c>
      <c r="B109" s="6"/>
      <c r="C109" s="6" t="str">
        <f>IFERROR(__xludf.DUMMYFUNCTION("""COMPUTED_VALUE"""),"Atlanta")</f>
        <v>Atlanta</v>
      </c>
      <c r="D109" s="6" t="str">
        <f>IFERROR(__xludf.DUMMYFUNCTION("""COMPUTED_VALUE"""),"Oconee")</f>
        <v>Oconee</v>
      </c>
      <c r="E109" s="6"/>
      <c r="F109" s="6"/>
      <c r="G109" s="6"/>
      <c r="H109" s="6"/>
      <c r="I109" s="6" t="str">
        <f>IFERROR(__xludf.DUMMYFUNCTION("""COMPUTED_VALUE"""),"#DIV/0!")</f>
        <v>#DIV/0!</v>
      </c>
      <c r="J109" s="6"/>
      <c r="K109" s="6"/>
      <c r="L109" s="6"/>
      <c r="M109" s="6"/>
      <c r="N109" s="5">
        <f>IFERROR(__xludf.DUMMYFUNCTION("""COMPUTED_VALUE"""),0.0)</f>
        <v>0</v>
      </c>
      <c r="O109" s="5"/>
      <c r="P109" s="8"/>
      <c r="Q109" s="5"/>
      <c r="R109" s="8"/>
      <c r="S109" s="5"/>
      <c r="T109" s="6"/>
      <c r="U109" s="8"/>
      <c r="V109" s="5"/>
      <c r="W109" s="6"/>
      <c r="X109" s="5"/>
      <c r="Y109" s="8"/>
      <c r="Z109" s="6"/>
      <c r="AA109" s="6"/>
    </row>
    <row r="110">
      <c r="A110" s="6" t="str">
        <f t="array" ref="A110">XLOOKUP(D110, CountyTops!D:D, CountyTops!B:B, "")
</f>
        <v>Very Small</v>
      </c>
      <c r="B110" s="6"/>
      <c r="C110" s="6" t="str">
        <f>IFERROR(__xludf.DUMMYFUNCTION("""COMPUTED_VALUE"""),"Atlanta")</f>
        <v>Atlanta</v>
      </c>
      <c r="D110" s="6" t="str">
        <f>IFERROR(__xludf.DUMMYFUNCTION("""COMPUTED_VALUE"""),"Oglethorpe")</f>
        <v>Oglethorpe</v>
      </c>
      <c r="E110" s="6"/>
      <c r="F110" s="6"/>
      <c r="G110" s="6"/>
      <c r="H110" s="6"/>
      <c r="I110" s="6" t="str">
        <f>IFERROR(__xludf.DUMMYFUNCTION("""COMPUTED_VALUE"""),"#DIV/0!")</f>
        <v>#DIV/0!</v>
      </c>
      <c r="J110" s="6"/>
      <c r="K110" s="6"/>
      <c r="L110" s="6"/>
      <c r="M110" s="6"/>
      <c r="N110" s="5">
        <f>IFERROR(__xludf.DUMMYFUNCTION("""COMPUTED_VALUE"""),0.0)</f>
        <v>0</v>
      </c>
      <c r="O110" s="5"/>
      <c r="P110" s="8"/>
      <c r="Q110" s="5"/>
      <c r="R110" s="8"/>
      <c r="S110" s="5"/>
      <c r="T110" s="6"/>
      <c r="U110" s="8"/>
      <c r="V110" s="5"/>
      <c r="W110" s="6"/>
      <c r="X110" s="5"/>
      <c r="Y110" s="8"/>
      <c r="Z110" s="6"/>
      <c r="AA110" s="6"/>
    </row>
    <row r="111">
      <c r="A111" s="6" t="str">
        <f t="array" ref="A111">XLOOKUP(D111, CountyTops!D:D, CountyTops!B:B, "")
</f>
        <v>Mid-Large</v>
      </c>
      <c r="B111" s="6"/>
      <c r="C111" s="6" t="str">
        <f>IFERROR(__xludf.DUMMYFUNCTION("""COMPUTED_VALUE"""),"Atlanta")</f>
        <v>Atlanta</v>
      </c>
      <c r="D111" s="6" t="str">
        <f>IFERROR(__xludf.DUMMYFUNCTION("""COMPUTED_VALUE"""),"Paulding")</f>
        <v>Paulding</v>
      </c>
      <c r="E111" s="6"/>
      <c r="F111" s="6"/>
      <c r="G111" s="6"/>
      <c r="H111" s="6"/>
      <c r="I111" s="6" t="str">
        <f>IFERROR(__xludf.DUMMYFUNCTION("""COMPUTED_VALUE"""),"#DIV/0!")</f>
        <v>#DIV/0!</v>
      </c>
      <c r="J111" s="6"/>
      <c r="K111" s="6"/>
      <c r="L111" s="6"/>
      <c r="M111" s="6"/>
      <c r="N111" s="5">
        <f>IFERROR(__xludf.DUMMYFUNCTION("""COMPUTED_VALUE"""),0.0)</f>
        <v>0</v>
      </c>
      <c r="O111" s="5"/>
      <c r="P111" s="8"/>
      <c r="Q111" s="5"/>
      <c r="R111" s="8"/>
      <c r="S111" s="5"/>
      <c r="T111" s="6"/>
      <c r="U111" s="8"/>
      <c r="V111" s="5"/>
      <c r="W111" s="6"/>
      <c r="X111" s="5"/>
      <c r="Y111" s="8"/>
      <c r="Z111" s="6"/>
      <c r="AA111" s="6"/>
    </row>
    <row r="112">
      <c r="A112" s="6" t="str">
        <f t="array" ref="A112">XLOOKUP(D112, CountyTops!D:D, CountyTops!B:B, "")
</f>
        <v>Very Small</v>
      </c>
      <c r="B112" s="6"/>
      <c r="C112" s="6" t="str">
        <f>IFERROR(__xludf.DUMMYFUNCTION("""COMPUTED_VALUE"""),"Macon")</f>
        <v>Macon</v>
      </c>
      <c r="D112" s="6" t="str">
        <f>IFERROR(__xludf.DUMMYFUNCTION("""COMPUTED_VALUE"""),"Peach")</f>
        <v>Peach</v>
      </c>
      <c r="E112" s="6"/>
      <c r="F112" s="6"/>
      <c r="G112" s="6"/>
      <c r="H112" s="6"/>
      <c r="I112" s="6" t="str">
        <f>IFERROR(__xludf.DUMMYFUNCTION("""COMPUTED_VALUE"""),"#DIV/0!")</f>
        <v>#DIV/0!</v>
      </c>
      <c r="J112" s="6"/>
      <c r="K112" s="6"/>
      <c r="L112" s="6"/>
      <c r="M112" s="6"/>
      <c r="N112" s="5">
        <f>IFERROR(__xludf.DUMMYFUNCTION("""COMPUTED_VALUE"""),0.0)</f>
        <v>0</v>
      </c>
      <c r="O112" s="5"/>
      <c r="P112" s="8"/>
      <c r="Q112" s="5"/>
      <c r="R112" s="8"/>
      <c r="S112" s="5"/>
      <c r="T112" s="6"/>
      <c r="U112" s="8"/>
      <c r="V112" s="5"/>
      <c r="W112" s="6"/>
      <c r="X112" s="5"/>
      <c r="Y112" s="8"/>
      <c r="Z112" s="6"/>
      <c r="AA112" s="6"/>
    </row>
    <row r="113">
      <c r="A113" s="6" t="str">
        <f t="array" ref="A113">XLOOKUP(D113, CountyTops!D:D, CountyTops!B:B, "")
</f>
        <v>Small</v>
      </c>
      <c r="B113" s="6"/>
      <c r="C113" s="6" t="str">
        <f>IFERROR(__xludf.DUMMYFUNCTION("""COMPUTED_VALUE"""),"Atlanta")</f>
        <v>Atlanta</v>
      </c>
      <c r="D113" s="6" t="str">
        <f>IFERROR(__xludf.DUMMYFUNCTION("""COMPUTED_VALUE"""),"Pickens")</f>
        <v>Pickens</v>
      </c>
      <c r="E113" s="6"/>
      <c r="F113" s="6"/>
      <c r="G113" s="6"/>
      <c r="H113" s="6"/>
      <c r="I113" s="6" t="str">
        <f>IFERROR(__xludf.DUMMYFUNCTION("""COMPUTED_VALUE"""),"#DIV/0!")</f>
        <v>#DIV/0!</v>
      </c>
      <c r="J113" s="6"/>
      <c r="K113" s="6"/>
      <c r="L113" s="6"/>
      <c r="M113" s="6"/>
      <c r="N113" s="5">
        <f>IFERROR(__xludf.DUMMYFUNCTION("""COMPUTED_VALUE"""),0.0)</f>
        <v>0</v>
      </c>
      <c r="O113" s="5"/>
      <c r="P113" s="8"/>
      <c r="Q113" s="5"/>
      <c r="R113" s="8"/>
      <c r="S113" s="5"/>
      <c r="T113" s="6"/>
      <c r="U113" s="8"/>
      <c r="V113" s="5"/>
      <c r="W113" s="6"/>
      <c r="X113" s="5"/>
      <c r="Y113" s="8"/>
      <c r="Z113" s="6"/>
      <c r="AA113" s="6"/>
    </row>
    <row r="114">
      <c r="A114" s="6" t="str">
        <f t="array" ref="A114">XLOOKUP(D114, CountyTops!D:D, CountyTops!B:B, "")
</f>
        <v>Very Small</v>
      </c>
      <c r="B114" s="6"/>
      <c r="C114" s="6" t="str">
        <f>IFERROR(__xludf.DUMMYFUNCTION("""COMPUTED_VALUE"""),"Jacksonville, FL")</f>
        <v>Jacksonville, FL</v>
      </c>
      <c r="D114" s="6" t="str">
        <f>IFERROR(__xludf.DUMMYFUNCTION("""COMPUTED_VALUE"""),"Pierce")</f>
        <v>Pierce</v>
      </c>
      <c r="E114" s="6"/>
      <c r="F114" s="6"/>
      <c r="G114" s="6"/>
      <c r="H114" s="6"/>
      <c r="I114" s="6" t="str">
        <f>IFERROR(__xludf.DUMMYFUNCTION("""COMPUTED_VALUE"""),"#DIV/0!")</f>
        <v>#DIV/0!</v>
      </c>
      <c r="J114" s="6"/>
      <c r="K114" s="6"/>
      <c r="L114" s="6"/>
      <c r="M114" s="6"/>
      <c r="N114" s="5">
        <f>IFERROR(__xludf.DUMMYFUNCTION("""COMPUTED_VALUE"""),0.0)</f>
        <v>0</v>
      </c>
      <c r="O114" s="5"/>
      <c r="P114" s="8"/>
      <c r="Q114" s="5"/>
      <c r="R114" s="8"/>
      <c r="S114" s="5"/>
      <c r="T114" s="6"/>
      <c r="U114" s="8"/>
      <c r="V114" s="5"/>
      <c r="W114" s="6"/>
      <c r="X114" s="5"/>
      <c r="Y114" s="8"/>
      <c r="Z114" s="6"/>
      <c r="AA114" s="6"/>
    </row>
    <row r="115">
      <c r="A115" s="6" t="str">
        <f t="array" ref="A115">XLOOKUP(D115, CountyTops!D:D, CountyTops!B:B, "")
</f>
        <v>Very Small</v>
      </c>
      <c r="B115" s="6"/>
      <c r="C115" s="6" t="str">
        <f>IFERROR(__xludf.DUMMYFUNCTION("""COMPUTED_VALUE"""),"Atlanta")</f>
        <v>Atlanta</v>
      </c>
      <c r="D115" s="6" t="str">
        <f>IFERROR(__xludf.DUMMYFUNCTION("""COMPUTED_VALUE"""),"Pike")</f>
        <v>Pike</v>
      </c>
      <c r="E115" s="6"/>
      <c r="F115" s="6"/>
      <c r="G115" s="6"/>
      <c r="H115" s="6"/>
      <c r="I115" s="6" t="str">
        <f>IFERROR(__xludf.DUMMYFUNCTION("""COMPUTED_VALUE"""),"#DIV/0!")</f>
        <v>#DIV/0!</v>
      </c>
      <c r="J115" s="6"/>
      <c r="K115" s="6"/>
      <c r="L115" s="6"/>
      <c r="M115" s="6"/>
      <c r="N115" s="5">
        <f>IFERROR(__xludf.DUMMYFUNCTION("""COMPUTED_VALUE"""),0.0)</f>
        <v>0</v>
      </c>
      <c r="O115" s="5"/>
      <c r="P115" s="8"/>
      <c r="Q115" s="5"/>
      <c r="R115" s="8"/>
      <c r="S115" s="5"/>
      <c r="T115" s="6"/>
      <c r="U115" s="8"/>
      <c r="V115" s="5"/>
      <c r="W115" s="6"/>
      <c r="X115" s="5"/>
      <c r="Y115" s="8"/>
      <c r="Z115" s="6"/>
      <c r="AA115" s="6"/>
    </row>
    <row r="116">
      <c r="A116" s="6" t="str">
        <f t="array" ref="A116">XLOOKUP(D116, CountyTops!D:D, CountyTops!B:B, "")
</f>
        <v>Small</v>
      </c>
      <c r="B116" s="6"/>
      <c r="C116" s="6" t="str">
        <f>IFERROR(__xludf.DUMMYFUNCTION("""COMPUTED_VALUE"""),"Atlanta")</f>
        <v>Atlanta</v>
      </c>
      <c r="D116" s="6" t="str">
        <f>IFERROR(__xludf.DUMMYFUNCTION("""COMPUTED_VALUE"""),"Polk")</f>
        <v>Polk</v>
      </c>
      <c r="E116" s="6"/>
      <c r="F116" s="6"/>
      <c r="G116" s="6"/>
      <c r="H116" s="6"/>
      <c r="I116" s="6" t="str">
        <f>IFERROR(__xludf.DUMMYFUNCTION("""COMPUTED_VALUE"""),"#DIV/0!")</f>
        <v>#DIV/0!</v>
      </c>
      <c r="J116" s="6"/>
      <c r="K116" s="6"/>
      <c r="L116" s="6"/>
      <c r="M116" s="6"/>
      <c r="N116" s="5">
        <f>IFERROR(__xludf.DUMMYFUNCTION("""COMPUTED_VALUE"""),0.0)</f>
        <v>0</v>
      </c>
      <c r="O116" s="5"/>
      <c r="P116" s="8"/>
      <c r="Q116" s="5"/>
      <c r="R116" s="8"/>
      <c r="S116" s="5"/>
      <c r="T116" s="6"/>
      <c r="U116" s="8"/>
      <c r="V116" s="5"/>
      <c r="W116" s="6"/>
      <c r="X116" s="5"/>
      <c r="Y116" s="8"/>
      <c r="Z116" s="6"/>
      <c r="AA116" s="6"/>
    </row>
    <row r="117">
      <c r="A117" s="6" t="str">
        <f t="array" ref="A117">XLOOKUP(D117, CountyTops!D:D, CountyTops!B:B, "")
</f>
        <v>Very Small</v>
      </c>
      <c r="B117" s="6"/>
      <c r="C117" s="6" t="str">
        <f>IFERROR(__xludf.DUMMYFUNCTION("""COMPUTED_VALUE"""),"Macon")</f>
        <v>Macon</v>
      </c>
      <c r="D117" s="6" t="str">
        <f>IFERROR(__xludf.DUMMYFUNCTION("""COMPUTED_VALUE"""),"Pulaski")</f>
        <v>Pulaski</v>
      </c>
      <c r="E117" s="6"/>
      <c r="F117" s="6"/>
      <c r="G117" s="6"/>
      <c r="H117" s="6"/>
      <c r="I117" s="6" t="str">
        <f>IFERROR(__xludf.DUMMYFUNCTION("""COMPUTED_VALUE"""),"#DIV/0!")</f>
        <v>#DIV/0!</v>
      </c>
      <c r="J117" s="6"/>
      <c r="K117" s="6"/>
      <c r="L117" s="6"/>
      <c r="M117" s="6"/>
      <c r="N117" s="5">
        <f>IFERROR(__xludf.DUMMYFUNCTION("""COMPUTED_VALUE"""),0.0)</f>
        <v>0</v>
      </c>
      <c r="O117" s="5"/>
      <c r="P117" s="8"/>
      <c r="Q117" s="5"/>
      <c r="R117" s="8"/>
      <c r="S117" s="5"/>
      <c r="T117" s="6"/>
      <c r="U117" s="8"/>
      <c r="V117" s="5"/>
      <c r="W117" s="6"/>
      <c r="X117" s="5"/>
      <c r="Y117" s="8"/>
      <c r="Z117" s="6"/>
      <c r="AA117" s="6"/>
    </row>
    <row r="118">
      <c r="A118" s="6" t="str">
        <f t="array" ref="A118">XLOOKUP(D118, CountyTops!D:D, CountyTops!B:B, "")
</f>
        <v>Very Small</v>
      </c>
      <c r="B118" s="6"/>
      <c r="C118" s="6" t="str">
        <f>IFERROR(__xludf.DUMMYFUNCTION("""COMPUTED_VALUE"""),"Atlanta")</f>
        <v>Atlanta</v>
      </c>
      <c r="D118" s="6" t="str">
        <f>IFERROR(__xludf.DUMMYFUNCTION("""COMPUTED_VALUE"""),"Putnam")</f>
        <v>Putnam</v>
      </c>
      <c r="E118" s="6"/>
      <c r="F118" s="6"/>
      <c r="G118" s="6"/>
      <c r="H118" s="6"/>
      <c r="I118" s="6" t="str">
        <f>IFERROR(__xludf.DUMMYFUNCTION("""COMPUTED_VALUE"""),"#DIV/0!")</f>
        <v>#DIV/0!</v>
      </c>
      <c r="J118" s="6"/>
      <c r="K118" s="6"/>
      <c r="L118" s="6"/>
      <c r="M118" s="6"/>
      <c r="N118" s="5">
        <f>IFERROR(__xludf.DUMMYFUNCTION("""COMPUTED_VALUE"""),0.0)</f>
        <v>0</v>
      </c>
      <c r="O118" s="5"/>
      <c r="P118" s="8"/>
      <c r="Q118" s="5"/>
      <c r="R118" s="8"/>
      <c r="S118" s="5"/>
      <c r="T118" s="6"/>
      <c r="U118" s="8"/>
      <c r="V118" s="5"/>
      <c r="W118" s="6"/>
      <c r="X118" s="5"/>
      <c r="Y118" s="8"/>
      <c r="Z118" s="6"/>
      <c r="AA118" s="6"/>
    </row>
    <row r="119">
      <c r="A119" s="6" t="str">
        <f t="array" ref="A119">XLOOKUP(D119, CountyTops!D:D, CountyTops!B:B, "")
</f>
        <v>Micro</v>
      </c>
      <c r="B119" s="6"/>
      <c r="C119" s="6" t="str">
        <f>IFERROR(__xludf.DUMMYFUNCTION("""COMPUTED_VALUE"""),"Columbus")</f>
        <v>Columbus</v>
      </c>
      <c r="D119" s="6" t="str">
        <f>IFERROR(__xludf.DUMMYFUNCTION("""COMPUTED_VALUE"""),"Quitman")</f>
        <v>Quitman</v>
      </c>
      <c r="E119" s="6"/>
      <c r="F119" s="6"/>
      <c r="G119" s="6"/>
      <c r="H119" s="6"/>
      <c r="I119" s="6" t="str">
        <f>IFERROR(__xludf.DUMMYFUNCTION("""COMPUTED_VALUE"""),"#DIV/0!")</f>
        <v>#DIV/0!</v>
      </c>
      <c r="J119" s="6"/>
      <c r="K119" s="6"/>
      <c r="L119" s="6"/>
      <c r="M119" s="6"/>
      <c r="N119" s="5">
        <f>IFERROR(__xludf.DUMMYFUNCTION("""COMPUTED_VALUE"""),0.0)</f>
        <v>0</v>
      </c>
      <c r="O119" s="5"/>
      <c r="P119" s="8"/>
      <c r="Q119" s="5"/>
      <c r="R119" s="8"/>
      <c r="S119" s="5"/>
      <c r="T119" s="6"/>
      <c r="U119" s="8"/>
      <c r="V119" s="5"/>
      <c r="W119" s="6"/>
      <c r="X119" s="5"/>
      <c r="Y119" s="8"/>
      <c r="Z119" s="6"/>
      <c r="AA119" s="6"/>
    </row>
    <row r="120">
      <c r="A120" s="6" t="str">
        <f t="array" ref="A120">XLOOKUP(D120, CountyTops!D:D, CountyTops!B:B, "")
</f>
        <v>Very Small</v>
      </c>
      <c r="B120" s="6"/>
      <c r="C120" s="6" t="str">
        <f>IFERROR(__xludf.DUMMYFUNCTION("""COMPUTED_VALUE"""),"Atlanta")</f>
        <v>Atlanta</v>
      </c>
      <c r="D120" s="6" t="str">
        <f>IFERROR(__xludf.DUMMYFUNCTION("""COMPUTED_VALUE"""),"Rabun")</f>
        <v>Rabun</v>
      </c>
      <c r="E120" s="6"/>
      <c r="F120" s="6"/>
      <c r="G120" s="6"/>
      <c r="H120" s="6"/>
      <c r="I120" s="6" t="str">
        <f>IFERROR(__xludf.DUMMYFUNCTION("""COMPUTED_VALUE"""),"#DIV/0!")</f>
        <v>#DIV/0!</v>
      </c>
      <c r="J120" s="6"/>
      <c r="K120" s="6"/>
      <c r="L120" s="6"/>
      <c r="M120" s="6"/>
      <c r="N120" s="5">
        <f>IFERROR(__xludf.DUMMYFUNCTION("""COMPUTED_VALUE"""),0.0)</f>
        <v>0</v>
      </c>
      <c r="O120" s="5"/>
      <c r="P120" s="8"/>
      <c r="Q120" s="5"/>
      <c r="R120" s="8"/>
      <c r="S120" s="5"/>
      <c r="T120" s="6"/>
      <c r="U120" s="8"/>
      <c r="V120" s="5"/>
      <c r="W120" s="6"/>
      <c r="X120" s="5"/>
      <c r="Y120" s="8"/>
      <c r="Z120" s="6"/>
      <c r="AA120" s="6"/>
    </row>
    <row r="121">
      <c r="A121" s="6" t="str">
        <f t="array" ref="A121">XLOOKUP(D121, CountyTops!D:D, CountyTops!B:B, "")
</f>
        <v>Micro</v>
      </c>
      <c r="B121" s="6"/>
      <c r="C121" s="6" t="str">
        <f>IFERROR(__xludf.DUMMYFUNCTION("""COMPUTED_VALUE"""),"Columbus")</f>
        <v>Columbus</v>
      </c>
      <c r="D121" s="6" t="str">
        <f>IFERROR(__xludf.DUMMYFUNCTION("""COMPUTED_VALUE"""),"Randolph")</f>
        <v>Randolph</v>
      </c>
      <c r="E121" s="6"/>
      <c r="F121" s="6"/>
      <c r="G121" s="6"/>
      <c r="H121" s="6"/>
      <c r="I121" s="6" t="str">
        <f>IFERROR(__xludf.DUMMYFUNCTION("""COMPUTED_VALUE"""),"#DIV/0!")</f>
        <v>#DIV/0!</v>
      </c>
      <c r="J121" s="6"/>
      <c r="K121" s="6"/>
      <c r="L121" s="6"/>
      <c r="M121" s="6"/>
      <c r="N121" s="5">
        <f>IFERROR(__xludf.DUMMYFUNCTION("""COMPUTED_VALUE"""),0.0)</f>
        <v>0</v>
      </c>
      <c r="O121" s="5"/>
      <c r="P121" s="8"/>
      <c r="Q121" s="5"/>
      <c r="R121" s="8"/>
      <c r="S121" s="5"/>
      <c r="T121" s="6"/>
      <c r="U121" s="8"/>
      <c r="V121" s="5"/>
      <c r="W121" s="6"/>
      <c r="X121" s="5"/>
      <c r="Y121" s="8"/>
      <c r="Z121" s="6"/>
      <c r="AA121" s="6"/>
    </row>
    <row r="122">
      <c r="A122" s="6" t="str">
        <f t="array" ref="A122">XLOOKUP(D122, CountyTops!D:D, CountyTops!B:B, "")
</f>
        <v>Mid-Small</v>
      </c>
      <c r="B122" s="6"/>
      <c r="C122" s="6" t="str">
        <f>IFERROR(__xludf.DUMMYFUNCTION("""COMPUTED_VALUE"""),"Augusta")</f>
        <v>Augusta</v>
      </c>
      <c r="D122" s="6" t="str">
        <f>IFERROR(__xludf.DUMMYFUNCTION("""COMPUTED_VALUE"""),"Richmond")</f>
        <v>Richmond</v>
      </c>
      <c r="E122" s="6"/>
      <c r="F122" s="6"/>
      <c r="G122" s="6"/>
      <c r="H122" s="6"/>
      <c r="I122" s="6" t="str">
        <f>IFERROR(__xludf.DUMMYFUNCTION("""COMPUTED_VALUE"""),"#DIV/0!")</f>
        <v>#DIV/0!</v>
      </c>
      <c r="J122" s="6"/>
      <c r="K122" s="6"/>
      <c r="L122" s="6"/>
      <c r="M122" s="6"/>
      <c r="N122" s="5">
        <f>IFERROR(__xludf.DUMMYFUNCTION("""COMPUTED_VALUE"""),0.0)</f>
        <v>0</v>
      </c>
      <c r="O122" s="5"/>
      <c r="P122" s="8"/>
      <c r="Q122" s="5"/>
      <c r="R122" s="8"/>
      <c r="S122" s="5"/>
      <c r="T122" s="6"/>
      <c r="U122" s="8"/>
      <c r="V122" s="5"/>
      <c r="W122" s="6"/>
      <c r="X122" s="5"/>
      <c r="Y122" s="8"/>
      <c r="Z122" s="6"/>
      <c r="AA122" s="6"/>
    </row>
    <row r="123">
      <c r="A123" s="6" t="str">
        <f t="array" ref="A123">XLOOKUP(D123, CountyTops!D:D, CountyTops!B:B, "")
</f>
        <v>Small</v>
      </c>
      <c r="B123" s="6"/>
      <c r="C123" s="6" t="str">
        <f>IFERROR(__xludf.DUMMYFUNCTION("""COMPUTED_VALUE"""),"Atlanta")</f>
        <v>Atlanta</v>
      </c>
      <c r="D123" s="6" t="str">
        <f>IFERROR(__xludf.DUMMYFUNCTION("""COMPUTED_VALUE"""),"Rockdale")</f>
        <v>Rockdale</v>
      </c>
      <c r="E123" s="6"/>
      <c r="F123" s="6"/>
      <c r="G123" s="6"/>
      <c r="H123" s="6"/>
      <c r="I123" s="6" t="str">
        <f>IFERROR(__xludf.DUMMYFUNCTION("""COMPUTED_VALUE"""),"#DIV/0!")</f>
        <v>#DIV/0!</v>
      </c>
      <c r="J123" s="6"/>
      <c r="K123" s="6"/>
      <c r="L123" s="6"/>
      <c r="M123" s="6"/>
      <c r="N123" s="5">
        <f>IFERROR(__xludf.DUMMYFUNCTION("""COMPUTED_VALUE"""),0.0)</f>
        <v>0</v>
      </c>
      <c r="O123" s="5"/>
      <c r="P123" s="8"/>
      <c r="Q123" s="5"/>
      <c r="R123" s="8"/>
      <c r="S123" s="5"/>
      <c r="T123" s="6"/>
      <c r="U123" s="8"/>
      <c r="V123" s="5"/>
      <c r="W123" s="6"/>
      <c r="X123" s="5"/>
      <c r="Y123" s="8"/>
      <c r="Z123" s="6"/>
      <c r="AA123" s="6"/>
    </row>
    <row r="124">
      <c r="A124" s="6" t="str">
        <f t="array" ref="A124">XLOOKUP(D124, CountyTops!D:D, CountyTops!B:B, "")
</f>
        <v>Micro</v>
      </c>
      <c r="B124" s="6"/>
      <c r="C124" s="6" t="str">
        <f>IFERROR(__xludf.DUMMYFUNCTION("""COMPUTED_VALUE"""),"Columbus")</f>
        <v>Columbus</v>
      </c>
      <c r="D124" s="6" t="str">
        <f>IFERROR(__xludf.DUMMYFUNCTION("""COMPUTED_VALUE"""),"Schley")</f>
        <v>Schley</v>
      </c>
      <c r="E124" s="6"/>
      <c r="F124" s="6"/>
      <c r="G124" s="6"/>
      <c r="H124" s="6"/>
      <c r="I124" s="6" t="str">
        <f>IFERROR(__xludf.DUMMYFUNCTION("""COMPUTED_VALUE"""),"#DIV/0!")</f>
        <v>#DIV/0!</v>
      </c>
      <c r="J124" s="6"/>
      <c r="K124" s="6"/>
      <c r="L124" s="6"/>
      <c r="M124" s="6"/>
      <c r="N124" s="5">
        <f>IFERROR(__xludf.DUMMYFUNCTION("""COMPUTED_VALUE"""),0.0)</f>
        <v>0</v>
      </c>
      <c r="O124" s="5"/>
      <c r="P124" s="8"/>
      <c r="Q124" s="5"/>
      <c r="R124" s="8"/>
      <c r="S124" s="5"/>
      <c r="T124" s="6"/>
      <c r="U124" s="8"/>
      <c r="V124" s="5"/>
      <c r="W124" s="6"/>
      <c r="X124" s="5"/>
      <c r="Y124" s="8"/>
      <c r="Z124" s="6"/>
      <c r="AA124" s="6"/>
    </row>
    <row r="125">
      <c r="A125" s="6" t="str">
        <f t="array" ref="A125">XLOOKUP(D125, CountyTops!D:D, CountyTops!B:B, "")
</f>
        <v>Very Small</v>
      </c>
      <c r="B125" s="6"/>
      <c r="C125" s="6" t="str">
        <f>IFERROR(__xludf.DUMMYFUNCTION("""COMPUTED_VALUE"""),"Savannah")</f>
        <v>Savannah</v>
      </c>
      <c r="D125" s="6" t="str">
        <f>IFERROR(__xludf.DUMMYFUNCTION("""COMPUTED_VALUE"""),"Screven")</f>
        <v>Screven</v>
      </c>
      <c r="E125" s="6"/>
      <c r="F125" s="6"/>
      <c r="G125" s="6"/>
      <c r="H125" s="6"/>
      <c r="I125" s="6" t="str">
        <f>IFERROR(__xludf.DUMMYFUNCTION("""COMPUTED_VALUE"""),"#DIV/0!")</f>
        <v>#DIV/0!</v>
      </c>
      <c r="J125" s="6"/>
      <c r="K125" s="6"/>
      <c r="L125" s="6"/>
      <c r="M125" s="6"/>
      <c r="N125" s="5">
        <f>IFERROR(__xludf.DUMMYFUNCTION("""COMPUTED_VALUE"""),0.0)</f>
        <v>0</v>
      </c>
      <c r="O125" s="5"/>
      <c r="P125" s="8"/>
      <c r="Q125" s="5"/>
      <c r="R125" s="8"/>
      <c r="S125" s="5"/>
      <c r="T125" s="6"/>
      <c r="U125" s="8"/>
      <c r="V125" s="5"/>
      <c r="W125" s="6"/>
      <c r="X125" s="5"/>
      <c r="Y125" s="8"/>
      <c r="Z125" s="6"/>
      <c r="AA125" s="6"/>
    </row>
    <row r="126">
      <c r="A126" s="6" t="str">
        <f t="array" ref="A126">XLOOKUP(D126, CountyTops!D:D, CountyTops!B:B, "")
</f>
        <v>Very Small</v>
      </c>
      <c r="B126" s="6"/>
      <c r="C126" s="6" t="str">
        <f>IFERROR(__xludf.DUMMYFUNCTION("""COMPUTED_VALUE"""),"Tallahassee, FL")</f>
        <v>Tallahassee, FL</v>
      </c>
      <c r="D126" s="6" t="str">
        <f>IFERROR(__xludf.DUMMYFUNCTION("""COMPUTED_VALUE"""),"Seminole")</f>
        <v>Seminole</v>
      </c>
      <c r="E126" s="6"/>
      <c r="F126" s="6"/>
      <c r="G126" s="6"/>
      <c r="H126" s="6"/>
      <c r="I126" s="6" t="str">
        <f>IFERROR(__xludf.DUMMYFUNCTION("""COMPUTED_VALUE"""),"#DIV/0!")</f>
        <v>#DIV/0!</v>
      </c>
      <c r="J126" s="6"/>
      <c r="K126" s="6"/>
      <c r="L126" s="6"/>
      <c r="M126" s="6"/>
      <c r="N126" s="5">
        <f>IFERROR(__xludf.DUMMYFUNCTION("""COMPUTED_VALUE"""),0.0)</f>
        <v>0</v>
      </c>
      <c r="O126" s="5"/>
      <c r="P126" s="8"/>
      <c r="Q126" s="5"/>
      <c r="R126" s="8"/>
      <c r="S126" s="5"/>
      <c r="T126" s="6"/>
      <c r="U126" s="8"/>
      <c r="V126" s="5"/>
      <c r="W126" s="6"/>
      <c r="X126" s="5"/>
      <c r="Y126" s="8"/>
      <c r="Z126" s="6"/>
      <c r="AA126" s="6"/>
    </row>
    <row r="127">
      <c r="A127" s="6" t="str">
        <f t="array" ref="A127">XLOOKUP(D127, CountyTops!D:D, CountyTops!B:B, "")
</f>
        <v>Small</v>
      </c>
      <c r="B127" s="6"/>
      <c r="C127" s="6" t="str">
        <f>IFERROR(__xludf.DUMMYFUNCTION("""COMPUTED_VALUE"""),"Atlanta")</f>
        <v>Atlanta</v>
      </c>
      <c r="D127" s="6" t="str">
        <f>IFERROR(__xludf.DUMMYFUNCTION("""COMPUTED_VALUE"""),"Spalding")</f>
        <v>Spalding</v>
      </c>
      <c r="E127" s="6"/>
      <c r="F127" s="6"/>
      <c r="G127" s="6"/>
      <c r="H127" s="6"/>
      <c r="I127" s="6" t="str">
        <f>IFERROR(__xludf.DUMMYFUNCTION("""COMPUTED_VALUE"""),"#DIV/0!")</f>
        <v>#DIV/0!</v>
      </c>
      <c r="J127" s="6"/>
      <c r="K127" s="6"/>
      <c r="L127" s="6"/>
      <c r="M127" s="6"/>
      <c r="N127" s="5">
        <f>IFERROR(__xludf.DUMMYFUNCTION("""COMPUTED_VALUE"""),0.0)</f>
        <v>0</v>
      </c>
      <c r="O127" s="5"/>
      <c r="P127" s="8"/>
      <c r="Q127" s="5"/>
      <c r="R127" s="8"/>
      <c r="S127" s="5"/>
      <c r="T127" s="6"/>
      <c r="U127" s="8"/>
      <c r="V127" s="5"/>
      <c r="W127" s="6"/>
      <c r="X127" s="5"/>
      <c r="Y127" s="8"/>
      <c r="Z127" s="6"/>
      <c r="AA127" s="6"/>
    </row>
    <row r="128">
      <c r="A128" s="6" t="str">
        <f t="array" ref="A128">XLOOKUP(D128, CountyTops!D:D, CountyTops!B:B, "")
</f>
        <v>Very Small</v>
      </c>
      <c r="B128" s="6"/>
      <c r="C128" s="6" t="str">
        <f>IFERROR(__xludf.DUMMYFUNCTION("""COMPUTED_VALUE"""),"Greenville, SC")</f>
        <v>Greenville, SC</v>
      </c>
      <c r="D128" s="6" t="str">
        <f>IFERROR(__xludf.DUMMYFUNCTION("""COMPUTED_VALUE"""),"Stephens")</f>
        <v>Stephens</v>
      </c>
      <c r="E128" s="6"/>
      <c r="F128" s="6"/>
      <c r="G128" s="6"/>
      <c r="H128" s="6"/>
      <c r="I128" s="6" t="str">
        <f>IFERROR(__xludf.DUMMYFUNCTION("""COMPUTED_VALUE"""),"#DIV/0!")</f>
        <v>#DIV/0!</v>
      </c>
      <c r="J128" s="6"/>
      <c r="K128" s="6"/>
      <c r="L128" s="6"/>
      <c r="M128" s="6"/>
      <c r="N128" s="5">
        <f>IFERROR(__xludf.DUMMYFUNCTION("""COMPUTED_VALUE"""),0.0)</f>
        <v>0</v>
      </c>
      <c r="O128" s="5"/>
      <c r="P128" s="8"/>
      <c r="Q128" s="5"/>
      <c r="R128" s="8"/>
      <c r="S128" s="5"/>
      <c r="T128" s="6"/>
      <c r="U128" s="8"/>
      <c r="V128" s="5"/>
      <c r="W128" s="6"/>
      <c r="X128" s="5"/>
      <c r="Y128" s="8"/>
      <c r="Z128" s="6"/>
      <c r="AA128" s="6"/>
    </row>
    <row r="129">
      <c r="A129" s="6" t="str">
        <f t="array" ref="A129">XLOOKUP(D129, CountyTops!D:D, CountyTops!B:B, "")
</f>
        <v>Micro</v>
      </c>
      <c r="B129" s="6"/>
      <c r="C129" s="6" t="str">
        <f>IFERROR(__xludf.DUMMYFUNCTION("""COMPUTED_VALUE"""),"Columbus")</f>
        <v>Columbus</v>
      </c>
      <c r="D129" s="6" t="str">
        <f>IFERROR(__xludf.DUMMYFUNCTION("""COMPUTED_VALUE"""),"Stewart")</f>
        <v>Stewart</v>
      </c>
      <c r="E129" s="6"/>
      <c r="F129" s="6"/>
      <c r="G129" s="6"/>
      <c r="H129" s="6"/>
      <c r="I129" s="6" t="str">
        <f>IFERROR(__xludf.DUMMYFUNCTION("""COMPUTED_VALUE"""),"#DIV/0!")</f>
        <v>#DIV/0!</v>
      </c>
      <c r="J129" s="6"/>
      <c r="K129" s="6"/>
      <c r="L129" s="6"/>
      <c r="M129" s="6"/>
      <c r="N129" s="5">
        <f>IFERROR(__xludf.DUMMYFUNCTION("""COMPUTED_VALUE"""),0.0)</f>
        <v>0</v>
      </c>
      <c r="O129" s="5"/>
      <c r="P129" s="8"/>
      <c r="Q129" s="5"/>
      <c r="R129" s="8"/>
      <c r="S129" s="5"/>
      <c r="T129" s="6"/>
      <c r="U129" s="8"/>
      <c r="V129" s="5"/>
      <c r="W129" s="6"/>
      <c r="X129" s="5"/>
      <c r="Y129" s="8"/>
      <c r="Z129" s="6"/>
      <c r="AA129" s="6"/>
    </row>
    <row r="130">
      <c r="A130" s="6" t="str">
        <f t="array" ref="A130">XLOOKUP(D130, CountyTops!D:D, CountyTops!B:B, "")
</f>
        <v>Very Small</v>
      </c>
      <c r="B130" s="6"/>
      <c r="C130" s="6" t="str">
        <f>IFERROR(__xludf.DUMMYFUNCTION("""COMPUTED_VALUE"""),"Columbus")</f>
        <v>Columbus</v>
      </c>
      <c r="D130" s="6" t="str">
        <f>IFERROR(__xludf.DUMMYFUNCTION("""COMPUTED_VALUE"""),"Sumter")</f>
        <v>Sumter</v>
      </c>
      <c r="E130" s="6"/>
      <c r="F130" s="6"/>
      <c r="G130" s="6"/>
      <c r="H130" s="6"/>
      <c r="I130" s="6" t="str">
        <f>IFERROR(__xludf.DUMMYFUNCTION("""COMPUTED_VALUE"""),"#DIV/0!")</f>
        <v>#DIV/0!</v>
      </c>
      <c r="J130" s="6"/>
      <c r="K130" s="6"/>
      <c r="L130" s="6"/>
      <c r="M130" s="6"/>
      <c r="N130" s="5">
        <f>IFERROR(__xludf.DUMMYFUNCTION("""COMPUTED_VALUE"""),0.0)</f>
        <v>0</v>
      </c>
      <c r="O130" s="5"/>
      <c r="P130" s="8"/>
      <c r="Q130" s="5"/>
      <c r="R130" s="8"/>
      <c r="S130" s="5"/>
      <c r="T130" s="6"/>
      <c r="U130" s="8"/>
      <c r="V130" s="5"/>
      <c r="W130" s="6"/>
      <c r="X130" s="5"/>
      <c r="Y130" s="8"/>
      <c r="Z130" s="6"/>
      <c r="AA130" s="6"/>
    </row>
    <row r="131">
      <c r="A131" s="6" t="str">
        <f t="array" ref="A131">XLOOKUP(D131, CountyTops!D:D, CountyTops!B:B, "")
</f>
        <v>Micro</v>
      </c>
      <c r="B131" s="6"/>
      <c r="C131" s="6" t="str">
        <f>IFERROR(__xludf.DUMMYFUNCTION("""COMPUTED_VALUE"""),"Columbus")</f>
        <v>Columbus</v>
      </c>
      <c r="D131" s="6" t="str">
        <f>IFERROR(__xludf.DUMMYFUNCTION("""COMPUTED_VALUE"""),"Talbot")</f>
        <v>Talbot</v>
      </c>
      <c r="E131" s="6"/>
      <c r="F131" s="6"/>
      <c r="G131" s="6"/>
      <c r="H131" s="6"/>
      <c r="I131" s="6" t="str">
        <f>IFERROR(__xludf.DUMMYFUNCTION("""COMPUTED_VALUE"""),"#DIV/0!")</f>
        <v>#DIV/0!</v>
      </c>
      <c r="J131" s="6"/>
      <c r="K131" s="6"/>
      <c r="L131" s="6"/>
      <c r="M131" s="6"/>
      <c r="N131" s="5">
        <f>IFERROR(__xludf.DUMMYFUNCTION("""COMPUTED_VALUE"""),0.0)</f>
        <v>0</v>
      </c>
      <c r="O131" s="5"/>
      <c r="P131" s="8"/>
      <c r="Q131" s="5"/>
      <c r="R131" s="8"/>
      <c r="S131" s="5"/>
      <c r="T131" s="6"/>
      <c r="U131" s="8"/>
      <c r="V131" s="5"/>
      <c r="W131" s="6"/>
      <c r="X131" s="5"/>
      <c r="Y131" s="8"/>
      <c r="Z131" s="6"/>
      <c r="AA131" s="6"/>
    </row>
    <row r="132">
      <c r="A132" s="6" t="str">
        <f t="array" ref="A132">XLOOKUP(D132, CountyTops!D:D, CountyTops!B:B, "")
</f>
        <v>Micro</v>
      </c>
      <c r="B132" s="6"/>
      <c r="C132" s="6" t="str">
        <f>IFERROR(__xludf.DUMMYFUNCTION("""COMPUTED_VALUE"""),"Augusta")</f>
        <v>Augusta</v>
      </c>
      <c r="D132" s="6" t="str">
        <f>IFERROR(__xludf.DUMMYFUNCTION("""COMPUTED_VALUE"""),"Taliaferro")</f>
        <v>Taliaferro</v>
      </c>
      <c r="E132" s="6"/>
      <c r="F132" s="6"/>
      <c r="G132" s="6"/>
      <c r="H132" s="6"/>
      <c r="I132" s="6" t="str">
        <f>IFERROR(__xludf.DUMMYFUNCTION("""COMPUTED_VALUE"""),"#DIV/0!")</f>
        <v>#DIV/0!</v>
      </c>
      <c r="J132" s="6"/>
      <c r="K132" s="6"/>
      <c r="L132" s="6"/>
      <c r="M132" s="6"/>
      <c r="N132" s="5">
        <f>IFERROR(__xludf.DUMMYFUNCTION("""COMPUTED_VALUE"""),0.0)</f>
        <v>0</v>
      </c>
      <c r="O132" s="5"/>
      <c r="P132" s="8"/>
      <c r="Q132" s="5"/>
      <c r="R132" s="8"/>
      <c r="S132" s="5"/>
      <c r="T132" s="6"/>
      <c r="U132" s="8"/>
      <c r="V132" s="5"/>
      <c r="W132" s="6"/>
      <c r="X132" s="5"/>
      <c r="Y132" s="8"/>
      <c r="Z132" s="6"/>
      <c r="AA132" s="6"/>
    </row>
    <row r="133">
      <c r="A133" s="6" t="str">
        <f t="array" ref="A133">XLOOKUP(D133, CountyTops!D:D, CountyTops!B:B, "")
</f>
        <v>Very Small</v>
      </c>
      <c r="B133" s="6"/>
      <c r="C133" s="6" t="str">
        <f>IFERROR(__xludf.DUMMYFUNCTION("""COMPUTED_VALUE"""),"Savannah")</f>
        <v>Savannah</v>
      </c>
      <c r="D133" s="6" t="str">
        <f>IFERROR(__xludf.DUMMYFUNCTION("""COMPUTED_VALUE"""),"Tattnall")</f>
        <v>Tattnall</v>
      </c>
      <c r="E133" s="6"/>
      <c r="F133" s="6"/>
      <c r="G133" s="6"/>
      <c r="H133" s="6"/>
      <c r="I133" s="6" t="str">
        <f>IFERROR(__xludf.DUMMYFUNCTION("""COMPUTED_VALUE"""),"#DIV/0!")</f>
        <v>#DIV/0!</v>
      </c>
      <c r="J133" s="6"/>
      <c r="K133" s="6"/>
      <c r="L133" s="6"/>
      <c r="M133" s="6"/>
      <c r="N133" s="5">
        <f>IFERROR(__xludf.DUMMYFUNCTION("""COMPUTED_VALUE"""),0.0)</f>
        <v>0</v>
      </c>
      <c r="O133" s="5"/>
      <c r="P133" s="8"/>
      <c r="Q133" s="5"/>
      <c r="R133" s="8"/>
      <c r="S133" s="5"/>
      <c r="T133" s="6"/>
      <c r="U133" s="8"/>
      <c r="V133" s="5"/>
      <c r="W133" s="6"/>
      <c r="X133" s="5"/>
      <c r="Y133" s="8"/>
      <c r="Z133" s="6"/>
      <c r="AA133" s="6"/>
    </row>
    <row r="134">
      <c r="A134" s="6" t="str">
        <f t="array" ref="A134">XLOOKUP(D134, CountyTops!D:D, CountyTops!B:B, "")
</f>
        <v>Micro</v>
      </c>
      <c r="B134" s="6"/>
      <c r="C134" s="6" t="str">
        <f>IFERROR(__xludf.DUMMYFUNCTION("""COMPUTED_VALUE"""),"Macon")</f>
        <v>Macon</v>
      </c>
      <c r="D134" s="6" t="str">
        <f>IFERROR(__xludf.DUMMYFUNCTION("""COMPUTED_VALUE"""),"Taylor")</f>
        <v>Taylor</v>
      </c>
      <c r="E134" s="6"/>
      <c r="F134" s="6"/>
      <c r="G134" s="6"/>
      <c r="H134" s="6"/>
      <c r="I134" s="6" t="str">
        <f>IFERROR(__xludf.DUMMYFUNCTION("""COMPUTED_VALUE"""),"#DIV/0!")</f>
        <v>#DIV/0!</v>
      </c>
      <c r="J134" s="6"/>
      <c r="K134" s="6"/>
      <c r="L134" s="6"/>
      <c r="M134" s="6"/>
      <c r="N134" s="5">
        <f>IFERROR(__xludf.DUMMYFUNCTION("""COMPUTED_VALUE"""),0.0)</f>
        <v>0</v>
      </c>
      <c r="O134" s="5"/>
      <c r="P134" s="8"/>
      <c r="Q134" s="5"/>
      <c r="R134" s="8"/>
      <c r="S134" s="5"/>
      <c r="T134" s="6"/>
      <c r="U134" s="8"/>
      <c r="V134" s="5"/>
      <c r="W134" s="6"/>
      <c r="X134" s="5"/>
      <c r="Y134" s="8"/>
      <c r="Z134" s="6"/>
      <c r="AA134" s="6"/>
    </row>
    <row r="135">
      <c r="A135" s="6" t="str">
        <f t="array" ref="A135">XLOOKUP(D135, CountyTops!D:D, CountyTops!B:B, "")
</f>
        <v>Very Small</v>
      </c>
      <c r="B135" s="6"/>
      <c r="C135" s="6" t="str">
        <f>IFERROR(__xludf.DUMMYFUNCTION("""COMPUTED_VALUE"""),"Macon")</f>
        <v>Macon</v>
      </c>
      <c r="D135" s="6" t="str">
        <f>IFERROR(__xludf.DUMMYFUNCTION("""COMPUTED_VALUE"""),"Telfair")</f>
        <v>Telfair</v>
      </c>
      <c r="E135" s="6"/>
      <c r="F135" s="6"/>
      <c r="G135" s="6"/>
      <c r="H135" s="6"/>
      <c r="I135" s="6" t="str">
        <f>IFERROR(__xludf.DUMMYFUNCTION("""COMPUTED_VALUE"""),"#DIV/0!")</f>
        <v>#DIV/0!</v>
      </c>
      <c r="J135" s="6"/>
      <c r="K135" s="6"/>
      <c r="L135" s="6"/>
      <c r="M135" s="6"/>
      <c r="N135" s="5">
        <f>IFERROR(__xludf.DUMMYFUNCTION("""COMPUTED_VALUE"""),0.0)</f>
        <v>0</v>
      </c>
      <c r="O135" s="5"/>
      <c r="P135" s="8"/>
      <c r="Q135" s="5"/>
      <c r="R135" s="8"/>
      <c r="S135" s="5"/>
      <c r="T135" s="6"/>
      <c r="U135" s="8"/>
      <c r="V135" s="5"/>
      <c r="W135" s="6"/>
      <c r="X135" s="5"/>
      <c r="Y135" s="8"/>
      <c r="Z135" s="6"/>
      <c r="AA135" s="6"/>
    </row>
    <row r="136">
      <c r="A136" s="6" t="str">
        <f t="array" ref="A136">XLOOKUP(D136, CountyTops!D:D, CountyTops!B:B, "")
</f>
        <v>Micro</v>
      </c>
      <c r="B136" s="6"/>
      <c r="C136" s="6" t="str">
        <f>IFERROR(__xludf.DUMMYFUNCTION("""COMPUTED_VALUE"""),"Albany")</f>
        <v>Albany</v>
      </c>
      <c r="D136" s="6" t="str">
        <f>IFERROR(__xludf.DUMMYFUNCTION("""COMPUTED_VALUE"""),"Terrell")</f>
        <v>Terrell</v>
      </c>
      <c r="E136" s="6"/>
      <c r="F136" s="6"/>
      <c r="G136" s="6"/>
      <c r="H136" s="6"/>
      <c r="I136" s="6" t="str">
        <f>IFERROR(__xludf.DUMMYFUNCTION("""COMPUTED_VALUE"""),"#DIV/0!")</f>
        <v>#DIV/0!</v>
      </c>
      <c r="J136" s="6"/>
      <c r="K136" s="6"/>
      <c r="L136" s="6"/>
      <c r="M136" s="6"/>
      <c r="N136" s="5">
        <f>IFERROR(__xludf.DUMMYFUNCTION("""COMPUTED_VALUE"""),0.0)</f>
        <v>0</v>
      </c>
      <c r="O136" s="5"/>
      <c r="P136" s="8"/>
      <c r="Q136" s="5"/>
      <c r="R136" s="8"/>
      <c r="S136" s="5"/>
      <c r="T136" s="6"/>
      <c r="U136" s="8"/>
      <c r="V136" s="5"/>
      <c r="W136" s="6"/>
      <c r="X136" s="5"/>
      <c r="Y136" s="8"/>
      <c r="Z136" s="6"/>
      <c r="AA136" s="6"/>
    </row>
    <row r="137">
      <c r="A137" s="6" t="str">
        <f t="array" ref="A137">XLOOKUP(D137, CountyTops!D:D, CountyTops!B:B, "")
</f>
        <v>Very Small</v>
      </c>
      <c r="B137" s="6"/>
      <c r="C137" s="6" t="str">
        <f>IFERROR(__xludf.DUMMYFUNCTION("""COMPUTED_VALUE"""),"Tallahassee, FL")</f>
        <v>Tallahassee, FL</v>
      </c>
      <c r="D137" s="6" t="str">
        <f>IFERROR(__xludf.DUMMYFUNCTION("""COMPUTED_VALUE"""),"Thomas")</f>
        <v>Thomas</v>
      </c>
      <c r="E137" s="6"/>
      <c r="F137" s="6"/>
      <c r="G137" s="6"/>
      <c r="H137" s="6"/>
      <c r="I137" s="6" t="str">
        <f>IFERROR(__xludf.DUMMYFUNCTION("""COMPUTED_VALUE"""),"#DIV/0!")</f>
        <v>#DIV/0!</v>
      </c>
      <c r="J137" s="6"/>
      <c r="K137" s="6"/>
      <c r="L137" s="6"/>
      <c r="M137" s="6"/>
      <c r="N137" s="5">
        <f>IFERROR(__xludf.DUMMYFUNCTION("""COMPUTED_VALUE"""),0.0)</f>
        <v>0</v>
      </c>
      <c r="O137" s="5"/>
      <c r="P137" s="8"/>
      <c r="Q137" s="5"/>
      <c r="R137" s="8"/>
      <c r="S137" s="5"/>
      <c r="T137" s="6"/>
      <c r="U137" s="8"/>
      <c r="V137" s="5"/>
      <c r="W137" s="6"/>
      <c r="X137" s="5"/>
      <c r="Y137" s="8"/>
      <c r="Z137" s="6"/>
      <c r="AA137" s="6"/>
    </row>
    <row r="138">
      <c r="A138" s="6" t="str">
        <f t="array" ref="A138">XLOOKUP(D138, CountyTops!D:D, CountyTops!B:B, "")
</f>
        <v>Very Small</v>
      </c>
      <c r="B138" s="6"/>
      <c r="C138" s="6" t="str">
        <f>IFERROR(__xludf.DUMMYFUNCTION("""COMPUTED_VALUE"""),"Albany")</f>
        <v>Albany</v>
      </c>
      <c r="D138" s="6" t="str">
        <f>IFERROR(__xludf.DUMMYFUNCTION("""COMPUTED_VALUE"""),"Tift")</f>
        <v>Tift</v>
      </c>
      <c r="E138" s="6"/>
      <c r="F138" s="6"/>
      <c r="G138" s="6"/>
      <c r="H138" s="6"/>
      <c r="I138" s="6" t="str">
        <f>IFERROR(__xludf.DUMMYFUNCTION("""COMPUTED_VALUE"""),"#DIV/0!")</f>
        <v>#DIV/0!</v>
      </c>
      <c r="J138" s="6"/>
      <c r="K138" s="6"/>
      <c r="L138" s="6"/>
      <c r="M138" s="6"/>
      <c r="N138" s="5">
        <f>IFERROR(__xludf.DUMMYFUNCTION("""COMPUTED_VALUE"""),0.0)</f>
        <v>0</v>
      </c>
      <c r="O138" s="5"/>
      <c r="P138" s="8"/>
      <c r="Q138" s="5"/>
      <c r="R138" s="8"/>
      <c r="S138" s="5"/>
      <c r="T138" s="6"/>
      <c r="U138" s="8"/>
      <c r="V138" s="5"/>
      <c r="W138" s="6"/>
      <c r="X138" s="5"/>
      <c r="Y138" s="8"/>
      <c r="Z138" s="6"/>
      <c r="AA138" s="6"/>
    </row>
    <row r="139">
      <c r="A139" s="6" t="str">
        <f t="array" ref="A139">XLOOKUP(D139, CountyTops!D:D, CountyTops!B:B, "")
</f>
        <v>Very Small</v>
      </c>
      <c r="B139" s="6"/>
      <c r="C139" s="6" t="str">
        <f>IFERROR(__xludf.DUMMYFUNCTION("""COMPUTED_VALUE"""),"Savannah")</f>
        <v>Savannah</v>
      </c>
      <c r="D139" s="6" t="str">
        <f>IFERROR(__xludf.DUMMYFUNCTION("""COMPUTED_VALUE"""),"Toombs")</f>
        <v>Toombs</v>
      </c>
      <c r="E139" s="6"/>
      <c r="F139" s="6"/>
      <c r="G139" s="6"/>
      <c r="H139" s="6"/>
      <c r="I139" s="6" t="str">
        <f>IFERROR(__xludf.DUMMYFUNCTION("""COMPUTED_VALUE"""),"#DIV/0!")</f>
        <v>#DIV/0!</v>
      </c>
      <c r="J139" s="6"/>
      <c r="K139" s="6"/>
      <c r="L139" s="6"/>
      <c r="M139" s="6"/>
      <c r="N139" s="5">
        <f>IFERROR(__xludf.DUMMYFUNCTION("""COMPUTED_VALUE"""),0.0)</f>
        <v>0</v>
      </c>
      <c r="O139" s="5"/>
      <c r="P139" s="8"/>
      <c r="Q139" s="5"/>
      <c r="R139" s="8"/>
      <c r="S139" s="5"/>
      <c r="T139" s="6"/>
      <c r="U139" s="8"/>
      <c r="V139" s="5"/>
      <c r="W139" s="6"/>
      <c r="X139" s="5"/>
      <c r="Y139" s="8"/>
      <c r="Z139" s="6"/>
      <c r="AA139" s="6"/>
    </row>
    <row r="140">
      <c r="A140" s="6" t="str">
        <f t="array" ref="A140">XLOOKUP(D140, CountyTops!D:D, CountyTops!B:B, "")
</f>
        <v>Very Small</v>
      </c>
      <c r="B140" s="6"/>
      <c r="C140" s="6" t="str">
        <f>IFERROR(__xludf.DUMMYFUNCTION("""COMPUTED_VALUE"""),"Atlanta")</f>
        <v>Atlanta</v>
      </c>
      <c r="D140" s="6" t="str">
        <f>IFERROR(__xludf.DUMMYFUNCTION("""COMPUTED_VALUE"""),"Towns")</f>
        <v>Towns</v>
      </c>
      <c r="E140" s="6"/>
      <c r="F140" s="6"/>
      <c r="G140" s="6"/>
      <c r="H140" s="6"/>
      <c r="I140" s="6" t="str">
        <f>IFERROR(__xludf.DUMMYFUNCTION("""COMPUTED_VALUE"""),"#DIV/0!")</f>
        <v>#DIV/0!</v>
      </c>
      <c r="J140" s="6"/>
      <c r="K140" s="6"/>
      <c r="L140" s="6"/>
      <c r="M140" s="6"/>
      <c r="N140" s="5">
        <f>IFERROR(__xludf.DUMMYFUNCTION("""COMPUTED_VALUE"""),0.0)</f>
        <v>0</v>
      </c>
      <c r="O140" s="5"/>
      <c r="P140" s="8"/>
      <c r="Q140" s="5"/>
      <c r="R140" s="8"/>
      <c r="S140" s="5"/>
      <c r="T140" s="6"/>
      <c r="U140" s="8"/>
      <c r="V140" s="5"/>
      <c r="W140" s="6"/>
      <c r="X140" s="5"/>
      <c r="Y140" s="8"/>
      <c r="Z140" s="6"/>
      <c r="AA140" s="6"/>
    </row>
    <row r="141">
      <c r="A141" s="6" t="str">
        <f t="array" ref="A141">XLOOKUP(D141, CountyTops!D:D, CountyTops!B:B, "")
</f>
        <v>Micro</v>
      </c>
      <c r="B141" s="6"/>
      <c r="C141" s="6" t="str">
        <f>IFERROR(__xludf.DUMMYFUNCTION("""COMPUTED_VALUE"""),"Macon")</f>
        <v>Macon</v>
      </c>
      <c r="D141" s="6" t="str">
        <f>IFERROR(__xludf.DUMMYFUNCTION("""COMPUTED_VALUE"""),"Treutlen")</f>
        <v>Treutlen</v>
      </c>
      <c r="E141" s="6"/>
      <c r="F141" s="6"/>
      <c r="G141" s="6"/>
      <c r="H141" s="6"/>
      <c r="I141" s="6" t="str">
        <f>IFERROR(__xludf.DUMMYFUNCTION("""COMPUTED_VALUE"""),"#DIV/0!")</f>
        <v>#DIV/0!</v>
      </c>
      <c r="J141" s="6"/>
      <c r="K141" s="6"/>
      <c r="L141" s="6"/>
      <c r="M141" s="6"/>
      <c r="N141" s="5">
        <f>IFERROR(__xludf.DUMMYFUNCTION("""COMPUTED_VALUE"""),0.0)</f>
        <v>0</v>
      </c>
      <c r="O141" s="5"/>
      <c r="P141" s="8"/>
      <c r="Q141" s="5"/>
      <c r="R141" s="8"/>
      <c r="S141" s="5"/>
      <c r="T141" s="6"/>
      <c r="U141" s="8"/>
      <c r="V141" s="5"/>
      <c r="W141" s="6"/>
      <c r="X141" s="5"/>
      <c r="Y141" s="8"/>
      <c r="Z141" s="6"/>
      <c r="AA141" s="6"/>
    </row>
    <row r="142">
      <c r="A142" s="6" t="str">
        <f t="array" ref="A142">XLOOKUP(D142, CountyTops!D:D, CountyTops!B:B, "")
</f>
        <v>Small</v>
      </c>
      <c r="B142" s="6"/>
      <c r="C142" s="6" t="str">
        <f>IFERROR(__xludf.DUMMYFUNCTION("""COMPUTED_VALUE"""),"Atlanta")</f>
        <v>Atlanta</v>
      </c>
      <c r="D142" s="6" t="str">
        <f>IFERROR(__xludf.DUMMYFUNCTION("""COMPUTED_VALUE"""),"Troup")</f>
        <v>Troup</v>
      </c>
      <c r="E142" s="6"/>
      <c r="F142" s="6"/>
      <c r="G142" s="6"/>
      <c r="H142" s="6"/>
      <c r="I142" s="6" t="str">
        <f>IFERROR(__xludf.DUMMYFUNCTION("""COMPUTED_VALUE"""),"#DIV/0!")</f>
        <v>#DIV/0!</v>
      </c>
      <c r="J142" s="6"/>
      <c r="K142" s="6"/>
      <c r="L142" s="6"/>
      <c r="M142" s="6"/>
      <c r="N142" s="5">
        <f>IFERROR(__xludf.DUMMYFUNCTION("""COMPUTED_VALUE"""),0.0)</f>
        <v>0</v>
      </c>
      <c r="O142" s="5"/>
      <c r="P142" s="8"/>
      <c r="Q142" s="5"/>
      <c r="R142" s="8"/>
      <c r="S142" s="5"/>
      <c r="T142" s="6"/>
      <c r="U142" s="8"/>
      <c r="V142" s="5"/>
      <c r="W142" s="6"/>
      <c r="X142" s="5"/>
      <c r="Y142" s="8"/>
      <c r="Z142" s="6"/>
      <c r="AA142" s="6"/>
    </row>
    <row r="143">
      <c r="A143" s="6" t="str">
        <f t="array" ref="A143">XLOOKUP(D143, CountyTops!D:D, CountyTops!B:B, "")
</f>
        <v>Micro</v>
      </c>
      <c r="B143" s="6"/>
      <c r="C143" s="6" t="str">
        <f>IFERROR(__xludf.DUMMYFUNCTION("""COMPUTED_VALUE"""),"Albany")</f>
        <v>Albany</v>
      </c>
      <c r="D143" s="6" t="str">
        <f>IFERROR(__xludf.DUMMYFUNCTION("""COMPUTED_VALUE"""),"Turner")</f>
        <v>Turner</v>
      </c>
      <c r="E143" s="6"/>
      <c r="F143" s="6"/>
      <c r="G143" s="6"/>
      <c r="H143" s="6"/>
      <c r="I143" s="6" t="str">
        <f>IFERROR(__xludf.DUMMYFUNCTION("""COMPUTED_VALUE"""),"#DIV/0!")</f>
        <v>#DIV/0!</v>
      </c>
      <c r="J143" s="6"/>
      <c r="K143" s="6"/>
      <c r="L143" s="6"/>
      <c r="M143" s="6"/>
      <c r="N143" s="5">
        <f>IFERROR(__xludf.DUMMYFUNCTION("""COMPUTED_VALUE"""),0.0)</f>
        <v>0</v>
      </c>
      <c r="O143" s="5"/>
      <c r="P143" s="8"/>
      <c r="Q143" s="5"/>
      <c r="R143" s="8"/>
      <c r="S143" s="5"/>
      <c r="T143" s="6"/>
      <c r="U143" s="8"/>
      <c r="V143" s="5"/>
      <c r="W143" s="6"/>
      <c r="X143" s="5"/>
      <c r="Y143" s="8"/>
      <c r="Z143" s="6"/>
      <c r="AA143" s="6"/>
    </row>
    <row r="144">
      <c r="A144" s="6" t="str">
        <f t="array" ref="A144">XLOOKUP(D144, CountyTops!D:D, CountyTops!B:B, "")
</f>
        <v>Micro</v>
      </c>
      <c r="B144" s="6"/>
      <c r="C144" s="6" t="str">
        <f>IFERROR(__xludf.DUMMYFUNCTION("""COMPUTED_VALUE"""),"Macon")</f>
        <v>Macon</v>
      </c>
      <c r="D144" s="6" t="str">
        <f>IFERROR(__xludf.DUMMYFUNCTION("""COMPUTED_VALUE"""),"Twiggs")</f>
        <v>Twiggs</v>
      </c>
      <c r="E144" s="6"/>
      <c r="F144" s="6"/>
      <c r="G144" s="6"/>
      <c r="H144" s="6"/>
      <c r="I144" s="6" t="str">
        <f>IFERROR(__xludf.DUMMYFUNCTION("""COMPUTED_VALUE"""),"#DIV/0!")</f>
        <v>#DIV/0!</v>
      </c>
      <c r="J144" s="6"/>
      <c r="K144" s="6"/>
      <c r="L144" s="6"/>
      <c r="M144" s="6"/>
      <c r="N144" s="5">
        <f>IFERROR(__xludf.DUMMYFUNCTION("""COMPUTED_VALUE"""),0.0)</f>
        <v>0</v>
      </c>
      <c r="O144" s="5"/>
      <c r="P144" s="8"/>
      <c r="Q144" s="5"/>
      <c r="R144" s="8"/>
      <c r="S144" s="5"/>
      <c r="T144" s="6"/>
      <c r="U144" s="8"/>
      <c r="V144" s="5"/>
      <c r="W144" s="6"/>
      <c r="X144" s="5"/>
      <c r="Y144" s="8"/>
      <c r="Z144" s="6"/>
      <c r="AA144" s="6"/>
    </row>
    <row r="145">
      <c r="A145" s="6" t="str">
        <f t="array" ref="A145">XLOOKUP(D145, CountyTops!D:D, CountyTops!B:B, "")
</f>
        <v>Small</v>
      </c>
      <c r="B145" s="6"/>
      <c r="C145" s="6" t="str">
        <f>IFERROR(__xludf.DUMMYFUNCTION("""COMPUTED_VALUE"""),"Atlanta")</f>
        <v>Atlanta</v>
      </c>
      <c r="D145" s="6" t="str">
        <f>IFERROR(__xludf.DUMMYFUNCTION("""COMPUTED_VALUE"""),"Union")</f>
        <v>Union</v>
      </c>
      <c r="E145" s="6"/>
      <c r="F145" s="6"/>
      <c r="G145" s="6"/>
      <c r="H145" s="6"/>
      <c r="I145" s="6" t="str">
        <f>IFERROR(__xludf.DUMMYFUNCTION("""COMPUTED_VALUE"""),"#DIV/0!")</f>
        <v>#DIV/0!</v>
      </c>
      <c r="J145" s="6"/>
      <c r="K145" s="6"/>
      <c r="L145" s="6"/>
      <c r="M145" s="6"/>
      <c r="N145" s="5">
        <f>IFERROR(__xludf.DUMMYFUNCTION("""COMPUTED_VALUE"""),0.0)</f>
        <v>0</v>
      </c>
      <c r="O145" s="5"/>
      <c r="P145" s="8"/>
      <c r="Q145" s="5"/>
      <c r="R145" s="8"/>
      <c r="S145" s="5"/>
      <c r="T145" s="6"/>
      <c r="U145" s="8"/>
      <c r="V145" s="5"/>
      <c r="W145" s="6"/>
      <c r="X145" s="5"/>
      <c r="Y145" s="8"/>
      <c r="Z145" s="6"/>
      <c r="AA145" s="6"/>
    </row>
    <row r="146">
      <c r="A146" s="6" t="str">
        <f t="array" ref="A146">XLOOKUP(D146, CountyTops!D:D, CountyTops!B:B, "")
</f>
        <v>Very Small</v>
      </c>
      <c r="B146" s="6"/>
      <c r="C146" s="6" t="str">
        <f>IFERROR(__xludf.DUMMYFUNCTION("""COMPUTED_VALUE"""),"Atlanta")</f>
        <v>Atlanta</v>
      </c>
      <c r="D146" s="6" t="str">
        <f>IFERROR(__xludf.DUMMYFUNCTION("""COMPUTED_VALUE"""),"Upson")</f>
        <v>Upson</v>
      </c>
      <c r="E146" s="6"/>
      <c r="F146" s="6"/>
      <c r="G146" s="6"/>
      <c r="H146" s="6"/>
      <c r="I146" s="6" t="str">
        <f>IFERROR(__xludf.DUMMYFUNCTION("""COMPUTED_VALUE"""),"#DIV/0!")</f>
        <v>#DIV/0!</v>
      </c>
      <c r="J146" s="6"/>
      <c r="K146" s="6"/>
      <c r="L146" s="6"/>
      <c r="M146" s="6"/>
      <c r="N146" s="5">
        <f>IFERROR(__xludf.DUMMYFUNCTION("""COMPUTED_VALUE"""),0.0)</f>
        <v>0</v>
      </c>
      <c r="O146" s="5"/>
      <c r="P146" s="8"/>
      <c r="Q146" s="5"/>
      <c r="R146" s="8"/>
      <c r="S146" s="5"/>
      <c r="T146" s="6"/>
      <c r="U146" s="8"/>
      <c r="V146" s="5"/>
      <c r="W146" s="6"/>
      <c r="X146" s="5"/>
      <c r="Y146" s="8"/>
      <c r="Z146" s="6"/>
      <c r="AA146" s="6"/>
    </row>
    <row r="147">
      <c r="A147" s="6" t="str">
        <f t="array" ref="A147">XLOOKUP(D147, CountyTops!D:D, CountyTops!B:B, "")
</f>
        <v>Small</v>
      </c>
      <c r="B147" s="6"/>
      <c r="C147" s="6" t="str">
        <f>IFERROR(__xludf.DUMMYFUNCTION("""COMPUTED_VALUE"""),"Chattanooga")</f>
        <v>Chattanooga</v>
      </c>
      <c r="D147" s="6" t="str">
        <f>IFERROR(__xludf.DUMMYFUNCTION("""COMPUTED_VALUE"""),"Walker")</f>
        <v>Walker</v>
      </c>
      <c r="E147" s="6"/>
      <c r="F147" s="6"/>
      <c r="G147" s="6"/>
      <c r="H147" s="6"/>
      <c r="I147" s="6" t="str">
        <f>IFERROR(__xludf.DUMMYFUNCTION("""COMPUTED_VALUE"""),"#DIV/0!")</f>
        <v>#DIV/0!</v>
      </c>
      <c r="J147" s="6"/>
      <c r="K147" s="6"/>
      <c r="L147" s="6"/>
      <c r="M147" s="6"/>
      <c r="N147" s="5">
        <f>IFERROR(__xludf.DUMMYFUNCTION("""COMPUTED_VALUE"""),0.0)</f>
        <v>0</v>
      </c>
      <c r="O147" s="5"/>
      <c r="P147" s="8"/>
      <c r="Q147" s="5"/>
      <c r="R147" s="8"/>
      <c r="S147" s="5"/>
      <c r="T147" s="6"/>
      <c r="U147" s="8"/>
      <c r="V147" s="5"/>
      <c r="W147" s="6"/>
      <c r="X147" s="5"/>
      <c r="Y147" s="8"/>
      <c r="Z147" s="6"/>
      <c r="AA147" s="6"/>
    </row>
    <row r="148">
      <c r="A148" s="6" t="str">
        <f t="array" ref="A148">XLOOKUP(D148, CountyTops!D:D, CountyTops!B:B, "")
</f>
        <v>Mid-Small</v>
      </c>
      <c r="B148" s="6"/>
      <c r="C148" s="6" t="str">
        <f>IFERROR(__xludf.DUMMYFUNCTION("""COMPUTED_VALUE"""),"Atlanta")</f>
        <v>Atlanta</v>
      </c>
      <c r="D148" s="6" t="str">
        <f>IFERROR(__xludf.DUMMYFUNCTION("""COMPUTED_VALUE"""),"Walton")</f>
        <v>Walton</v>
      </c>
      <c r="E148" s="6"/>
      <c r="F148" s="6"/>
      <c r="G148" s="6"/>
      <c r="H148" s="6"/>
      <c r="I148" s="6" t="str">
        <f>IFERROR(__xludf.DUMMYFUNCTION("""COMPUTED_VALUE"""),"#DIV/0!")</f>
        <v>#DIV/0!</v>
      </c>
      <c r="J148" s="6"/>
      <c r="K148" s="6"/>
      <c r="L148" s="6"/>
      <c r="M148" s="6"/>
      <c r="N148" s="5">
        <f>IFERROR(__xludf.DUMMYFUNCTION("""COMPUTED_VALUE"""),0.0)</f>
        <v>0</v>
      </c>
      <c r="O148" s="5"/>
      <c r="P148" s="8"/>
      <c r="Q148" s="5"/>
      <c r="R148" s="8"/>
      <c r="S148" s="5"/>
      <c r="T148" s="6"/>
      <c r="U148" s="8"/>
      <c r="V148" s="5"/>
      <c r="W148" s="6"/>
      <c r="X148" s="5"/>
      <c r="Y148" s="8"/>
      <c r="Z148" s="6"/>
      <c r="AA148" s="6"/>
    </row>
    <row r="149">
      <c r="A149" s="6" t="str">
        <f t="array" ref="A149">XLOOKUP(D149, CountyTops!D:D, CountyTops!B:B, "")
</f>
        <v>Very Small</v>
      </c>
      <c r="B149" s="6"/>
      <c r="C149" s="6" t="str">
        <f>IFERROR(__xludf.DUMMYFUNCTION("""COMPUTED_VALUE"""),"Jacksonville, FL")</f>
        <v>Jacksonville, FL</v>
      </c>
      <c r="D149" s="6" t="str">
        <f>IFERROR(__xludf.DUMMYFUNCTION("""COMPUTED_VALUE"""),"Ware")</f>
        <v>Ware</v>
      </c>
      <c r="E149" s="6"/>
      <c r="F149" s="6"/>
      <c r="G149" s="6"/>
      <c r="H149" s="6"/>
      <c r="I149" s="6" t="str">
        <f>IFERROR(__xludf.DUMMYFUNCTION("""COMPUTED_VALUE"""),"#DIV/0!")</f>
        <v>#DIV/0!</v>
      </c>
      <c r="J149" s="6"/>
      <c r="K149" s="6"/>
      <c r="L149" s="6"/>
      <c r="M149" s="6"/>
      <c r="N149" s="5">
        <f>IFERROR(__xludf.DUMMYFUNCTION("""COMPUTED_VALUE"""),0.0)</f>
        <v>0</v>
      </c>
      <c r="O149" s="5"/>
      <c r="P149" s="8"/>
      <c r="Q149" s="5"/>
      <c r="R149" s="8"/>
      <c r="S149" s="5"/>
      <c r="T149" s="6"/>
      <c r="U149" s="8"/>
      <c r="V149" s="5"/>
      <c r="W149" s="6"/>
      <c r="X149" s="5"/>
      <c r="Y149" s="8"/>
      <c r="Z149" s="6"/>
      <c r="AA149" s="6"/>
    </row>
    <row r="150">
      <c r="A150" s="6" t="str">
        <f t="array" ref="A150">XLOOKUP(D150, CountyTops!D:D, CountyTops!B:B, "")
</f>
        <v>Micro</v>
      </c>
      <c r="B150" s="6"/>
      <c r="C150" s="6" t="str">
        <f>IFERROR(__xludf.DUMMYFUNCTION("""COMPUTED_VALUE"""),"Augusta")</f>
        <v>Augusta</v>
      </c>
      <c r="D150" s="6" t="str">
        <f>IFERROR(__xludf.DUMMYFUNCTION("""COMPUTED_VALUE"""),"Warren")</f>
        <v>Warren</v>
      </c>
      <c r="E150" s="6"/>
      <c r="F150" s="6"/>
      <c r="G150" s="6"/>
      <c r="H150" s="6"/>
      <c r="I150" s="6" t="str">
        <f>IFERROR(__xludf.DUMMYFUNCTION("""COMPUTED_VALUE"""),"#DIV/0!")</f>
        <v>#DIV/0!</v>
      </c>
      <c r="J150" s="6"/>
      <c r="K150" s="6"/>
      <c r="L150" s="6"/>
      <c r="M150" s="6"/>
      <c r="N150" s="5">
        <f>IFERROR(__xludf.DUMMYFUNCTION("""COMPUTED_VALUE"""),0.0)</f>
        <v>0</v>
      </c>
      <c r="O150" s="5"/>
      <c r="P150" s="8"/>
      <c r="Q150" s="5"/>
      <c r="R150" s="8"/>
      <c r="S150" s="5"/>
      <c r="T150" s="6"/>
      <c r="U150" s="8"/>
      <c r="V150" s="5"/>
      <c r="W150" s="6"/>
      <c r="X150" s="5"/>
      <c r="Y150" s="8"/>
      <c r="Z150" s="6"/>
      <c r="AA150" s="6"/>
    </row>
    <row r="151">
      <c r="A151" s="6" t="str">
        <f t="array" ref="A151">XLOOKUP(D151, CountyTops!D:D, CountyTops!B:B, "")
</f>
        <v>Very Small</v>
      </c>
      <c r="B151" s="6"/>
      <c r="C151" s="6" t="str">
        <f>IFERROR(__xludf.DUMMYFUNCTION("""COMPUTED_VALUE"""),"Macon")</f>
        <v>Macon</v>
      </c>
      <c r="D151" s="6" t="str">
        <f>IFERROR(__xludf.DUMMYFUNCTION("""COMPUTED_VALUE"""),"Washington")</f>
        <v>Washington</v>
      </c>
      <c r="E151" s="6"/>
      <c r="F151" s="6"/>
      <c r="G151" s="6"/>
      <c r="H151" s="6"/>
      <c r="I151" s="6" t="str">
        <f>IFERROR(__xludf.DUMMYFUNCTION("""COMPUTED_VALUE"""),"#DIV/0!")</f>
        <v>#DIV/0!</v>
      </c>
      <c r="J151" s="6"/>
      <c r="K151" s="6"/>
      <c r="L151" s="6"/>
      <c r="M151" s="6"/>
      <c r="N151" s="5">
        <f>IFERROR(__xludf.DUMMYFUNCTION("""COMPUTED_VALUE"""),0.0)</f>
        <v>0</v>
      </c>
      <c r="O151" s="5"/>
      <c r="P151" s="8"/>
      <c r="Q151" s="5"/>
      <c r="R151" s="8"/>
      <c r="S151" s="5"/>
      <c r="T151" s="6"/>
      <c r="U151" s="8"/>
      <c r="V151" s="5"/>
      <c r="W151" s="6"/>
      <c r="X151" s="5"/>
      <c r="Y151" s="8"/>
      <c r="Z151" s="6"/>
      <c r="AA151" s="6"/>
    </row>
    <row r="152">
      <c r="A152" s="6" t="str">
        <f t="array" ref="A152">XLOOKUP(D152, CountyTops!D:D, CountyTops!B:B, "")
</f>
        <v>Very Small</v>
      </c>
      <c r="B152" s="6"/>
      <c r="C152" s="6" t="str">
        <f>IFERROR(__xludf.DUMMYFUNCTION("""COMPUTED_VALUE"""),"Savannah")</f>
        <v>Savannah</v>
      </c>
      <c r="D152" s="6" t="str">
        <f>IFERROR(__xludf.DUMMYFUNCTION("""COMPUTED_VALUE"""),"Wayne")</f>
        <v>Wayne</v>
      </c>
      <c r="E152" s="6"/>
      <c r="F152" s="6"/>
      <c r="G152" s="6"/>
      <c r="H152" s="6"/>
      <c r="I152" s="6" t="str">
        <f>IFERROR(__xludf.DUMMYFUNCTION("""COMPUTED_VALUE"""),"#DIV/0!")</f>
        <v>#DIV/0!</v>
      </c>
      <c r="J152" s="6"/>
      <c r="K152" s="6"/>
      <c r="L152" s="6"/>
      <c r="M152" s="6"/>
      <c r="N152" s="5">
        <f>IFERROR(__xludf.DUMMYFUNCTION("""COMPUTED_VALUE"""),0.0)</f>
        <v>0</v>
      </c>
      <c r="O152" s="5"/>
      <c r="P152" s="8"/>
      <c r="Q152" s="5"/>
      <c r="R152" s="8"/>
      <c r="S152" s="5"/>
      <c r="T152" s="6"/>
      <c r="U152" s="8"/>
      <c r="V152" s="5"/>
      <c r="W152" s="6"/>
      <c r="X152" s="5"/>
      <c r="Y152" s="8"/>
      <c r="Z152" s="6"/>
      <c r="AA152" s="6"/>
    </row>
    <row r="153">
      <c r="A153" s="6" t="str">
        <f t="array" ref="A153">XLOOKUP(D153, CountyTops!D:D, CountyTops!B:B, "")
</f>
        <v>Micro</v>
      </c>
      <c r="B153" s="6"/>
      <c r="C153" s="6" t="str">
        <f>IFERROR(__xludf.DUMMYFUNCTION("""COMPUTED_VALUE"""),"Columbus")</f>
        <v>Columbus</v>
      </c>
      <c r="D153" s="6" t="str">
        <f>IFERROR(__xludf.DUMMYFUNCTION("""COMPUTED_VALUE"""),"Webster")</f>
        <v>Webster</v>
      </c>
      <c r="E153" s="6"/>
      <c r="F153" s="6"/>
      <c r="G153" s="6"/>
      <c r="H153" s="6"/>
      <c r="I153" s="6" t="str">
        <f>IFERROR(__xludf.DUMMYFUNCTION("""COMPUTED_VALUE"""),"#DIV/0!")</f>
        <v>#DIV/0!</v>
      </c>
      <c r="J153" s="6"/>
      <c r="K153" s="6"/>
      <c r="L153" s="6"/>
      <c r="M153" s="6"/>
      <c r="N153" s="5">
        <f>IFERROR(__xludf.DUMMYFUNCTION("""COMPUTED_VALUE"""),0.0)</f>
        <v>0</v>
      </c>
      <c r="O153" s="5"/>
      <c r="P153" s="8"/>
      <c r="Q153" s="5"/>
      <c r="R153" s="8"/>
      <c r="S153" s="5"/>
      <c r="T153" s="6"/>
      <c r="U153" s="8"/>
      <c r="V153" s="5"/>
      <c r="W153" s="6"/>
      <c r="X153" s="5"/>
      <c r="Y153" s="8"/>
      <c r="Z153" s="6"/>
      <c r="AA153" s="6"/>
    </row>
    <row r="154">
      <c r="A154" s="6" t="str">
        <f t="array" ref="A154">XLOOKUP(D154, CountyTops!D:D, CountyTops!B:B, "")
</f>
        <v>Micro</v>
      </c>
      <c r="B154" s="6"/>
      <c r="C154" s="6" t="str">
        <f>IFERROR(__xludf.DUMMYFUNCTION("""COMPUTED_VALUE"""),"Macon")</f>
        <v>Macon</v>
      </c>
      <c r="D154" s="6" t="str">
        <f>IFERROR(__xludf.DUMMYFUNCTION("""COMPUTED_VALUE"""),"Wheeler")</f>
        <v>Wheeler</v>
      </c>
      <c r="E154" s="6"/>
      <c r="F154" s="6"/>
      <c r="G154" s="6"/>
      <c r="H154" s="6"/>
      <c r="I154" s="6" t="str">
        <f>IFERROR(__xludf.DUMMYFUNCTION("""COMPUTED_VALUE"""),"#DIV/0!")</f>
        <v>#DIV/0!</v>
      </c>
      <c r="J154" s="6"/>
      <c r="K154" s="6"/>
      <c r="L154" s="6"/>
      <c r="M154" s="6"/>
      <c r="N154" s="5">
        <f>IFERROR(__xludf.DUMMYFUNCTION("""COMPUTED_VALUE"""),0.0)</f>
        <v>0</v>
      </c>
      <c r="O154" s="5"/>
      <c r="P154" s="8"/>
      <c r="Q154" s="5"/>
      <c r="R154" s="8"/>
      <c r="S154" s="5"/>
      <c r="T154" s="6"/>
      <c r="U154" s="8"/>
      <c r="V154" s="5"/>
      <c r="W154" s="6"/>
      <c r="X154" s="5"/>
      <c r="Y154" s="8"/>
      <c r="Z154" s="6"/>
      <c r="AA154" s="6"/>
    </row>
    <row r="155">
      <c r="A155" s="6" t="str">
        <f t="array" ref="A155">XLOOKUP(D155, CountyTops!D:D, CountyTops!B:B, "")
</f>
        <v>Small</v>
      </c>
      <c r="B155" s="6"/>
      <c r="C155" s="6" t="str">
        <f>IFERROR(__xludf.DUMMYFUNCTION("""COMPUTED_VALUE"""),"Atlanta")</f>
        <v>Atlanta</v>
      </c>
      <c r="D155" s="6" t="str">
        <f>IFERROR(__xludf.DUMMYFUNCTION("""COMPUTED_VALUE"""),"White")</f>
        <v>White</v>
      </c>
      <c r="E155" s="6"/>
      <c r="F155" s="6"/>
      <c r="G155" s="6"/>
      <c r="H155" s="6"/>
      <c r="I155" s="6" t="str">
        <f>IFERROR(__xludf.DUMMYFUNCTION("""COMPUTED_VALUE"""),"#DIV/0!")</f>
        <v>#DIV/0!</v>
      </c>
      <c r="J155" s="6"/>
      <c r="K155" s="6"/>
      <c r="L155" s="6"/>
      <c r="M155" s="6"/>
      <c r="N155" s="5">
        <f>IFERROR(__xludf.DUMMYFUNCTION("""COMPUTED_VALUE"""),0.0)</f>
        <v>0</v>
      </c>
      <c r="O155" s="5"/>
      <c r="P155" s="8"/>
      <c r="Q155" s="5"/>
      <c r="R155" s="8"/>
      <c r="S155" s="5"/>
      <c r="T155" s="6"/>
      <c r="U155" s="8"/>
      <c r="V155" s="5"/>
      <c r="W155" s="6"/>
      <c r="X155" s="5"/>
      <c r="Y155" s="8"/>
      <c r="Z155" s="6"/>
      <c r="AA155" s="6"/>
    </row>
    <row r="156">
      <c r="A156" s="6" t="str">
        <f t="array" ref="A156">XLOOKUP(D156, CountyTops!D:D, CountyTops!B:B, "")
</f>
        <v>Small</v>
      </c>
      <c r="B156" s="6"/>
      <c r="C156" s="6" t="str">
        <f>IFERROR(__xludf.DUMMYFUNCTION("""COMPUTED_VALUE"""),"Chattanooga")</f>
        <v>Chattanooga</v>
      </c>
      <c r="D156" s="6" t="str">
        <f>IFERROR(__xludf.DUMMYFUNCTION("""COMPUTED_VALUE"""),"Whitfield")</f>
        <v>Whitfield</v>
      </c>
      <c r="E156" s="6"/>
      <c r="F156" s="6"/>
      <c r="G156" s="6"/>
      <c r="H156" s="6"/>
      <c r="I156" s="6" t="str">
        <f>IFERROR(__xludf.DUMMYFUNCTION("""COMPUTED_VALUE"""),"#DIV/0!")</f>
        <v>#DIV/0!</v>
      </c>
      <c r="J156" s="6"/>
      <c r="K156" s="6"/>
      <c r="L156" s="6"/>
      <c r="M156" s="6"/>
      <c r="N156" s="5">
        <f>IFERROR(__xludf.DUMMYFUNCTION("""COMPUTED_VALUE"""),0.0)</f>
        <v>0</v>
      </c>
      <c r="O156" s="5"/>
      <c r="P156" s="8"/>
      <c r="Q156" s="5"/>
      <c r="R156" s="8"/>
      <c r="S156" s="5"/>
      <c r="T156" s="6"/>
      <c r="U156" s="8"/>
      <c r="V156" s="5"/>
      <c r="W156" s="6"/>
      <c r="X156" s="5"/>
      <c r="Y156" s="8"/>
      <c r="Z156" s="6"/>
      <c r="AA156" s="6"/>
    </row>
    <row r="157">
      <c r="A157" s="6" t="str">
        <f t="array" ref="A157">XLOOKUP(D157, CountyTops!D:D, CountyTops!B:B, "")
</f>
        <v>Very Small</v>
      </c>
      <c r="B157" s="6"/>
      <c r="C157" s="6" t="str">
        <f>IFERROR(__xludf.DUMMYFUNCTION("""COMPUTED_VALUE"""),"Macon")</f>
        <v>Macon</v>
      </c>
      <c r="D157" s="6" t="str">
        <f>IFERROR(__xludf.DUMMYFUNCTION("""COMPUTED_VALUE"""),"Wilcox")</f>
        <v>Wilcox</v>
      </c>
      <c r="E157" s="6"/>
      <c r="F157" s="6"/>
      <c r="G157" s="6"/>
      <c r="H157" s="6"/>
      <c r="I157" s="6" t="str">
        <f>IFERROR(__xludf.DUMMYFUNCTION("""COMPUTED_VALUE"""),"#DIV/0!")</f>
        <v>#DIV/0!</v>
      </c>
      <c r="J157" s="6"/>
      <c r="K157" s="6"/>
      <c r="L157" s="6"/>
      <c r="M157" s="6"/>
      <c r="N157" s="5">
        <f>IFERROR(__xludf.DUMMYFUNCTION("""COMPUTED_VALUE"""),0.0)</f>
        <v>0</v>
      </c>
      <c r="O157" s="5"/>
      <c r="P157" s="8"/>
      <c r="Q157" s="5"/>
      <c r="R157" s="8"/>
      <c r="S157" s="5"/>
      <c r="T157" s="6"/>
      <c r="U157" s="8"/>
      <c r="V157" s="5"/>
      <c r="W157" s="6"/>
      <c r="X157" s="5"/>
      <c r="Y157" s="8"/>
      <c r="Z157" s="6"/>
      <c r="AA157" s="6"/>
    </row>
    <row r="158">
      <c r="A158" s="6" t="str">
        <f t="array" ref="A158">XLOOKUP(D158, CountyTops!D:D, CountyTops!B:B, "")
</f>
        <v>Very Small</v>
      </c>
      <c r="B158" s="6"/>
      <c r="C158" s="6" t="str">
        <f>IFERROR(__xludf.DUMMYFUNCTION("""COMPUTED_VALUE"""),"Augusta")</f>
        <v>Augusta</v>
      </c>
      <c r="D158" s="6" t="str">
        <f>IFERROR(__xludf.DUMMYFUNCTION("""COMPUTED_VALUE"""),"Wilkes")</f>
        <v>Wilkes</v>
      </c>
      <c r="E158" s="6"/>
      <c r="F158" s="6"/>
      <c r="G158" s="6"/>
      <c r="H158" s="6"/>
      <c r="I158" s="6" t="str">
        <f>IFERROR(__xludf.DUMMYFUNCTION("""COMPUTED_VALUE"""),"#DIV/0!")</f>
        <v>#DIV/0!</v>
      </c>
      <c r="J158" s="6"/>
      <c r="K158" s="6"/>
      <c r="L158" s="6"/>
      <c r="M158" s="6"/>
      <c r="N158" s="5">
        <f>IFERROR(__xludf.DUMMYFUNCTION("""COMPUTED_VALUE"""),0.0)</f>
        <v>0</v>
      </c>
      <c r="O158" s="5"/>
      <c r="P158" s="8"/>
      <c r="Q158" s="5"/>
      <c r="R158" s="8"/>
      <c r="S158" s="5"/>
      <c r="T158" s="6"/>
      <c r="U158" s="8"/>
      <c r="V158" s="5"/>
      <c r="W158" s="6"/>
      <c r="X158" s="5"/>
      <c r="Y158" s="8"/>
      <c r="Z158" s="6"/>
      <c r="AA158" s="6"/>
    </row>
    <row r="159">
      <c r="A159" s="6" t="str">
        <f t="array" ref="A159">XLOOKUP(D159, CountyTops!D:D, CountyTops!B:B, "")
</f>
        <v>Very Small</v>
      </c>
      <c r="B159" s="6"/>
      <c r="C159" s="6" t="str">
        <f>IFERROR(__xludf.DUMMYFUNCTION("""COMPUTED_VALUE"""),"Macon")</f>
        <v>Macon</v>
      </c>
      <c r="D159" s="6" t="str">
        <f>IFERROR(__xludf.DUMMYFUNCTION("""COMPUTED_VALUE"""),"Wilkinson")</f>
        <v>Wilkinson</v>
      </c>
      <c r="E159" s="6"/>
      <c r="F159" s="6"/>
      <c r="G159" s="6"/>
      <c r="H159" s="6"/>
      <c r="I159" s="6" t="str">
        <f>IFERROR(__xludf.DUMMYFUNCTION("""COMPUTED_VALUE"""),"#DIV/0!")</f>
        <v>#DIV/0!</v>
      </c>
      <c r="J159" s="6"/>
      <c r="K159" s="6"/>
      <c r="L159" s="6"/>
      <c r="M159" s="6"/>
      <c r="N159" s="5">
        <f>IFERROR(__xludf.DUMMYFUNCTION("""COMPUTED_VALUE"""),0.0)</f>
        <v>0</v>
      </c>
      <c r="O159" s="5"/>
      <c r="P159" s="8"/>
      <c r="Q159" s="5"/>
      <c r="R159" s="8"/>
      <c r="S159" s="5"/>
      <c r="T159" s="6"/>
      <c r="U159" s="8"/>
      <c r="V159" s="5"/>
      <c r="W159" s="6"/>
      <c r="X159" s="5"/>
      <c r="Y159" s="8"/>
      <c r="Z159" s="6"/>
      <c r="AA159" s="6"/>
    </row>
    <row r="160">
      <c r="A160" s="6" t="str">
        <f t="array" ref="A160">XLOOKUP(D160, CountyTops!D:D, CountyTops!B:B, "")
</f>
        <v>Very Small</v>
      </c>
      <c r="B160" s="6"/>
      <c r="C160" s="6" t="str">
        <f>IFERROR(__xludf.DUMMYFUNCTION("""COMPUTED_VALUE"""),"Albany")</f>
        <v>Albany</v>
      </c>
      <c r="D160" s="6" t="str">
        <f>IFERROR(__xludf.DUMMYFUNCTION("""COMPUTED_VALUE"""),"Worth")</f>
        <v>Worth</v>
      </c>
      <c r="E160" s="6"/>
      <c r="F160" s="6"/>
      <c r="G160" s="6"/>
      <c r="H160" s="6"/>
      <c r="I160" s="6" t="str">
        <f>IFERROR(__xludf.DUMMYFUNCTION("""COMPUTED_VALUE"""),"#DIV/0!")</f>
        <v>#DIV/0!</v>
      </c>
      <c r="J160" s="6"/>
      <c r="K160" s="6"/>
      <c r="L160" s="6"/>
      <c r="M160" s="6"/>
      <c r="N160" s="5">
        <f>IFERROR(__xludf.DUMMYFUNCTION("""COMPUTED_VALUE"""),0.0)</f>
        <v>0</v>
      </c>
      <c r="O160" s="5"/>
      <c r="P160" s="8"/>
      <c r="Q160" s="5"/>
      <c r="R160" s="8"/>
      <c r="S160" s="5"/>
      <c r="T160" s="6"/>
      <c r="U160" s="8"/>
      <c r="V160" s="5"/>
      <c r="W160" s="6"/>
      <c r="X160" s="5"/>
      <c r="Y160" s="8"/>
      <c r="Z160" s="6"/>
      <c r="AA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5"/>
      <c r="O161" s="5"/>
      <c r="P161" s="8"/>
      <c r="Q161" s="5"/>
      <c r="R161" s="8"/>
      <c r="S161" s="5"/>
      <c r="T161" s="6"/>
      <c r="U161" s="8"/>
      <c r="V161" s="5"/>
      <c r="W161" s="6"/>
      <c r="X161" s="5"/>
      <c r="Y161" s="8"/>
      <c r="Z161" s="6"/>
      <c r="AA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5"/>
      <c r="O162" s="5"/>
      <c r="P162" s="8"/>
      <c r="Q162" s="5"/>
      <c r="R162" s="8"/>
      <c r="S162" s="5"/>
      <c r="T162" s="6"/>
      <c r="U162" s="8"/>
      <c r="V162" s="5"/>
      <c r="W162" s="6"/>
      <c r="X162" s="5"/>
      <c r="Y162" s="8"/>
      <c r="Z162" s="6"/>
      <c r="AA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5"/>
      <c r="O163" s="5"/>
      <c r="P163" s="8"/>
      <c r="Q163" s="5"/>
      <c r="R163" s="8"/>
      <c r="S163" s="5"/>
      <c r="T163" s="6"/>
      <c r="U163" s="8"/>
      <c r="V163" s="5"/>
      <c r="W163" s="6"/>
      <c r="X163" s="5"/>
      <c r="Y163" s="8"/>
      <c r="Z163" s="6"/>
      <c r="AA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5"/>
      <c r="O164" s="5"/>
      <c r="P164" s="8"/>
      <c r="Q164" s="5"/>
      <c r="R164" s="8"/>
      <c r="S164" s="5"/>
      <c r="T164" s="6"/>
      <c r="U164" s="8"/>
      <c r="V164" s="5"/>
      <c r="W164" s="6"/>
      <c r="X164" s="5"/>
      <c r="Y164" s="8"/>
      <c r="Z164" s="6"/>
      <c r="AA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5"/>
      <c r="O165" s="5"/>
      <c r="P165" s="8"/>
      <c r="Q165" s="5"/>
      <c r="R165" s="8"/>
      <c r="S165" s="5"/>
      <c r="T165" s="6"/>
      <c r="U165" s="8"/>
      <c r="V165" s="5"/>
      <c r="W165" s="6"/>
      <c r="X165" s="5"/>
      <c r="Y165" s="8"/>
      <c r="Z165" s="6"/>
      <c r="AA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5"/>
      <c r="O166" s="5"/>
      <c r="P166" s="8"/>
      <c r="Q166" s="5"/>
      <c r="R166" s="8"/>
      <c r="S166" s="5"/>
      <c r="T166" s="6"/>
      <c r="U166" s="8"/>
      <c r="V166" s="5"/>
      <c r="W166" s="6"/>
      <c r="X166" s="5"/>
      <c r="Y166" s="8"/>
      <c r="Z166" s="6"/>
      <c r="AA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5"/>
      <c r="O167" s="5"/>
      <c r="P167" s="8"/>
      <c r="Q167" s="5"/>
      <c r="R167" s="8"/>
      <c r="S167" s="5"/>
      <c r="T167" s="6"/>
      <c r="U167" s="8"/>
      <c r="V167" s="5"/>
      <c r="W167" s="6"/>
      <c r="X167" s="5"/>
      <c r="Y167" s="8"/>
      <c r="Z167" s="6"/>
      <c r="AA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5"/>
      <c r="O168" s="5"/>
      <c r="P168" s="8"/>
      <c r="Q168" s="5"/>
      <c r="R168" s="8"/>
      <c r="S168" s="5"/>
      <c r="T168" s="6"/>
      <c r="U168" s="8"/>
      <c r="V168" s="5"/>
      <c r="W168" s="6"/>
      <c r="X168" s="5"/>
      <c r="Y168" s="8"/>
      <c r="Z168" s="6"/>
      <c r="AA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5"/>
      <c r="O169" s="5"/>
      <c r="P169" s="8"/>
      <c r="Q169" s="5"/>
      <c r="R169" s="8"/>
      <c r="S169" s="5"/>
      <c r="T169" s="6"/>
      <c r="U169" s="8"/>
      <c r="V169" s="5"/>
      <c r="W169" s="6"/>
      <c r="X169" s="5"/>
      <c r="Y169" s="8"/>
      <c r="Z169" s="6"/>
      <c r="AA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5"/>
      <c r="O170" s="5"/>
      <c r="P170" s="8"/>
      <c r="Q170" s="5"/>
      <c r="R170" s="8"/>
      <c r="S170" s="5"/>
      <c r="T170" s="6"/>
      <c r="U170" s="8"/>
      <c r="V170" s="5"/>
      <c r="W170" s="6"/>
      <c r="X170" s="5"/>
      <c r="Y170" s="8"/>
      <c r="Z170" s="6"/>
      <c r="AA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5"/>
      <c r="O171" s="5"/>
      <c r="P171" s="8"/>
      <c r="Q171" s="5"/>
      <c r="R171" s="8"/>
      <c r="S171" s="5"/>
      <c r="T171" s="6"/>
      <c r="U171" s="8"/>
      <c r="V171" s="5"/>
      <c r="W171" s="6"/>
      <c r="X171" s="5"/>
      <c r="Y171" s="8"/>
      <c r="Z171" s="6"/>
      <c r="AA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5"/>
      <c r="O172" s="5"/>
      <c r="P172" s="8"/>
      <c r="Q172" s="5"/>
      <c r="R172" s="8"/>
      <c r="S172" s="5"/>
      <c r="T172" s="6"/>
      <c r="U172" s="8"/>
      <c r="V172" s="5"/>
      <c r="W172" s="6"/>
      <c r="X172" s="5"/>
      <c r="Y172" s="8"/>
      <c r="Z172" s="6"/>
      <c r="AA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5"/>
      <c r="O173" s="5"/>
      <c r="P173" s="8"/>
      <c r="Q173" s="5"/>
      <c r="R173" s="8"/>
      <c r="S173" s="5"/>
      <c r="T173" s="6"/>
      <c r="U173" s="8"/>
      <c r="V173" s="5"/>
      <c r="W173" s="6"/>
      <c r="X173" s="5"/>
      <c r="Y173" s="8"/>
      <c r="Z173" s="6"/>
      <c r="AA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5"/>
      <c r="O174" s="5"/>
      <c r="P174" s="8"/>
      <c r="Q174" s="5"/>
      <c r="R174" s="8"/>
      <c r="S174" s="5"/>
      <c r="T174" s="6"/>
      <c r="U174" s="8"/>
      <c r="V174" s="5"/>
      <c r="W174" s="6"/>
      <c r="X174" s="5"/>
      <c r="Y174" s="8"/>
      <c r="Z174" s="6"/>
      <c r="AA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5"/>
      <c r="O175" s="5"/>
      <c r="P175" s="8"/>
      <c r="Q175" s="5"/>
      <c r="R175" s="8"/>
      <c r="S175" s="5"/>
      <c r="T175" s="6"/>
      <c r="U175" s="8"/>
      <c r="V175" s="5"/>
      <c r="W175" s="6"/>
      <c r="X175" s="5"/>
      <c r="Y175" s="8"/>
      <c r="Z175" s="6"/>
      <c r="AA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5"/>
      <c r="O176" s="5"/>
      <c r="P176" s="8"/>
      <c r="Q176" s="5"/>
      <c r="R176" s="8"/>
      <c r="S176" s="5"/>
      <c r="T176" s="6"/>
      <c r="U176" s="8"/>
      <c r="V176" s="5"/>
      <c r="W176" s="6"/>
      <c r="X176" s="5"/>
      <c r="Y176" s="8"/>
      <c r="Z176" s="6"/>
      <c r="AA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5"/>
      <c r="O177" s="5"/>
      <c r="P177" s="8"/>
      <c r="Q177" s="5"/>
      <c r="R177" s="8"/>
      <c r="S177" s="5"/>
      <c r="T177" s="6"/>
      <c r="U177" s="8"/>
      <c r="V177" s="5"/>
      <c r="W177" s="6"/>
      <c r="X177" s="5"/>
      <c r="Y177" s="8"/>
      <c r="Z177" s="6"/>
      <c r="AA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5"/>
      <c r="O178" s="5"/>
      <c r="P178" s="8"/>
      <c r="Q178" s="5"/>
      <c r="R178" s="8"/>
      <c r="S178" s="5"/>
      <c r="T178" s="6"/>
      <c r="U178" s="8"/>
      <c r="V178" s="5"/>
      <c r="W178" s="6"/>
      <c r="X178" s="5"/>
      <c r="Y178" s="8"/>
      <c r="Z178" s="6"/>
      <c r="AA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5"/>
      <c r="O179" s="5"/>
      <c r="P179" s="8"/>
      <c r="Q179" s="5"/>
      <c r="R179" s="8"/>
      <c r="S179" s="5"/>
      <c r="T179" s="6"/>
      <c r="U179" s="8"/>
      <c r="V179" s="5"/>
      <c r="W179" s="6"/>
      <c r="X179" s="5"/>
      <c r="Y179" s="8"/>
      <c r="Z179" s="6"/>
      <c r="AA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5"/>
      <c r="O180" s="5"/>
      <c r="P180" s="8"/>
      <c r="Q180" s="5"/>
      <c r="R180" s="8"/>
      <c r="S180" s="5"/>
      <c r="T180" s="6"/>
      <c r="U180" s="8"/>
      <c r="V180" s="5"/>
      <c r="W180" s="6"/>
      <c r="X180" s="5"/>
      <c r="Y180" s="8"/>
      <c r="Z180" s="6"/>
      <c r="AA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5"/>
      <c r="O181" s="5"/>
      <c r="P181" s="8"/>
      <c r="Q181" s="5"/>
      <c r="R181" s="8"/>
      <c r="S181" s="5"/>
      <c r="T181" s="6"/>
      <c r="U181" s="8"/>
      <c r="V181" s="5"/>
      <c r="W181" s="6"/>
      <c r="X181" s="5"/>
      <c r="Y181" s="8"/>
      <c r="Z181" s="6"/>
      <c r="AA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5"/>
      <c r="O182" s="5"/>
      <c r="P182" s="8"/>
      <c r="Q182" s="5"/>
      <c r="R182" s="8"/>
      <c r="S182" s="5"/>
      <c r="T182" s="6"/>
      <c r="U182" s="8"/>
      <c r="V182" s="5"/>
      <c r="W182" s="6"/>
      <c r="X182" s="5"/>
      <c r="Y182" s="8"/>
      <c r="Z182" s="6"/>
      <c r="AA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5"/>
      <c r="O183" s="5"/>
      <c r="P183" s="8"/>
      <c r="Q183" s="5"/>
      <c r="R183" s="8"/>
      <c r="S183" s="5"/>
      <c r="T183" s="6"/>
      <c r="U183" s="8"/>
      <c r="V183" s="5"/>
      <c r="W183" s="6"/>
      <c r="X183" s="5"/>
      <c r="Y183" s="8"/>
      <c r="Z183" s="6"/>
      <c r="AA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5"/>
      <c r="O184" s="5"/>
      <c r="P184" s="8"/>
      <c r="Q184" s="5"/>
      <c r="R184" s="8"/>
      <c r="S184" s="5"/>
      <c r="T184" s="6"/>
      <c r="U184" s="8"/>
      <c r="V184" s="5"/>
      <c r="W184" s="6"/>
      <c r="X184" s="5"/>
      <c r="Y184" s="8"/>
      <c r="Z184" s="6"/>
      <c r="AA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5"/>
      <c r="O185" s="5"/>
      <c r="P185" s="8"/>
      <c r="Q185" s="5"/>
      <c r="R185" s="8"/>
      <c r="S185" s="5"/>
      <c r="T185" s="6"/>
      <c r="U185" s="8"/>
      <c r="V185" s="5"/>
      <c r="W185" s="6"/>
      <c r="X185" s="5"/>
      <c r="Y185" s="8"/>
      <c r="Z185" s="6"/>
      <c r="AA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5"/>
      <c r="O186" s="5"/>
      <c r="P186" s="8"/>
      <c r="Q186" s="5"/>
      <c r="R186" s="8"/>
      <c r="S186" s="5"/>
      <c r="T186" s="6"/>
      <c r="U186" s="8"/>
      <c r="V186" s="5"/>
      <c r="W186" s="6"/>
      <c r="X186" s="5"/>
      <c r="Y186" s="8"/>
      <c r="Z186" s="6"/>
      <c r="AA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5"/>
      <c r="O187" s="5"/>
      <c r="P187" s="8"/>
      <c r="Q187" s="5"/>
      <c r="R187" s="8"/>
      <c r="S187" s="5"/>
      <c r="T187" s="6"/>
      <c r="U187" s="8"/>
      <c r="V187" s="5"/>
      <c r="W187" s="6"/>
      <c r="X187" s="5"/>
      <c r="Y187" s="8"/>
      <c r="Z187" s="6"/>
      <c r="AA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5"/>
      <c r="O188" s="5"/>
      <c r="P188" s="8"/>
      <c r="Q188" s="5"/>
      <c r="R188" s="8"/>
      <c r="S188" s="5"/>
      <c r="T188" s="6"/>
      <c r="U188" s="8"/>
      <c r="V188" s="5"/>
      <c r="W188" s="6"/>
      <c r="X188" s="5"/>
      <c r="Y188" s="8"/>
      <c r="Z188" s="6"/>
      <c r="AA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5"/>
      <c r="O189" s="5"/>
      <c r="P189" s="8"/>
      <c r="Q189" s="5"/>
      <c r="R189" s="8"/>
      <c r="S189" s="5"/>
      <c r="T189" s="6"/>
      <c r="U189" s="8"/>
      <c r="V189" s="5"/>
      <c r="W189" s="6"/>
      <c r="X189" s="5"/>
      <c r="Y189" s="8"/>
      <c r="Z189" s="6"/>
      <c r="AA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5"/>
      <c r="O190" s="5"/>
      <c r="P190" s="8"/>
      <c r="Q190" s="5"/>
      <c r="R190" s="8"/>
      <c r="S190" s="5"/>
      <c r="T190" s="6"/>
      <c r="U190" s="8"/>
      <c r="V190" s="5"/>
      <c r="W190" s="6"/>
      <c r="X190" s="5"/>
      <c r="Y190" s="8"/>
      <c r="Z190" s="6"/>
      <c r="AA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5"/>
      <c r="O191" s="5"/>
      <c r="P191" s="8"/>
      <c r="Q191" s="5"/>
      <c r="R191" s="8"/>
      <c r="S191" s="5"/>
      <c r="T191" s="6"/>
      <c r="U191" s="8"/>
      <c r="V191" s="5"/>
      <c r="W191" s="6"/>
      <c r="X191" s="5"/>
      <c r="Y191" s="8"/>
      <c r="Z191" s="6"/>
      <c r="AA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5"/>
      <c r="O192" s="5"/>
      <c r="P192" s="8"/>
      <c r="Q192" s="5"/>
      <c r="R192" s="8"/>
      <c r="S192" s="5"/>
      <c r="T192" s="6"/>
      <c r="U192" s="8"/>
      <c r="V192" s="5"/>
      <c r="W192" s="6"/>
      <c r="X192" s="5"/>
      <c r="Y192" s="8"/>
      <c r="Z192" s="6"/>
      <c r="AA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5"/>
      <c r="O193" s="5"/>
      <c r="P193" s="8"/>
      <c r="Q193" s="5"/>
      <c r="R193" s="8"/>
      <c r="S193" s="5"/>
      <c r="T193" s="6"/>
      <c r="U193" s="8"/>
      <c r="V193" s="5"/>
      <c r="W193" s="6"/>
      <c r="X193" s="5"/>
      <c r="Y193" s="8"/>
      <c r="Z193" s="6"/>
      <c r="AA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5"/>
      <c r="O194" s="5"/>
      <c r="P194" s="8"/>
      <c r="Q194" s="5"/>
      <c r="R194" s="8"/>
      <c r="S194" s="5"/>
      <c r="T194" s="6"/>
      <c r="U194" s="8"/>
      <c r="V194" s="5"/>
      <c r="W194" s="6"/>
      <c r="X194" s="5"/>
      <c r="Y194" s="8"/>
      <c r="Z194" s="6"/>
      <c r="AA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5"/>
      <c r="O195" s="5"/>
      <c r="P195" s="8"/>
      <c r="Q195" s="5"/>
      <c r="R195" s="8"/>
      <c r="S195" s="5"/>
      <c r="T195" s="6"/>
      <c r="U195" s="8"/>
      <c r="V195" s="5"/>
      <c r="W195" s="6"/>
      <c r="X195" s="5"/>
      <c r="Y195" s="8"/>
      <c r="Z195" s="6"/>
      <c r="AA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5"/>
      <c r="O196" s="5"/>
      <c r="P196" s="8"/>
      <c r="Q196" s="5"/>
      <c r="R196" s="8"/>
      <c r="S196" s="5"/>
      <c r="T196" s="6"/>
      <c r="U196" s="8"/>
      <c r="V196" s="5"/>
      <c r="W196" s="6"/>
      <c r="X196" s="5"/>
      <c r="Y196" s="8"/>
      <c r="Z196" s="6"/>
      <c r="AA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5"/>
      <c r="O197" s="5"/>
      <c r="P197" s="8"/>
      <c r="Q197" s="5"/>
      <c r="R197" s="8"/>
      <c r="S197" s="5"/>
      <c r="T197" s="6"/>
      <c r="U197" s="8"/>
      <c r="V197" s="5"/>
      <c r="W197" s="6"/>
      <c r="X197" s="5"/>
      <c r="Y197" s="8"/>
      <c r="Z197" s="6"/>
      <c r="AA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5"/>
      <c r="O198" s="5"/>
      <c r="P198" s="8"/>
      <c r="Q198" s="5"/>
      <c r="R198" s="8"/>
      <c r="S198" s="5"/>
      <c r="T198" s="6"/>
      <c r="U198" s="8"/>
      <c r="V198" s="5"/>
      <c r="W198" s="6"/>
      <c r="X198" s="5"/>
      <c r="Y198" s="8"/>
      <c r="Z198" s="6"/>
      <c r="AA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5"/>
      <c r="O199" s="5"/>
      <c r="P199" s="8"/>
      <c r="Q199" s="5"/>
      <c r="R199" s="8"/>
      <c r="S199" s="5"/>
      <c r="T199" s="6"/>
      <c r="U199" s="8"/>
      <c r="V199" s="5"/>
      <c r="W199" s="6"/>
      <c r="X199" s="5"/>
      <c r="Y199" s="8"/>
      <c r="Z199" s="6"/>
      <c r="AA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5"/>
      <c r="O200" s="5"/>
      <c r="P200" s="8"/>
      <c r="Q200" s="5"/>
      <c r="R200" s="8"/>
      <c r="S200" s="5"/>
      <c r="T200" s="6"/>
      <c r="U200" s="8"/>
      <c r="V200" s="5"/>
      <c r="W200" s="6"/>
      <c r="X200" s="5"/>
      <c r="Y200" s="8"/>
      <c r="Z200" s="6"/>
      <c r="AA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5"/>
      <c r="O201" s="5"/>
      <c r="P201" s="8"/>
      <c r="Q201" s="5"/>
      <c r="R201" s="8"/>
      <c r="S201" s="5"/>
      <c r="T201" s="6"/>
      <c r="U201" s="8"/>
      <c r="V201" s="5"/>
      <c r="W201" s="6"/>
      <c r="X201" s="5"/>
      <c r="Y201" s="8"/>
      <c r="Z201" s="6"/>
      <c r="AA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5"/>
      <c r="O202" s="5"/>
      <c r="P202" s="8"/>
      <c r="Q202" s="5"/>
      <c r="R202" s="8"/>
      <c r="S202" s="5"/>
      <c r="T202" s="6"/>
      <c r="U202" s="8"/>
      <c r="V202" s="5"/>
      <c r="W202" s="6"/>
      <c r="X202" s="5"/>
      <c r="Y202" s="8"/>
      <c r="Z202" s="6"/>
      <c r="AA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5"/>
      <c r="O203" s="5"/>
      <c r="P203" s="8"/>
      <c r="Q203" s="5"/>
      <c r="R203" s="8"/>
      <c r="S203" s="5"/>
      <c r="T203" s="6"/>
      <c r="U203" s="8"/>
      <c r="V203" s="5"/>
      <c r="W203" s="6"/>
      <c r="X203" s="5"/>
      <c r="Y203" s="8"/>
      <c r="Z203" s="6"/>
      <c r="AA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5"/>
      <c r="O204" s="5"/>
      <c r="P204" s="8"/>
      <c r="Q204" s="5"/>
      <c r="R204" s="8"/>
      <c r="S204" s="5"/>
      <c r="T204" s="6"/>
      <c r="U204" s="8"/>
      <c r="V204" s="5"/>
      <c r="W204" s="6"/>
      <c r="X204" s="5"/>
      <c r="Y204" s="8"/>
      <c r="Z204" s="6"/>
      <c r="AA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5"/>
      <c r="O205" s="5"/>
      <c r="P205" s="8"/>
      <c r="Q205" s="5"/>
      <c r="R205" s="8"/>
      <c r="S205" s="5"/>
      <c r="T205" s="6"/>
      <c r="U205" s="8"/>
      <c r="V205" s="5"/>
      <c r="W205" s="6"/>
      <c r="X205" s="5"/>
      <c r="Y205" s="8"/>
      <c r="Z205" s="6"/>
      <c r="AA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5"/>
      <c r="O206" s="5"/>
      <c r="P206" s="8"/>
      <c r="Q206" s="5"/>
      <c r="R206" s="8"/>
      <c r="S206" s="5"/>
      <c r="T206" s="6"/>
      <c r="U206" s="8"/>
      <c r="V206" s="5"/>
      <c r="W206" s="6"/>
      <c r="X206" s="5"/>
      <c r="Y206" s="8"/>
      <c r="Z206" s="6"/>
      <c r="AA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5"/>
      <c r="O207" s="5"/>
      <c r="P207" s="8"/>
      <c r="Q207" s="5"/>
      <c r="R207" s="8"/>
      <c r="S207" s="5"/>
      <c r="T207" s="6"/>
      <c r="U207" s="8"/>
      <c r="V207" s="5"/>
      <c r="W207" s="6"/>
      <c r="X207" s="5"/>
      <c r="Y207" s="8"/>
      <c r="Z207" s="6"/>
      <c r="AA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5"/>
      <c r="O208" s="5"/>
      <c r="P208" s="8"/>
      <c r="Q208" s="5"/>
      <c r="R208" s="8"/>
      <c r="S208" s="5"/>
      <c r="T208" s="6"/>
      <c r="U208" s="8"/>
      <c r="V208" s="5"/>
      <c r="W208" s="6"/>
      <c r="X208" s="5"/>
      <c r="Y208" s="8"/>
      <c r="Z208" s="6"/>
      <c r="AA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5"/>
      <c r="O209" s="5"/>
      <c r="P209" s="8"/>
      <c r="Q209" s="5"/>
      <c r="R209" s="8"/>
      <c r="S209" s="5"/>
      <c r="T209" s="6"/>
      <c r="U209" s="8"/>
      <c r="V209" s="5"/>
      <c r="W209" s="6"/>
      <c r="X209" s="5"/>
      <c r="Y209" s="8"/>
      <c r="Z209" s="6"/>
      <c r="AA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5"/>
      <c r="O210" s="5"/>
      <c r="P210" s="8"/>
      <c r="Q210" s="5"/>
      <c r="R210" s="8"/>
      <c r="S210" s="5"/>
      <c r="T210" s="6"/>
      <c r="U210" s="8"/>
      <c r="V210" s="5"/>
      <c r="W210" s="6"/>
      <c r="X210" s="5"/>
      <c r="Y210" s="8"/>
      <c r="Z210" s="6"/>
      <c r="AA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5"/>
      <c r="O211" s="5"/>
      <c r="P211" s="8"/>
      <c r="Q211" s="5"/>
      <c r="R211" s="8"/>
      <c r="S211" s="5"/>
      <c r="T211" s="6"/>
      <c r="U211" s="8"/>
      <c r="V211" s="5"/>
      <c r="W211" s="6"/>
      <c r="X211" s="5"/>
      <c r="Y211" s="8"/>
      <c r="Z211" s="6"/>
      <c r="AA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5"/>
      <c r="O212" s="5"/>
      <c r="P212" s="8"/>
      <c r="Q212" s="5"/>
      <c r="R212" s="8"/>
      <c r="S212" s="5"/>
      <c r="T212" s="6"/>
      <c r="U212" s="8"/>
      <c r="V212" s="5"/>
      <c r="W212" s="6"/>
      <c r="X212" s="5"/>
      <c r="Y212" s="8"/>
      <c r="Z212" s="6"/>
      <c r="AA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5"/>
      <c r="O213" s="5"/>
      <c r="P213" s="8"/>
      <c r="Q213" s="5"/>
      <c r="R213" s="8"/>
      <c r="S213" s="5"/>
      <c r="T213" s="6"/>
      <c r="U213" s="8"/>
      <c r="V213" s="5"/>
      <c r="W213" s="6"/>
      <c r="X213" s="5"/>
      <c r="Y213" s="8"/>
      <c r="Z213" s="6"/>
      <c r="AA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5"/>
      <c r="O214" s="5"/>
      <c r="P214" s="8"/>
      <c r="Q214" s="5"/>
      <c r="R214" s="8"/>
      <c r="S214" s="5"/>
      <c r="T214" s="6"/>
      <c r="U214" s="8"/>
      <c r="V214" s="5"/>
      <c r="W214" s="6"/>
      <c r="X214" s="5"/>
      <c r="Y214" s="8"/>
      <c r="Z214" s="6"/>
      <c r="AA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5"/>
      <c r="O215" s="5"/>
      <c r="P215" s="8"/>
      <c r="Q215" s="5"/>
      <c r="R215" s="8"/>
      <c r="S215" s="5"/>
      <c r="T215" s="6"/>
      <c r="U215" s="8"/>
      <c r="V215" s="5"/>
      <c r="W215" s="6"/>
      <c r="X215" s="5"/>
      <c r="Y215" s="8"/>
      <c r="Z215" s="6"/>
      <c r="AA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5"/>
      <c r="O216" s="5"/>
      <c r="P216" s="8"/>
      <c r="Q216" s="5"/>
      <c r="R216" s="8"/>
      <c r="S216" s="5"/>
      <c r="T216" s="6"/>
      <c r="U216" s="8"/>
      <c r="V216" s="5"/>
      <c r="W216" s="6"/>
      <c r="X216" s="5"/>
      <c r="Y216" s="8"/>
      <c r="Z216" s="6"/>
      <c r="AA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5"/>
      <c r="O217" s="5"/>
      <c r="P217" s="8"/>
      <c r="Q217" s="5"/>
      <c r="R217" s="8"/>
      <c r="S217" s="5"/>
      <c r="T217" s="6"/>
      <c r="U217" s="8"/>
      <c r="V217" s="5"/>
      <c r="W217" s="6"/>
      <c r="X217" s="5"/>
      <c r="Y217" s="8"/>
      <c r="Z217" s="6"/>
      <c r="AA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5"/>
      <c r="O218" s="5"/>
      <c r="P218" s="8"/>
      <c r="Q218" s="5"/>
      <c r="R218" s="8"/>
      <c r="S218" s="5"/>
      <c r="T218" s="6"/>
      <c r="U218" s="8"/>
      <c r="V218" s="5"/>
      <c r="W218" s="6"/>
      <c r="X218" s="5"/>
      <c r="Y218" s="8"/>
      <c r="Z218" s="6"/>
      <c r="AA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5"/>
      <c r="O219" s="5"/>
      <c r="P219" s="8"/>
      <c r="Q219" s="5"/>
      <c r="R219" s="8"/>
      <c r="S219" s="5"/>
      <c r="T219" s="6"/>
      <c r="U219" s="8"/>
      <c r="V219" s="5"/>
      <c r="W219" s="6"/>
      <c r="X219" s="5"/>
      <c r="Y219" s="8"/>
      <c r="Z219" s="6"/>
      <c r="AA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5"/>
      <c r="O220" s="5"/>
      <c r="P220" s="8"/>
      <c r="Q220" s="5"/>
      <c r="R220" s="8"/>
      <c r="S220" s="5"/>
      <c r="T220" s="6"/>
      <c r="U220" s="8"/>
      <c r="V220" s="5"/>
      <c r="W220" s="6"/>
      <c r="X220" s="5"/>
      <c r="Y220" s="8"/>
      <c r="Z220" s="6"/>
      <c r="AA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5"/>
      <c r="O221" s="5"/>
      <c r="P221" s="8"/>
      <c r="Q221" s="5"/>
      <c r="R221" s="8"/>
      <c r="S221" s="5"/>
      <c r="T221" s="6"/>
      <c r="U221" s="8"/>
      <c r="V221" s="5"/>
      <c r="W221" s="6"/>
      <c r="X221" s="5"/>
      <c r="Y221" s="8"/>
      <c r="Z221" s="6"/>
      <c r="AA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5"/>
      <c r="O222" s="5"/>
      <c r="P222" s="8"/>
      <c r="Q222" s="5"/>
      <c r="R222" s="8"/>
      <c r="S222" s="5"/>
      <c r="T222" s="6"/>
      <c r="U222" s="8"/>
      <c r="V222" s="5"/>
      <c r="W222" s="6"/>
      <c r="X222" s="5"/>
      <c r="Y222" s="8"/>
      <c r="Z222" s="6"/>
      <c r="AA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5"/>
      <c r="O223" s="5"/>
      <c r="P223" s="8"/>
      <c r="Q223" s="5"/>
      <c r="R223" s="8"/>
      <c r="S223" s="5"/>
      <c r="T223" s="6"/>
      <c r="U223" s="8"/>
      <c r="V223" s="5"/>
      <c r="W223" s="6"/>
      <c r="X223" s="5"/>
      <c r="Y223" s="8"/>
      <c r="Z223" s="6"/>
      <c r="AA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5"/>
      <c r="O224" s="5"/>
      <c r="P224" s="8"/>
      <c r="Q224" s="5"/>
      <c r="R224" s="8"/>
      <c r="S224" s="5"/>
      <c r="T224" s="6"/>
      <c r="U224" s="8"/>
      <c r="V224" s="5"/>
      <c r="W224" s="6"/>
      <c r="X224" s="5"/>
      <c r="Y224" s="8"/>
      <c r="Z224" s="6"/>
      <c r="AA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5"/>
      <c r="O225" s="5"/>
      <c r="P225" s="8"/>
      <c r="Q225" s="5"/>
      <c r="R225" s="8"/>
      <c r="S225" s="5"/>
      <c r="T225" s="6"/>
      <c r="U225" s="8"/>
      <c r="V225" s="5"/>
      <c r="W225" s="6"/>
      <c r="X225" s="5"/>
      <c r="Y225" s="8"/>
      <c r="Z225" s="6"/>
      <c r="AA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5"/>
      <c r="O226" s="5"/>
      <c r="P226" s="8"/>
      <c r="Q226" s="5"/>
      <c r="R226" s="8"/>
      <c r="S226" s="5"/>
      <c r="T226" s="6"/>
      <c r="U226" s="8"/>
      <c r="V226" s="5"/>
      <c r="W226" s="6"/>
      <c r="X226" s="5"/>
      <c r="Y226" s="8"/>
      <c r="Z226" s="6"/>
      <c r="AA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5"/>
      <c r="O227" s="5"/>
      <c r="P227" s="8"/>
      <c r="Q227" s="5"/>
      <c r="R227" s="8"/>
      <c r="S227" s="5"/>
      <c r="T227" s="6"/>
      <c r="U227" s="8"/>
      <c r="V227" s="5"/>
      <c r="W227" s="6"/>
      <c r="X227" s="5"/>
      <c r="Y227" s="8"/>
      <c r="Z227" s="6"/>
      <c r="AA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5"/>
      <c r="O228" s="5"/>
      <c r="P228" s="8"/>
      <c r="Q228" s="5"/>
      <c r="R228" s="8"/>
      <c r="S228" s="5"/>
      <c r="T228" s="6"/>
      <c r="U228" s="8"/>
      <c r="V228" s="5"/>
      <c r="W228" s="6"/>
      <c r="X228" s="5"/>
      <c r="Y228" s="8"/>
      <c r="Z228" s="6"/>
      <c r="AA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5"/>
      <c r="O229" s="5"/>
      <c r="P229" s="8"/>
      <c r="Q229" s="5"/>
      <c r="R229" s="8"/>
      <c r="S229" s="5"/>
      <c r="T229" s="6"/>
      <c r="U229" s="8"/>
      <c r="V229" s="5"/>
      <c r="W229" s="6"/>
      <c r="X229" s="5"/>
      <c r="Y229" s="8"/>
      <c r="Z229" s="6"/>
      <c r="AA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5"/>
      <c r="O230" s="5"/>
      <c r="P230" s="8"/>
      <c r="Q230" s="5"/>
      <c r="R230" s="8"/>
      <c r="S230" s="5"/>
      <c r="T230" s="6"/>
      <c r="U230" s="8"/>
      <c r="V230" s="5"/>
      <c r="W230" s="6"/>
      <c r="X230" s="5"/>
      <c r="Y230" s="8"/>
      <c r="Z230" s="6"/>
      <c r="AA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5"/>
      <c r="O231" s="5"/>
      <c r="P231" s="8"/>
      <c r="Q231" s="5"/>
      <c r="R231" s="8"/>
      <c r="S231" s="5"/>
      <c r="T231" s="6"/>
      <c r="U231" s="8"/>
      <c r="V231" s="5"/>
      <c r="W231" s="6"/>
      <c r="X231" s="5"/>
      <c r="Y231" s="8"/>
      <c r="Z231" s="6"/>
      <c r="AA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5"/>
      <c r="O232" s="5"/>
      <c r="P232" s="8"/>
      <c r="Q232" s="5"/>
      <c r="R232" s="8"/>
      <c r="S232" s="5"/>
      <c r="T232" s="6"/>
      <c r="U232" s="8"/>
      <c r="V232" s="5"/>
      <c r="W232" s="6"/>
      <c r="X232" s="5"/>
      <c r="Y232" s="8"/>
      <c r="Z232" s="6"/>
      <c r="AA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5"/>
      <c r="O233" s="5"/>
      <c r="P233" s="8"/>
      <c r="Q233" s="5"/>
      <c r="R233" s="8"/>
      <c r="S233" s="5"/>
      <c r="T233" s="6"/>
      <c r="U233" s="8"/>
      <c r="V233" s="5"/>
      <c r="W233" s="6"/>
      <c r="X233" s="5"/>
      <c r="Y233" s="8"/>
      <c r="Z233" s="6"/>
      <c r="AA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5"/>
      <c r="O234" s="5"/>
      <c r="P234" s="8"/>
      <c r="Q234" s="5"/>
      <c r="R234" s="8"/>
      <c r="S234" s="5"/>
      <c r="T234" s="6"/>
      <c r="U234" s="8"/>
      <c r="V234" s="5"/>
      <c r="W234" s="6"/>
      <c r="X234" s="5"/>
      <c r="Y234" s="8"/>
      <c r="Z234" s="6"/>
      <c r="AA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5"/>
      <c r="O235" s="5"/>
      <c r="P235" s="8"/>
      <c r="Q235" s="5"/>
      <c r="R235" s="8"/>
      <c r="S235" s="5"/>
      <c r="T235" s="6"/>
      <c r="U235" s="8"/>
      <c r="V235" s="5"/>
      <c r="W235" s="6"/>
      <c r="X235" s="5"/>
      <c r="Y235" s="8"/>
      <c r="Z235" s="6"/>
      <c r="AA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5"/>
      <c r="O236" s="5"/>
      <c r="P236" s="8"/>
      <c r="Q236" s="5"/>
      <c r="R236" s="8"/>
      <c r="S236" s="5"/>
      <c r="T236" s="6"/>
      <c r="U236" s="8"/>
      <c r="V236" s="5"/>
      <c r="W236" s="6"/>
      <c r="X236" s="5"/>
      <c r="Y236" s="8"/>
      <c r="Z236" s="6"/>
      <c r="AA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5"/>
      <c r="O237" s="5"/>
      <c r="P237" s="8"/>
      <c r="Q237" s="5"/>
      <c r="R237" s="8"/>
      <c r="S237" s="5"/>
      <c r="T237" s="6"/>
      <c r="U237" s="8"/>
      <c r="V237" s="5"/>
      <c r="W237" s="6"/>
      <c r="X237" s="5"/>
      <c r="Y237" s="8"/>
      <c r="Z237" s="6"/>
      <c r="AA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5"/>
      <c r="O238" s="5"/>
      <c r="P238" s="8"/>
      <c r="Q238" s="5"/>
      <c r="R238" s="8"/>
      <c r="S238" s="5"/>
      <c r="T238" s="6"/>
      <c r="U238" s="8"/>
      <c r="V238" s="5"/>
      <c r="W238" s="6"/>
      <c r="X238" s="5"/>
      <c r="Y238" s="8"/>
      <c r="Z238" s="6"/>
      <c r="AA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5"/>
      <c r="O239" s="5"/>
      <c r="P239" s="8"/>
      <c r="Q239" s="5"/>
      <c r="R239" s="8"/>
      <c r="S239" s="5"/>
      <c r="T239" s="6"/>
      <c r="U239" s="8"/>
      <c r="V239" s="5"/>
      <c r="W239" s="6"/>
      <c r="X239" s="5"/>
      <c r="Y239" s="8"/>
      <c r="Z239" s="6"/>
      <c r="AA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5"/>
      <c r="O240" s="5"/>
      <c r="P240" s="8"/>
      <c r="Q240" s="5"/>
      <c r="R240" s="8"/>
      <c r="S240" s="5"/>
      <c r="T240" s="6"/>
      <c r="U240" s="8"/>
      <c r="V240" s="5"/>
      <c r="W240" s="6"/>
      <c r="X240" s="5"/>
      <c r="Y240" s="8"/>
      <c r="Z240" s="6"/>
      <c r="AA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5"/>
      <c r="O241" s="5"/>
      <c r="P241" s="8"/>
      <c r="Q241" s="5"/>
      <c r="R241" s="8"/>
      <c r="S241" s="5"/>
      <c r="T241" s="6"/>
      <c r="U241" s="8"/>
      <c r="V241" s="5"/>
      <c r="W241" s="6"/>
      <c r="X241" s="5"/>
      <c r="Y241" s="8"/>
      <c r="Z241" s="6"/>
      <c r="AA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5"/>
      <c r="O242" s="5"/>
      <c r="P242" s="8"/>
      <c r="Q242" s="5"/>
      <c r="R242" s="8"/>
      <c r="S242" s="5"/>
      <c r="T242" s="6"/>
      <c r="U242" s="8"/>
      <c r="V242" s="5"/>
      <c r="W242" s="6"/>
      <c r="X242" s="5"/>
      <c r="Y242" s="8"/>
      <c r="Z242" s="6"/>
      <c r="AA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5"/>
      <c r="O243" s="5"/>
      <c r="P243" s="8"/>
      <c r="Q243" s="5"/>
      <c r="R243" s="8"/>
      <c r="S243" s="5"/>
      <c r="T243" s="6"/>
      <c r="U243" s="8"/>
      <c r="V243" s="5"/>
      <c r="W243" s="6"/>
      <c r="X243" s="5"/>
      <c r="Y243" s="8"/>
      <c r="Z243" s="6"/>
      <c r="AA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5"/>
      <c r="O244" s="5"/>
      <c r="P244" s="8"/>
      <c r="Q244" s="5"/>
      <c r="R244" s="8"/>
      <c r="S244" s="5"/>
      <c r="T244" s="6"/>
      <c r="U244" s="8"/>
      <c r="V244" s="5"/>
      <c r="W244" s="6"/>
      <c r="X244" s="5"/>
      <c r="Y244" s="8"/>
      <c r="Z244" s="6"/>
      <c r="AA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5"/>
      <c r="O245" s="5"/>
      <c r="P245" s="8"/>
      <c r="Q245" s="5"/>
      <c r="R245" s="8"/>
      <c r="S245" s="5"/>
      <c r="T245" s="6"/>
      <c r="U245" s="8"/>
      <c r="V245" s="5"/>
      <c r="W245" s="6"/>
      <c r="X245" s="5"/>
      <c r="Y245" s="8"/>
      <c r="Z245" s="6"/>
      <c r="AA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5"/>
      <c r="O246" s="5"/>
      <c r="P246" s="8"/>
      <c r="Q246" s="5"/>
      <c r="R246" s="8"/>
      <c r="S246" s="5"/>
      <c r="T246" s="6"/>
      <c r="U246" s="8"/>
      <c r="V246" s="5"/>
      <c r="W246" s="6"/>
      <c r="X246" s="5"/>
      <c r="Y246" s="8"/>
      <c r="Z246" s="6"/>
      <c r="AA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5"/>
      <c r="O247" s="5"/>
      <c r="P247" s="8"/>
      <c r="Q247" s="5"/>
      <c r="R247" s="8"/>
      <c r="S247" s="5"/>
      <c r="T247" s="6"/>
      <c r="U247" s="8"/>
      <c r="V247" s="5"/>
      <c r="W247" s="6"/>
      <c r="X247" s="5"/>
      <c r="Y247" s="8"/>
      <c r="Z247" s="6"/>
      <c r="AA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5"/>
      <c r="O248" s="5"/>
      <c r="P248" s="8"/>
      <c r="Q248" s="5"/>
      <c r="R248" s="8"/>
      <c r="S248" s="5"/>
      <c r="T248" s="6"/>
      <c r="U248" s="8"/>
      <c r="V248" s="5"/>
      <c r="W248" s="6"/>
      <c r="X248" s="5"/>
      <c r="Y248" s="8"/>
      <c r="Z248" s="6"/>
      <c r="AA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5"/>
      <c r="O249" s="5"/>
      <c r="P249" s="8"/>
      <c r="Q249" s="5"/>
      <c r="R249" s="8"/>
      <c r="S249" s="5"/>
      <c r="T249" s="6"/>
      <c r="U249" s="8"/>
      <c r="V249" s="5"/>
      <c r="W249" s="6"/>
      <c r="X249" s="5"/>
      <c r="Y249" s="8"/>
      <c r="Z249" s="6"/>
      <c r="AA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5"/>
      <c r="O250" s="5"/>
      <c r="P250" s="8"/>
      <c r="Q250" s="5"/>
      <c r="R250" s="8"/>
      <c r="S250" s="5"/>
      <c r="T250" s="6"/>
      <c r="U250" s="8"/>
      <c r="V250" s="5"/>
      <c r="W250" s="6"/>
      <c r="X250" s="5"/>
      <c r="Y250" s="8"/>
      <c r="Z250" s="6"/>
      <c r="AA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5"/>
      <c r="O251" s="5"/>
      <c r="P251" s="8"/>
      <c r="Q251" s="5"/>
      <c r="R251" s="8"/>
      <c r="S251" s="5"/>
      <c r="T251" s="6"/>
      <c r="U251" s="8"/>
      <c r="V251" s="5"/>
      <c r="W251" s="6"/>
      <c r="X251" s="5"/>
      <c r="Y251" s="8"/>
      <c r="Z251" s="6"/>
      <c r="AA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5"/>
      <c r="O252" s="5"/>
      <c r="P252" s="8"/>
      <c r="Q252" s="5"/>
      <c r="R252" s="8"/>
      <c r="S252" s="5"/>
      <c r="T252" s="6"/>
      <c r="U252" s="8"/>
      <c r="V252" s="5"/>
      <c r="W252" s="6"/>
      <c r="X252" s="5"/>
      <c r="Y252" s="8"/>
      <c r="Z252" s="6"/>
      <c r="AA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5"/>
      <c r="O253" s="5"/>
      <c r="P253" s="8"/>
      <c r="Q253" s="5"/>
      <c r="R253" s="8"/>
      <c r="S253" s="5"/>
      <c r="T253" s="6"/>
      <c r="U253" s="8"/>
      <c r="V253" s="5"/>
      <c r="W253" s="6"/>
      <c r="X253" s="5"/>
      <c r="Y253" s="8"/>
      <c r="Z253" s="6"/>
      <c r="AA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5"/>
      <c r="O254" s="5"/>
      <c r="P254" s="8"/>
      <c r="Q254" s="5"/>
      <c r="R254" s="8"/>
      <c r="S254" s="5"/>
      <c r="T254" s="6"/>
      <c r="U254" s="8"/>
      <c r="V254" s="5"/>
      <c r="W254" s="6"/>
      <c r="X254" s="5"/>
      <c r="Y254" s="8"/>
      <c r="Z254" s="6"/>
      <c r="AA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5"/>
      <c r="O255" s="5"/>
      <c r="P255" s="8"/>
      <c r="Q255" s="5"/>
      <c r="R255" s="8"/>
      <c r="S255" s="5"/>
      <c r="T255" s="6"/>
      <c r="U255" s="8"/>
      <c r="V255" s="5"/>
      <c r="W255" s="6"/>
      <c r="X255" s="5"/>
      <c r="Y255" s="8"/>
      <c r="Z255" s="6"/>
      <c r="AA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5"/>
      <c r="O256" s="5"/>
      <c r="P256" s="8"/>
      <c r="Q256" s="5"/>
      <c r="R256" s="8"/>
      <c r="S256" s="5"/>
      <c r="T256" s="6"/>
      <c r="U256" s="8"/>
      <c r="V256" s="5"/>
      <c r="W256" s="6"/>
      <c r="X256" s="5"/>
      <c r="Y256" s="8"/>
      <c r="Z256" s="6"/>
      <c r="AA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5"/>
      <c r="O257" s="5"/>
      <c r="P257" s="8"/>
      <c r="Q257" s="5"/>
      <c r="R257" s="8"/>
      <c r="S257" s="5"/>
      <c r="T257" s="6"/>
      <c r="U257" s="8"/>
      <c r="V257" s="5"/>
      <c r="W257" s="6"/>
      <c r="X257" s="5"/>
      <c r="Y257" s="8"/>
      <c r="Z257" s="6"/>
      <c r="AA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5"/>
      <c r="O258" s="5"/>
      <c r="P258" s="8"/>
      <c r="Q258" s="5"/>
      <c r="R258" s="8"/>
      <c r="S258" s="5"/>
      <c r="T258" s="6"/>
      <c r="U258" s="8"/>
      <c r="V258" s="5"/>
      <c r="W258" s="6"/>
      <c r="X258" s="5"/>
      <c r="Y258" s="8"/>
      <c r="Z258" s="6"/>
      <c r="AA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5"/>
      <c r="O259" s="5"/>
      <c r="P259" s="8"/>
      <c r="Q259" s="5"/>
      <c r="R259" s="8"/>
      <c r="S259" s="5"/>
      <c r="T259" s="6"/>
      <c r="U259" s="8"/>
      <c r="V259" s="5"/>
      <c r="W259" s="6"/>
      <c r="X259" s="5"/>
      <c r="Y259" s="8"/>
      <c r="Z259" s="6"/>
      <c r="AA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5"/>
      <c r="O260" s="5"/>
      <c r="P260" s="8"/>
      <c r="Q260" s="5"/>
      <c r="R260" s="8"/>
      <c r="S260" s="5"/>
      <c r="T260" s="6"/>
      <c r="U260" s="8"/>
      <c r="V260" s="5"/>
      <c r="W260" s="6"/>
      <c r="X260" s="5"/>
      <c r="Y260" s="8"/>
      <c r="Z260" s="6"/>
      <c r="AA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5"/>
      <c r="O261" s="5"/>
      <c r="P261" s="8"/>
      <c r="Q261" s="5"/>
      <c r="R261" s="8"/>
      <c r="S261" s="5"/>
      <c r="T261" s="6"/>
      <c r="U261" s="8"/>
      <c r="V261" s="5"/>
      <c r="W261" s="6"/>
      <c r="X261" s="5"/>
      <c r="Y261" s="8"/>
      <c r="Z261" s="6"/>
      <c r="AA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5"/>
      <c r="O262" s="5"/>
      <c r="P262" s="8"/>
      <c r="Q262" s="5"/>
      <c r="R262" s="8"/>
      <c r="S262" s="5"/>
      <c r="T262" s="6"/>
      <c r="U262" s="8"/>
      <c r="V262" s="5"/>
      <c r="W262" s="6"/>
      <c r="X262" s="5"/>
      <c r="Y262" s="8"/>
      <c r="Z262" s="6"/>
      <c r="AA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5"/>
      <c r="O263" s="5"/>
      <c r="P263" s="8"/>
      <c r="Q263" s="5"/>
      <c r="R263" s="8"/>
      <c r="S263" s="5"/>
      <c r="T263" s="6"/>
      <c r="U263" s="8"/>
      <c r="V263" s="5"/>
      <c r="W263" s="6"/>
      <c r="X263" s="5"/>
      <c r="Y263" s="8"/>
      <c r="Z263" s="6"/>
      <c r="AA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5"/>
      <c r="O264" s="5"/>
      <c r="P264" s="8"/>
      <c r="Q264" s="5"/>
      <c r="R264" s="8"/>
      <c r="S264" s="5"/>
      <c r="T264" s="6"/>
      <c r="U264" s="8"/>
      <c r="V264" s="5"/>
      <c r="W264" s="6"/>
      <c r="X264" s="5"/>
      <c r="Y264" s="8"/>
      <c r="Z264" s="6"/>
      <c r="AA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5"/>
      <c r="O265" s="5"/>
      <c r="P265" s="8"/>
      <c r="Q265" s="5"/>
      <c r="R265" s="8"/>
      <c r="S265" s="5"/>
      <c r="T265" s="6"/>
      <c r="U265" s="8"/>
      <c r="V265" s="5"/>
      <c r="W265" s="6"/>
      <c r="X265" s="5"/>
      <c r="Y265" s="8"/>
      <c r="Z265" s="6"/>
      <c r="AA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5"/>
      <c r="O266" s="5"/>
      <c r="P266" s="8"/>
      <c r="Q266" s="5"/>
      <c r="R266" s="8"/>
      <c r="S266" s="5"/>
      <c r="T266" s="6"/>
      <c r="U266" s="8"/>
      <c r="V266" s="5"/>
      <c r="W266" s="6"/>
      <c r="X266" s="5"/>
      <c r="Y266" s="8"/>
      <c r="Z266" s="6"/>
      <c r="AA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5"/>
      <c r="O267" s="5"/>
      <c r="P267" s="8"/>
      <c r="Q267" s="5"/>
      <c r="R267" s="8"/>
      <c r="S267" s="5"/>
      <c r="T267" s="6"/>
      <c r="U267" s="8"/>
      <c r="V267" s="5"/>
      <c r="W267" s="6"/>
      <c r="X267" s="5"/>
      <c r="Y267" s="8"/>
      <c r="Z267" s="6"/>
      <c r="AA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5"/>
      <c r="O268" s="5"/>
      <c r="P268" s="8"/>
      <c r="Q268" s="5"/>
      <c r="R268" s="8"/>
      <c r="S268" s="5"/>
      <c r="T268" s="6"/>
      <c r="U268" s="8"/>
      <c r="V268" s="5"/>
      <c r="W268" s="6"/>
      <c r="X268" s="5"/>
      <c r="Y268" s="8"/>
      <c r="Z268" s="6"/>
      <c r="AA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5"/>
      <c r="O269" s="5"/>
      <c r="P269" s="8"/>
      <c r="Q269" s="5"/>
      <c r="R269" s="8"/>
      <c r="S269" s="5"/>
      <c r="T269" s="6"/>
      <c r="U269" s="8"/>
      <c r="V269" s="5"/>
      <c r="W269" s="6"/>
      <c r="X269" s="5"/>
      <c r="Y269" s="8"/>
      <c r="Z269" s="6"/>
      <c r="AA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5"/>
      <c r="O270" s="5"/>
      <c r="P270" s="8"/>
      <c r="Q270" s="5"/>
      <c r="R270" s="8"/>
      <c r="S270" s="5"/>
      <c r="T270" s="6"/>
      <c r="U270" s="8"/>
      <c r="V270" s="5"/>
      <c r="W270" s="6"/>
      <c r="X270" s="5"/>
      <c r="Y270" s="8"/>
      <c r="Z270" s="6"/>
      <c r="AA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5"/>
      <c r="O271" s="5"/>
      <c r="P271" s="8"/>
      <c r="Q271" s="5"/>
      <c r="R271" s="8"/>
      <c r="S271" s="5"/>
      <c r="T271" s="6"/>
      <c r="U271" s="8"/>
      <c r="V271" s="5"/>
      <c r="W271" s="6"/>
      <c r="X271" s="5"/>
      <c r="Y271" s="8"/>
      <c r="Z271" s="6"/>
      <c r="AA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5"/>
      <c r="O272" s="5"/>
      <c r="P272" s="8"/>
      <c r="Q272" s="5"/>
      <c r="R272" s="8"/>
      <c r="S272" s="5"/>
      <c r="T272" s="6"/>
      <c r="U272" s="8"/>
      <c r="V272" s="5"/>
      <c r="W272" s="6"/>
      <c r="X272" s="5"/>
      <c r="Y272" s="8"/>
      <c r="Z272" s="6"/>
      <c r="AA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5"/>
      <c r="O273" s="5"/>
      <c r="P273" s="8"/>
      <c r="Q273" s="5"/>
      <c r="R273" s="8"/>
      <c r="S273" s="5"/>
      <c r="T273" s="6"/>
      <c r="U273" s="8"/>
      <c r="V273" s="5"/>
      <c r="W273" s="6"/>
      <c r="X273" s="5"/>
      <c r="Y273" s="8"/>
      <c r="Z273" s="6"/>
      <c r="AA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5"/>
      <c r="O274" s="5"/>
      <c r="P274" s="8"/>
      <c r="Q274" s="5"/>
      <c r="R274" s="8"/>
      <c r="S274" s="5"/>
      <c r="T274" s="6"/>
      <c r="U274" s="8"/>
      <c r="V274" s="5"/>
      <c r="W274" s="6"/>
      <c r="X274" s="5"/>
      <c r="Y274" s="8"/>
      <c r="Z274" s="6"/>
      <c r="AA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5"/>
      <c r="O275" s="5"/>
      <c r="P275" s="8"/>
      <c r="Q275" s="5"/>
      <c r="R275" s="8"/>
      <c r="S275" s="5"/>
      <c r="T275" s="6"/>
      <c r="U275" s="8"/>
      <c r="V275" s="5"/>
      <c r="W275" s="6"/>
      <c r="X275" s="5"/>
      <c r="Y275" s="8"/>
      <c r="Z275" s="6"/>
      <c r="AA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5"/>
      <c r="O276" s="5"/>
      <c r="P276" s="8"/>
      <c r="Q276" s="5"/>
      <c r="R276" s="8"/>
      <c r="S276" s="5"/>
      <c r="T276" s="6"/>
      <c r="U276" s="8"/>
      <c r="V276" s="5"/>
      <c r="W276" s="6"/>
      <c r="X276" s="5"/>
      <c r="Y276" s="8"/>
      <c r="Z276" s="6"/>
      <c r="AA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5"/>
      <c r="O277" s="5"/>
      <c r="P277" s="8"/>
      <c r="Q277" s="5"/>
      <c r="R277" s="8"/>
      <c r="S277" s="5"/>
      <c r="T277" s="6"/>
      <c r="U277" s="8"/>
      <c r="V277" s="5"/>
      <c r="W277" s="6"/>
      <c r="X277" s="5"/>
      <c r="Y277" s="8"/>
      <c r="Z277" s="6"/>
      <c r="AA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5"/>
      <c r="O278" s="5"/>
      <c r="P278" s="8"/>
      <c r="Q278" s="5"/>
      <c r="R278" s="8"/>
      <c r="S278" s="5"/>
      <c r="T278" s="6"/>
      <c r="U278" s="8"/>
      <c r="V278" s="5"/>
      <c r="W278" s="6"/>
      <c r="X278" s="5"/>
      <c r="Y278" s="8"/>
      <c r="Z278" s="6"/>
      <c r="AA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5"/>
      <c r="O279" s="5"/>
      <c r="P279" s="8"/>
      <c r="Q279" s="5"/>
      <c r="R279" s="8"/>
      <c r="S279" s="5"/>
      <c r="T279" s="6"/>
      <c r="U279" s="8"/>
      <c r="V279" s="5"/>
      <c r="W279" s="6"/>
      <c r="X279" s="5"/>
      <c r="Y279" s="8"/>
      <c r="Z279" s="6"/>
      <c r="AA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5"/>
      <c r="O280" s="5"/>
      <c r="P280" s="8"/>
      <c r="Q280" s="5"/>
      <c r="R280" s="8"/>
      <c r="S280" s="5"/>
      <c r="T280" s="6"/>
      <c r="U280" s="8"/>
      <c r="V280" s="5"/>
      <c r="W280" s="6"/>
      <c r="X280" s="5"/>
      <c r="Y280" s="8"/>
      <c r="Z280" s="6"/>
      <c r="AA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5"/>
      <c r="O281" s="5"/>
      <c r="P281" s="8"/>
      <c r="Q281" s="5"/>
      <c r="R281" s="8"/>
      <c r="S281" s="5"/>
      <c r="T281" s="6"/>
      <c r="U281" s="8"/>
      <c r="V281" s="5"/>
      <c r="W281" s="6"/>
      <c r="X281" s="5"/>
      <c r="Y281" s="8"/>
      <c r="Z281" s="6"/>
      <c r="AA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5"/>
      <c r="O282" s="5"/>
      <c r="P282" s="8"/>
      <c r="Q282" s="5"/>
      <c r="R282" s="8"/>
      <c r="S282" s="5"/>
      <c r="T282" s="6"/>
      <c r="U282" s="8"/>
      <c r="V282" s="5"/>
      <c r="W282" s="6"/>
      <c r="X282" s="5"/>
      <c r="Y282" s="8"/>
      <c r="Z282" s="6"/>
      <c r="AA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5"/>
      <c r="O283" s="5"/>
      <c r="P283" s="8"/>
      <c r="Q283" s="5"/>
      <c r="R283" s="8"/>
      <c r="S283" s="5"/>
      <c r="T283" s="6"/>
      <c r="U283" s="8"/>
      <c r="V283" s="5"/>
      <c r="W283" s="6"/>
      <c r="X283" s="5"/>
      <c r="Y283" s="8"/>
      <c r="Z283" s="6"/>
      <c r="AA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5"/>
      <c r="O284" s="5"/>
      <c r="P284" s="8"/>
      <c r="Q284" s="5"/>
      <c r="R284" s="8"/>
      <c r="S284" s="5"/>
      <c r="T284" s="6"/>
      <c r="U284" s="8"/>
      <c r="V284" s="5"/>
      <c r="W284" s="6"/>
      <c r="X284" s="5"/>
      <c r="Y284" s="8"/>
      <c r="Z284" s="6"/>
      <c r="AA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5"/>
      <c r="O285" s="5"/>
      <c r="P285" s="8"/>
      <c r="Q285" s="5"/>
      <c r="R285" s="8"/>
      <c r="S285" s="5"/>
      <c r="T285" s="6"/>
      <c r="U285" s="8"/>
      <c r="V285" s="5"/>
      <c r="W285" s="6"/>
      <c r="X285" s="5"/>
      <c r="Y285" s="8"/>
      <c r="Z285" s="6"/>
      <c r="AA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5"/>
      <c r="O286" s="5"/>
      <c r="P286" s="8"/>
      <c r="Q286" s="5"/>
      <c r="R286" s="8"/>
      <c r="S286" s="5"/>
      <c r="T286" s="6"/>
      <c r="U286" s="8"/>
      <c r="V286" s="5"/>
      <c r="W286" s="6"/>
      <c r="X286" s="5"/>
      <c r="Y286" s="8"/>
      <c r="Z286" s="6"/>
      <c r="AA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5"/>
      <c r="O287" s="5"/>
      <c r="P287" s="8"/>
      <c r="Q287" s="5"/>
      <c r="R287" s="8"/>
      <c r="S287" s="5"/>
      <c r="T287" s="6"/>
      <c r="U287" s="8"/>
      <c r="V287" s="5"/>
      <c r="W287" s="6"/>
      <c r="X287" s="5"/>
      <c r="Y287" s="8"/>
      <c r="Z287" s="6"/>
      <c r="AA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5"/>
      <c r="O288" s="5"/>
      <c r="P288" s="8"/>
      <c r="Q288" s="5"/>
      <c r="R288" s="8"/>
      <c r="S288" s="5"/>
      <c r="T288" s="6"/>
      <c r="U288" s="8"/>
      <c r="V288" s="5"/>
      <c r="W288" s="6"/>
      <c r="X288" s="5"/>
      <c r="Y288" s="8"/>
      <c r="Z288" s="6"/>
      <c r="AA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5"/>
      <c r="O289" s="5"/>
      <c r="P289" s="8"/>
      <c r="Q289" s="5"/>
      <c r="R289" s="8"/>
      <c r="S289" s="5"/>
      <c r="T289" s="6"/>
      <c r="U289" s="8"/>
      <c r="V289" s="5"/>
      <c r="W289" s="6"/>
      <c r="X289" s="5"/>
      <c r="Y289" s="8"/>
      <c r="Z289" s="6"/>
      <c r="AA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5"/>
      <c r="O290" s="5"/>
      <c r="P290" s="8"/>
      <c r="Q290" s="5"/>
      <c r="R290" s="8"/>
      <c r="S290" s="5"/>
      <c r="T290" s="6"/>
      <c r="U290" s="8"/>
      <c r="V290" s="5"/>
      <c r="W290" s="6"/>
      <c r="X290" s="5"/>
      <c r="Y290" s="8"/>
      <c r="Z290" s="6"/>
      <c r="AA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5"/>
      <c r="O291" s="5"/>
      <c r="P291" s="8"/>
      <c r="Q291" s="5"/>
      <c r="R291" s="8"/>
      <c r="S291" s="5"/>
      <c r="T291" s="6"/>
      <c r="U291" s="8"/>
      <c r="V291" s="5"/>
      <c r="W291" s="6"/>
      <c r="X291" s="5"/>
      <c r="Y291" s="8"/>
      <c r="Z291" s="6"/>
      <c r="AA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5"/>
      <c r="O292" s="5"/>
      <c r="P292" s="8"/>
      <c r="Q292" s="5"/>
      <c r="R292" s="8"/>
      <c r="S292" s="5"/>
      <c r="T292" s="6"/>
      <c r="U292" s="8"/>
      <c r="V292" s="5"/>
      <c r="W292" s="6"/>
      <c r="X292" s="5"/>
      <c r="Y292" s="8"/>
      <c r="Z292" s="6"/>
      <c r="AA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5"/>
      <c r="O293" s="5"/>
      <c r="P293" s="8"/>
      <c r="Q293" s="5"/>
      <c r="R293" s="8"/>
      <c r="S293" s="5"/>
      <c r="T293" s="6"/>
      <c r="U293" s="8"/>
      <c r="V293" s="5"/>
      <c r="W293" s="6"/>
      <c r="X293" s="5"/>
      <c r="Y293" s="8"/>
      <c r="Z293" s="6"/>
      <c r="AA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5"/>
      <c r="O294" s="5"/>
      <c r="P294" s="8"/>
      <c r="Q294" s="5"/>
      <c r="R294" s="8"/>
      <c r="S294" s="5"/>
      <c r="T294" s="6"/>
      <c r="U294" s="8"/>
      <c r="V294" s="5"/>
      <c r="W294" s="6"/>
      <c r="X294" s="5"/>
      <c r="Y294" s="8"/>
      <c r="Z294" s="6"/>
      <c r="AA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5"/>
      <c r="O295" s="5"/>
      <c r="P295" s="8"/>
      <c r="Q295" s="5"/>
      <c r="R295" s="8"/>
      <c r="S295" s="5"/>
      <c r="T295" s="6"/>
      <c r="U295" s="8"/>
      <c r="V295" s="5"/>
      <c r="W295" s="6"/>
      <c r="X295" s="5"/>
      <c r="Y295" s="8"/>
      <c r="Z295" s="6"/>
      <c r="AA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5"/>
      <c r="O296" s="5"/>
      <c r="P296" s="8"/>
      <c r="Q296" s="5"/>
      <c r="R296" s="8"/>
      <c r="S296" s="5"/>
      <c r="T296" s="6"/>
      <c r="U296" s="8"/>
      <c r="V296" s="5"/>
      <c r="W296" s="6"/>
      <c r="X296" s="5"/>
      <c r="Y296" s="8"/>
      <c r="Z296" s="6"/>
      <c r="AA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5"/>
      <c r="O297" s="5"/>
      <c r="P297" s="8"/>
      <c r="Q297" s="5"/>
      <c r="R297" s="8"/>
      <c r="S297" s="5"/>
      <c r="T297" s="6"/>
      <c r="U297" s="8"/>
      <c r="V297" s="5"/>
      <c r="W297" s="6"/>
      <c r="X297" s="5"/>
      <c r="Y297" s="8"/>
      <c r="Z297" s="6"/>
      <c r="AA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5"/>
      <c r="O298" s="5"/>
      <c r="P298" s="8"/>
      <c r="Q298" s="5"/>
      <c r="R298" s="8"/>
      <c r="S298" s="5"/>
      <c r="T298" s="6"/>
      <c r="U298" s="8"/>
      <c r="V298" s="5"/>
      <c r="W298" s="6"/>
      <c r="X298" s="5"/>
      <c r="Y298" s="8"/>
      <c r="Z298" s="6"/>
      <c r="AA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5"/>
      <c r="O299" s="5"/>
      <c r="P299" s="8"/>
      <c r="Q299" s="5"/>
      <c r="R299" s="8"/>
      <c r="S299" s="5"/>
      <c r="T299" s="6"/>
      <c r="U299" s="8"/>
      <c r="V299" s="5"/>
      <c r="W299" s="6"/>
      <c r="X299" s="5"/>
      <c r="Y299" s="8"/>
      <c r="Z299" s="6"/>
      <c r="AA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5"/>
      <c r="O300" s="5"/>
      <c r="P300" s="8"/>
      <c r="Q300" s="5"/>
      <c r="R300" s="8"/>
      <c r="S300" s="5"/>
      <c r="T300" s="6"/>
      <c r="U300" s="8"/>
      <c r="V300" s="5"/>
      <c r="W300" s="6"/>
      <c r="X300" s="5"/>
      <c r="Y300" s="8"/>
      <c r="Z300" s="6"/>
      <c r="AA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5"/>
      <c r="O301" s="5"/>
      <c r="P301" s="8"/>
      <c r="Q301" s="5"/>
      <c r="R301" s="8"/>
      <c r="S301" s="5"/>
      <c r="T301" s="6"/>
      <c r="U301" s="8"/>
      <c r="V301" s="5"/>
      <c r="W301" s="6"/>
      <c r="X301" s="5"/>
      <c r="Y301" s="8"/>
      <c r="Z301" s="6"/>
      <c r="AA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5"/>
      <c r="O302" s="5"/>
      <c r="P302" s="8"/>
      <c r="Q302" s="5"/>
      <c r="R302" s="8"/>
      <c r="S302" s="5"/>
      <c r="T302" s="6"/>
      <c r="U302" s="8"/>
      <c r="V302" s="5"/>
      <c r="W302" s="6"/>
      <c r="X302" s="5"/>
      <c r="Y302" s="8"/>
      <c r="Z302" s="6"/>
      <c r="AA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5"/>
      <c r="O303" s="5"/>
      <c r="P303" s="8"/>
      <c r="Q303" s="5"/>
      <c r="R303" s="8"/>
      <c r="S303" s="5"/>
      <c r="T303" s="6"/>
      <c r="U303" s="8"/>
      <c r="V303" s="5"/>
      <c r="W303" s="6"/>
      <c r="X303" s="5"/>
      <c r="Y303" s="8"/>
      <c r="Z303" s="6"/>
      <c r="AA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5"/>
      <c r="O304" s="5"/>
      <c r="P304" s="8"/>
      <c r="Q304" s="5"/>
      <c r="R304" s="8"/>
      <c r="S304" s="5"/>
      <c r="T304" s="6"/>
      <c r="U304" s="8"/>
      <c r="V304" s="5"/>
      <c r="W304" s="6"/>
      <c r="X304" s="5"/>
      <c r="Y304" s="8"/>
      <c r="Z304" s="6"/>
      <c r="AA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5"/>
      <c r="O305" s="5"/>
      <c r="P305" s="8"/>
      <c r="Q305" s="5"/>
      <c r="R305" s="8"/>
      <c r="S305" s="5"/>
      <c r="T305" s="6"/>
      <c r="U305" s="8"/>
      <c r="V305" s="5"/>
      <c r="W305" s="6"/>
      <c r="X305" s="5"/>
      <c r="Y305" s="8"/>
      <c r="Z305" s="6"/>
      <c r="AA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5"/>
      <c r="O306" s="5"/>
      <c r="P306" s="8"/>
      <c r="Q306" s="5"/>
      <c r="R306" s="8"/>
      <c r="S306" s="5"/>
      <c r="T306" s="6"/>
      <c r="U306" s="8"/>
      <c r="V306" s="5"/>
      <c r="W306" s="6"/>
      <c r="X306" s="5"/>
      <c r="Y306" s="8"/>
      <c r="Z306" s="6"/>
      <c r="AA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5"/>
      <c r="O307" s="5"/>
      <c r="P307" s="8"/>
      <c r="Q307" s="5"/>
      <c r="R307" s="8"/>
      <c r="S307" s="5"/>
      <c r="T307" s="6"/>
      <c r="U307" s="8"/>
      <c r="V307" s="5"/>
      <c r="W307" s="6"/>
      <c r="X307" s="5"/>
      <c r="Y307" s="8"/>
      <c r="Z307" s="6"/>
      <c r="AA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5"/>
      <c r="O308" s="5"/>
      <c r="P308" s="8"/>
      <c r="Q308" s="5"/>
      <c r="R308" s="8"/>
      <c r="S308" s="5"/>
      <c r="T308" s="6"/>
      <c r="U308" s="8"/>
      <c r="V308" s="5"/>
      <c r="W308" s="6"/>
      <c r="X308" s="5"/>
      <c r="Y308" s="8"/>
      <c r="Z308" s="6"/>
      <c r="AA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5"/>
      <c r="O309" s="5"/>
      <c r="P309" s="8"/>
      <c r="Q309" s="5"/>
      <c r="R309" s="8"/>
      <c r="S309" s="5"/>
      <c r="T309" s="6"/>
      <c r="U309" s="8"/>
      <c r="V309" s="5"/>
      <c r="W309" s="6"/>
      <c r="X309" s="5"/>
      <c r="Y309" s="8"/>
      <c r="Z309" s="6"/>
      <c r="AA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5"/>
      <c r="O310" s="5"/>
      <c r="P310" s="8"/>
      <c r="Q310" s="5"/>
      <c r="R310" s="8"/>
      <c r="S310" s="5"/>
      <c r="T310" s="6"/>
      <c r="U310" s="8"/>
      <c r="V310" s="5"/>
      <c r="W310" s="6"/>
      <c r="X310" s="5"/>
      <c r="Y310" s="8"/>
      <c r="Z310" s="6"/>
      <c r="AA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5"/>
      <c r="O311" s="5"/>
      <c r="P311" s="8"/>
      <c r="Q311" s="5"/>
      <c r="R311" s="8"/>
      <c r="S311" s="5"/>
      <c r="T311" s="6"/>
      <c r="U311" s="8"/>
      <c r="V311" s="5"/>
      <c r="W311" s="6"/>
      <c r="X311" s="5"/>
      <c r="Y311" s="8"/>
      <c r="Z311" s="6"/>
      <c r="AA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5"/>
      <c r="O312" s="5"/>
      <c r="P312" s="8"/>
      <c r="Q312" s="5"/>
      <c r="R312" s="8"/>
      <c r="S312" s="5"/>
      <c r="T312" s="6"/>
      <c r="U312" s="8"/>
      <c r="V312" s="5"/>
      <c r="W312" s="6"/>
      <c r="X312" s="5"/>
      <c r="Y312" s="8"/>
      <c r="Z312" s="6"/>
      <c r="AA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5"/>
      <c r="O313" s="5"/>
      <c r="P313" s="8"/>
      <c r="Q313" s="5"/>
      <c r="R313" s="8"/>
      <c r="S313" s="5"/>
      <c r="T313" s="6"/>
      <c r="U313" s="8"/>
      <c r="V313" s="5"/>
      <c r="W313" s="6"/>
      <c r="X313" s="5"/>
      <c r="Y313" s="8"/>
      <c r="Z313" s="6"/>
      <c r="AA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5"/>
      <c r="O314" s="5"/>
      <c r="P314" s="8"/>
      <c r="Q314" s="5"/>
      <c r="R314" s="8"/>
      <c r="S314" s="5"/>
      <c r="T314" s="6"/>
      <c r="U314" s="8"/>
      <c r="V314" s="5"/>
      <c r="W314" s="6"/>
      <c r="X314" s="5"/>
      <c r="Y314" s="8"/>
      <c r="Z314" s="6"/>
      <c r="AA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5"/>
      <c r="O315" s="5"/>
      <c r="P315" s="8"/>
      <c r="Q315" s="5"/>
      <c r="R315" s="8"/>
      <c r="S315" s="5"/>
      <c r="T315" s="6"/>
      <c r="U315" s="8"/>
      <c r="V315" s="5"/>
      <c r="W315" s="6"/>
      <c r="X315" s="5"/>
      <c r="Y315" s="8"/>
      <c r="Z315" s="6"/>
      <c r="AA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5"/>
      <c r="O316" s="5"/>
      <c r="P316" s="8"/>
      <c r="Q316" s="5"/>
      <c r="R316" s="8"/>
      <c r="S316" s="5"/>
      <c r="T316" s="6"/>
      <c r="U316" s="8"/>
      <c r="V316" s="5"/>
      <c r="W316" s="6"/>
      <c r="X316" s="5"/>
      <c r="Y316" s="8"/>
      <c r="Z316" s="6"/>
      <c r="AA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5"/>
      <c r="O317" s="5"/>
      <c r="P317" s="8"/>
      <c r="Q317" s="5"/>
      <c r="R317" s="8"/>
      <c r="S317" s="5"/>
      <c r="T317" s="6"/>
      <c r="U317" s="8"/>
      <c r="V317" s="5"/>
      <c r="W317" s="6"/>
      <c r="X317" s="5"/>
      <c r="Y317" s="8"/>
      <c r="Z317" s="6"/>
      <c r="AA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5"/>
      <c r="O318" s="5"/>
      <c r="P318" s="8"/>
      <c r="Q318" s="5"/>
      <c r="R318" s="8"/>
      <c r="S318" s="5"/>
      <c r="T318" s="6"/>
      <c r="U318" s="8"/>
      <c r="V318" s="5"/>
      <c r="W318" s="6"/>
      <c r="X318" s="5"/>
      <c r="Y318" s="8"/>
      <c r="Z318" s="6"/>
      <c r="AA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5"/>
      <c r="O319" s="5"/>
      <c r="P319" s="8"/>
      <c r="Q319" s="5"/>
      <c r="R319" s="8"/>
      <c r="S319" s="5"/>
      <c r="T319" s="6"/>
      <c r="U319" s="8"/>
      <c r="V319" s="5"/>
      <c r="W319" s="6"/>
      <c r="X319" s="5"/>
      <c r="Y319" s="8"/>
      <c r="Z319" s="6"/>
      <c r="AA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5"/>
      <c r="O320" s="5"/>
      <c r="P320" s="8"/>
      <c r="Q320" s="5"/>
      <c r="R320" s="8"/>
      <c r="S320" s="5"/>
      <c r="T320" s="6"/>
      <c r="U320" s="8"/>
      <c r="V320" s="5"/>
      <c r="W320" s="6"/>
      <c r="X320" s="5"/>
      <c r="Y320" s="8"/>
      <c r="Z320" s="6"/>
      <c r="AA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5"/>
      <c r="O321" s="5"/>
      <c r="P321" s="8"/>
      <c r="Q321" s="5"/>
      <c r="R321" s="8"/>
      <c r="S321" s="5"/>
      <c r="T321" s="6"/>
      <c r="U321" s="8"/>
      <c r="V321" s="5"/>
      <c r="W321" s="6"/>
      <c r="X321" s="5"/>
      <c r="Y321" s="8"/>
      <c r="Z321" s="6"/>
      <c r="AA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5"/>
      <c r="O322" s="5"/>
      <c r="P322" s="8"/>
      <c r="Q322" s="5"/>
      <c r="R322" s="8"/>
      <c r="S322" s="5"/>
      <c r="T322" s="6"/>
      <c r="U322" s="8"/>
      <c r="V322" s="5"/>
      <c r="W322" s="6"/>
      <c r="X322" s="5"/>
      <c r="Y322" s="8"/>
      <c r="Z322" s="6"/>
      <c r="AA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5"/>
      <c r="O323" s="5"/>
      <c r="P323" s="8"/>
      <c r="Q323" s="5"/>
      <c r="R323" s="8"/>
      <c r="S323" s="5"/>
      <c r="T323" s="6"/>
      <c r="U323" s="8"/>
      <c r="V323" s="5"/>
      <c r="W323" s="6"/>
      <c r="X323" s="5"/>
      <c r="Y323" s="8"/>
      <c r="Z323" s="6"/>
      <c r="AA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5"/>
      <c r="O324" s="5"/>
      <c r="P324" s="8"/>
      <c r="Q324" s="5"/>
      <c r="R324" s="8"/>
      <c r="S324" s="5"/>
      <c r="T324" s="6"/>
      <c r="U324" s="8"/>
      <c r="V324" s="5"/>
      <c r="W324" s="6"/>
      <c r="X324" s="5"/>
      <c r="Y324" s="8"/>
      <c r="Z324" s="6"/>
      <c r="AA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5"/>
      <c r="O325" s="5"/>
      <c r="P325" s="8"/>
      <c r="Q325" s="5"/>
      <c r="R325" s="8"/>
      <c r="S325" s="5"/>
      <c r="T325" s="6"/>
      <c r="U325" s="8"/>
      <c r="V325" s="5"/>
      <c r="W325" s="6"/>
      <c r="X325" s="5"/>
      <c r="Y325" s="8"/>
      <c r="Z325" s="6"/>
      <c r="AA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5"/>
      <c r="O326" s="5"/>
      <c r="P326" s="8"/>
      <c r="Q326" s="5"/>
      <c r="R326" s="8"/>
      <c r="S326" s="5"/>
      <c r="T326" s="6"/>
      <c r="U326" s="8"/>
      <c r="V326" s="5"/>
      <c r="W326" s="6"/>
      <c r="X326" s="5"/>
      <c r="Y326" s="8"/>
      <c r="Z326" s="6"/>
      <c r="AA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5"/>
      <c r="O327" s="5"/>
      <c r="P327" s="8"/>
      <c r="Q327" s="5"/>
      <c r="R327" s="8"/>
      <c r="S327" s="5"/>
      <c r="T327" s="6"/>
      <c r="U327" s="8"/>
      <c r="V327" s="5"/>
      <c r="W327" s="6"/>
      <c r="X327" s="5"/>
      <c r="Y327" s="8"/>
      <c r="Z327" s="6"/>
      <c r="AA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5"/>
      <c r="O328" s="5"/>
      <c r="P328" s="8"/>
      <c r="Q328" s="5"/>
      <c r="R328" s="8"/>
      <c r="S328" s="5"/>
      <c r="T328" s="6"/>
      <c r="U328" s="8"/>
      <c r="V328" s="5"/>
      <c r="W328" s="6"/>
      <c r="X328" s="5"/>
      <c r="Y328" s="8"/>
      <c r="Z328" s="6"/>
      <c r="AA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5"/>
      <c r="O329" s="5"/>
      <c r="P329" s="8"/>
      <c r="Q329" s="5"/>
      <c r="R329" s="8"/>
      <c r="S329" s="5"/>
      <c r="T329" s="6"/>
      <c r="U329" s="8"/>
      <c r="V329" s="5"/>
      <c r="W329" s="6"/>
      <c r="X329" s="5"/>
      <c r="Y329" s="8"/>
      <c r="Z329" s="6"/>
      <c r="AA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5"/>
      <c r="O330" s="5"/>
      <c r="P330" s="8"/>
      <c r="Q330" s="5"/>
      <c r="R330" s="8"/>
      <c r="S330" s="5"/>
      <c r="T330" s="6"/>
      <c r="U330" s="8"/>
      <c r="V330" s="5"/>
      <c r="W330" s="6"/>
      <c r="X330" s="5"/>
      <c r="Y330" s="8"/>
      <c r="Z330" s="6"/>
      <c r="AA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5"/>
      <c r="O331" s="5"/>
      <c r="P331" s="8"/>
      <c r="Q331" s="5"/>
      <c r="R331" s="8"/>
      <c r="S331" s="5"/>
      <c r="T331" s="6"/>
      <c r="U331" s="8"/>
      <c r="V331" s="5"/>
      <c r="W331" s="6"/>
      <c r="X331" s="5"/>
      <c r="Y331" s="8"/>
      <c r="Z331" s="6"/>
      <c r="AA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5"/>
      <c r="O332" s="5"/>
      <c r="P332" s="8"/>
      <c r="Q332" s="5"/>
      <c r="R332" s="8"/>
      <c r="S332" s="5"/>
      <c r="T332" s="6"/>
      <c r="U332" s="8"/>
      <c r="V332" s="5"/>
      <c r="W332" s="6"/>
      <c r="X332" s="5"/>
      <c r="Y332" s="8"/>
      <c r="Z332" s="6"/>
      <c r="AA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5"/>
      <c r="O333" s="5"/>
      <c r="P333" s="8"/>
      <c r="Q333" s="5"/>
      <c r="R333" s="8"/>
      <c r="S333" s="5"/>
      <c r="T333" s="6"/>
      <c r="U333" s="8"/>
      <c r="V333" s="5"/>
      <c r="W333" s="6"/>
      <c r="X333" s="5"/>
      <c r="Y333" s="8"/>
      <c r="Z333" s="6"/>
      <c r="AA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5"/>
      <c r="O334" s="5"/>
      <c r="P334" s="8"/>
      <c r="Q334" s="5"/>
      <c r="R334" s="8"/>
      <c r="S334" s="5"/>
      <c r="T334" s="6"/>
      <c r="U334" s="8"/>
      <c r="V334" s="5"/>
      <c r="W334" s="6"/>
      <c r="X334" s="5"/>
      <c r="Y334" s="8"/>
      <c r="Z334" s="6"/>
      <c r="AA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5"/>
      <c r="O335" s="5"/>
      <c r="P335" s="8"/>
      <c r="Q335" s="5"/>
      <c r="R335" s="8"/>
      <c r="S335" s="5"/>
      <c r="T335" s="6"/>
      <c r="U335" s="8"/>
      <c r="V335" s="5"/>
      <c r="W335" s="6"/>
      <c r="X335" s="5"/>
      <c r="Y335" s="8"/>
      <c r="Z335" s="6"/>
      <c r="AA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5"/>
      <c r="O336" s="5"/>
      <c r="P336" s="8"/>
      <c r="Q336" s="5"/>
      <c r="R336" s="8"/>
      <c r="S336" s="5"/>
      <c r="T336" s="6"/>
      <c r="U336" s="8"/>
      <c r="V336" s="5"/>
      <c r="W336" s="6"/>
      <c r="X336" s="5"/>
      <c r="Y336" s="8"/>
      <c r="Z336" s="6"/>
      <c r="AA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5"/>
      <c r="O337" s="5"/>
      <c r="P337" s="8"/>
      <c r="Q337" s="5"/>
      <c r="R337" s="8"/>
      <c r="S337" s="5"/>
      <c r="T337" s="6"/>
      <c r="U337" s="8"/>
      <c r="V337" s="5"/>
      <c r="W337" s="6"/>
      <c r="X337" s="5"/>
      <c r="Y337" s="8"/>
      <c r="Z337" s="6"/>
      <c r="AA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5"/>
      <c r="O338" s="5"/>
      <c r="P338" s="8"/>
      <c r="Q338" s="5"/>
      <c r="R338" s="8"/>
      <c r="S338" s="5"/>
      <c r="T338" s="6"/>
      <c r="U338" s="8"/>
      <c r="V338" s="5"/>
      <c r="W338" s="6"/>
      <c r="X338" s="5"/>
      <c r="Y338" s="8"/>
      <c r="Z338" s="6"/>
      <c r="AA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5"/>
      <c r="O339" s="5"/>
      <c r="P339" s="8"/>
      <c r="Q339" s="5"/>
      <c r="R339" s="8"/>
      <c r="S339" s="5"/>
      <c r="T339" s="6"/>
      <c r="U339" s="8"/>
      <c r="V339" s="5"/>
      <c r="W339" s="6"/>
      <c r="X339" s="5"/>
      <c r="Y339" s="8"/>
      <c r="Z339" s="6"/>
      <c r="AA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5"/>
      <c r="O340" s="5"/>
      <c r="P340" s="8"/>
      <c r="Q340" s="5"/>
      <c r="R340" s="8"/>
      <c r="S340" s="5"/>
      <c r="T340" s="6"/>
      <c r="U340" s="8"/>
      <c r="V340" s="5"/>
      <c r="W340" s="6"/>
      <c r="X340" s="5"/>
      <c r="Y340" s="8"/>
      <c r="Z340" s="6"/>
      <c r="AA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5"/>
      <c r="O341" s="5"/>
      <c r="P341" s="8"/>
      <c r="Q341" s="5"/>
      <c r="R341" s="8"/>
      <c r="S341" s="5"/>
      <c r="T341" s="6"/>
      <c r="U341" s="8"/>
      <c r="V341" s="5"/>
      <c r="W341" s="6"/>
      <c r="X341" s="5"/>
      <c r="Y341" s="8"/>
      <c r="Z341" s="6"/>
      <c r="AA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5"/>
      <c r="O342" s="5"/>
      <c r="P342" s="8"/>
      <c r="Q342" s="5"/>
      <c r="R342" s="8"/>
      <c r="S342" s="5"/>
      <c r="T342" s="6"/>
      <c r="U342" s="8"/>
      <c r="V342" s="5"/>
      <c r="W342" s="6"/>
      <c r="X342" s="5"/>
      <c r="Y342" s="8"/>
      <c r="Z342" s="6"/>
      <c r="AA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5"/>
      <c r="O343" s="5"/>
      <c r="P343" s="8"/>
      <c r="Q343" s="5"/>
      <c r="R343" s="8"/>
      <c r="S343" s="5"/>
      <c r="T343" s="6"/>
      <c r="U343" s="8"/>
      <c r="V343" s="5"/>
      <c r="W343" s="6"/>
      <c r="X343" s="5"/>
      <c r="Y343" s="8"/>
      <c r="Z343" s="6"/>
      <c r="AA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5"/>
      <c r="O344" s="5"/>
      <c r="P344" s="8"/>
      <c r="Q344" s="5"/>
      <c r="R344" s="8"/>
      <c r="S344" s="5"/>
      <c r="T344" s="6"/>
      <c r="U344" s="8"/>
      <c r="V344" s="5"/>
      <c r="W344" s="6"/>
      <c r="X344" s="5"/>
      <c r="Y344" s="8"/>
      <c r="Z344" s="6"/>
      <c r="AA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5"/>
      <c r="O345" s="5"/>
      <c r="P345" s="8"/>
      <c r="Q345" s="5"/>
      <c r="R345" s="8"/>
      <c r="S345" s="5"/>
      <c r="T345" s="6"/>
      <c r="U345" s="8"/>
      <c r="V345" s="5"/>
      <c r="W345" s="6"/>
      <c r="X345" s="5"/>
      <c r="Y345" s="8"/>
      <c r="Z345" s="6"/>
      <c r="AA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5"/>
      <c r="O346" s="5"/>
      <c r="P346" s="8"/>
      <c r="Q346" s="5"/>
      <c r="R346" s="8"/>
      <c r="S346" s="5"/>
      <c r="T346" s="6"/>
      <c r="U346" s="8"/>
      <c r="V346" s="5"/>
      <c r="W346" s="6"/>
      <c r="X346" s="5"/>
      <c r="Y346" s="8"/>
      <c r="Z346" s="6"/>
      <c r="AA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5"/>
      <c r="O347" s="5"/>
      <c r="P347" s="8"/>
      <c r="Q347" s="5"/>
      <c r="R347" s="8"/>
      <c r="S347" s="5"/>
      <c r="T347" s="6"/>
      <c r="U347" s="8"/>
      <c r="V347" s="5"/>
      <c r="W347" s="6"/>
      <c r="X347" s="5"/>
      <c r="Y347" s="8"/>
      <c r="Z347" s="6"/>
      <c r="AA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5"/>
      <c r="O348" s="5"/>
      <c r="P348" s="8"/>
      <c r="Q348" s="5"/>
      <c r="R348" s="8"/>
      <c r="S348" s="5"/>
      <c r="T348" s="6"/>
      <c r="U348" s="8"/>
      <c r="V348" s="5"/>
      <c r="W348" s="6"/>
      <c r="X348" s="5"/>
      <c r="Y348" s="8"/>
      <c r="Z348" s="6"/>
      <c r="AA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5"/>
      <c r="O349" s="5"/>
      <c r="P349" s="8"/>
      <c r="Q349" s="5"/>
      <c r="R349" s="8"/>
      <c r="S349" s="5"/>
      <c r="T349" s="6"/>
      <c r="U349" s="8"/>
      <c r="V349" s="5"/>
      <c r="W349" s="6"/>
      <c r="X349" s="5"/>
      <c r="Y349" s="8"/>
      <c r="Z349" s="6"/>
      <c r="AA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5"/>
      <c r="O350" s="5"/>
      <c r="P350" s="8"/>
      <c r="Q350" s="5"/>
      <c r="R350" s="8"/>
      <c r="S350" s="5"/>
      <c r="T350" s="6"/>
      <c r="U350" s="8"/>
      <c r="V350" s="5"/>
      <c r="W350" s="6"/>
      <c r="X350" s="5"/>
      <c r="Y350" s="8"/>
      <c r="Z350" s="6"/>
      <c r="AA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5"/>
      <c r="O351" s="5"/>
      <c r="P351" s="8"/>
      <c r="Q351" s="5"/>
      <c r="R351" s="8"/>
      <c r="S351" s="5"/>
      <c r="T351" s="6"/>
      <c r="U351" s="8"/>
      <c r="V351" s="5"/>
      <c r="W351" s="6"/>
      <c r="X351" s="5"/>
      <c r="Y351" s="8"/>
      <c r="Z351" s="6"/>
      <c r="AA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5"/>
      <c r="O352" s="5"/>
      <c r="P352" s="8"/>
      <c r="Q352" s="5"/>
      <c r="R352" s="8"/>
      <c r="S352" s="5"/>
      <c r="T352" s="6"/>
      <c r="U352" s="8"/>
      <c r="V352" s="5"/>
      <c r="W352" s="6"/>
      <c r="X352" s="5"/>
      <c r="Y352" s="8"/>
      <c r="Z352" s="6"/>
      <c r="AA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5"/>
      <c r="O353" s="5"/>
      <c r="P353" s="8"/>
      <c r="Q353" s="5"/>
      <c r="R353" s="8"/>
      <c r="S353" s="5"/>
      <c r="T353" s="6"/>
      <c r="U353" s="8"/>
      <c r="V353" s="5"/>
      <c r="W353" s="6"/>
      <c r="X353" s="5"/>
      <c r="Y353" s="8"/>
      <c r="Z353" s="6"/>
      <c r="AA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5"/>
      <c r="O354" s="5"/>
      <c r="P354" s="8"/>
      <c r="Q354" s="5"/>
      <c r="R354" s="8"/>
      <c r="S354" s="5"/>
      <c r="T354" s="6"/>
      <c r="U354" s="8"/>
      <c r="V354" s="5"/>
      <c r="W354" s="6"/>
      <c r="X354" s="5"/>
      <c r="Y354" s="8"/>
      <c r="Z354" s="6"/>
      <c r="AA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5"/>
      <c r="O355" s="5"/>
      <c r="P355" s="8"/>
      <c r="Q355" s="5"/>
      <c r="R355" s="8"/>
      <c r="S355" s="5"/>
      <c r="T355" s="6"/>
      <c r="U355" s="8"/>
      <c r="V355" s="5"/>
      <c r="W355" s="6"/>
      <c r="X355" s="5"/>
      <c r="Y355" s="8"/>
      <c r="Z355" s="6"/>
      <c r="AA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5"/>
      <c r="O356" s="5"/>
      <c r="P356" s="8"/>
      <c r="Q356" s="5"/>
      <c r="R356" s="8"/>
      <c r="S356" s="5"/>
      <c r="T356" s="6"/>
      <c r="U356" s="8"/>
      <c r="V356" s="5"/>
      <c r="W356" s="6"/>
      <c r="X356" s="5"/>
      <c r="Y356" s="8"/>
      <c r="Z356" s="6"/>
      <c r="AA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5"/>
      <c r="O357" s="5"/>
      <c r="P357" s="8"/>
      <c r="Q357" s="5"/>
      <c r="R357" s="8"/>
      <c r="S357" s="5"/>
      <c r="T357" s="6"/>
      <c r="U357" s="8"/>
      <c r="V357" s="5"/>
      <c r="W357" s="6"/>
      <c r="X357" s="5"/>
      <c r="Y357" s="8"/>
      <c r="Z357" s="6"/>
      <c r="AA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5"/>
      <c r="O358" s="5"/>
      <c r="P358" s="8"/>
      <c r="Q358" s="5"/>
      <c r="R358" s="8"/>
      <c r="S358" s="5"/>
      <c r="T358" s="6"/>
      <c r="U358" s="8"/>
      <c r="V358" s="5"/>
      <c r="W358" s="6"/>
      <c r="X358" s="5"/>
      <c r="Y358" s="8"/>
      <c r="Z358" s="6"/>
      <c r="AA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5"/>
      <c r="O359" s="5"/>
      <c r="P359" s="8"/>
      <c r="Q359" s="5"/>
      <c r="R359" s="8"/>
      <c r="S359" s="5"/>
      <c r="T359" s="6"/>
      <c r="U359" s="8"/>
      <c r="V359" s="5"/>
      <c r="W359" s="6"/>
      <c r="X359" s="5"/>
      <c r="Y359" s="8"/>
      <c r="Z359" s="6"/>
      <c r="AA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5"/>
      <c r="O360" s="5"/>
      <c r="P360" s="8"/>
      <c r="Q360" s="5"/>
      <c r="R360" s="8"/>
      <c r="S360" s="5"/>
      <c r="T360" s="6"/>
      <c r="U360" s="8"/>
      <c r="V360" s="5"/>
      <c r="W360" s="6"/>
      <c r="X360" s="5"/>
      <c r="Y360" s="8"/>
      <c r="Z360" s="6"/>
      <c r="AA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5"/>
      <c r="O361" s="5"/>
      <c r="P361" s="8"/>
      <c r="Q361" s="5"/>
      <c r="R361" s="8"/>
      <c r="S361" s="5"/>
      <c r="T361" s="6"/>
      <c r="U361" s="8"/>
      <c r="V361" s="5"/>
      <c r="W361" s="6"/>
      <c r="X361" s="5"/>
      <c r="Y361" s="8"/>
      <c r="Z361" s="6"/>
      <c r="AA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5"/>
      <c r="O362" s="5"/>
      <c r="P362" s="8"/>
      <c r="Q362" s="5"/>
      <c r="R362" s="8"/>
      <c r="S362" s="5"/>
      <c r="T362" s="6"/>
      <c r="U362" s="8"/>
      <c r="V362" s="5"/>
      <c r="W362" s="6"/>
      <c r="X362" s="5"/>
      <c r="Y362" s="8"/>
      <c r="Z362" s="6"/>
      <c r="AA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5"/>
      <c r="O363" s="5"/>
      <c r="P363" s="8"/>
      <c r="Q363" s="5"/>
      <c r="R363" s="8"/>
      <c r="S363" s="5"/>
      <c r="T363" s="6"/>
      <c r="U363" s="8"/>
      <c r="V363" s="5"/>
      <c r="W363" s="6"/>
      <c r="X363" s="5"/>
      <c r="Y363" s="8"/>
      <c r="Z363" s="6"/>
      <c r="AA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5"/>
      <c r="O364" s="5"/>
      <c r="P364" s="8"/>
      <c r="Q364" s="5"/>
      <c r="R364" s="8"/>
      <c r="S364" s="5"/>
      <c r="T364" s="6"/>
      <c r="U364" s="8"/>
      <c r="V364" s="5"/>
      <c r="W364" s="6"/>
      <c r="X364" s="5"/>
      <c r="Y364" s="8"/>
      <c r="Z364" s="6"/>
      <c r="AA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5"/>
      <c r="O365" s="5"/>
      <c r="P365" s="8"/>
      <c r="Q365" s="5"/>
      <c r="R365" s="8"/>
      <c r="S365" s="5"/>
      <c r="T365" s="6"/>
      <c r="U365" s="8"/>
      <c r="V365" s="5"/>
      <c r="W365" s="6"/>
      <c r="X365" s="5"/>
      <c r="Y365" s="8"/>
      <c r="Z365" s="6"/>
      <c r="AA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5"/>
      <c r="O366" s="5"/>
      <c r="P366" s="8"/>
      <c r="Q366" s="5"/>
      <c r="R366" s="8"/>
      <c r="S366" s="5"/>
      <c r="T366" s="6"/>
      <c r="U366" s="8"/>
      <c r="V366" s="5"/>
      <c r="W366" s="6"/>
      <c r="X366" s="5"/>
      <c r="Y366" s="8"/>
      <c r="Z366" s="6"/>
      <c r="AA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5"/>
      <c r="O367" s="5"/>
      <c r="P367" s="8"/>
      <c r="Q367" s="5"/>
      <c r="R367" s="8"/>
      <c r="S367" s="5"/>
      <c r="T367" s="6"/>
      <c r="U367" s="8"/>
      <c r="V367" s="5"/>
      <c r="W367" s="6"/>
      <c r="X367" s="5"/>
      <c r="Y367" s="8"/>
      <c r="Z367" s="6"/>
      <c r="AA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5"/>
      <c r="O368" s="5"/>
      <c r="P368" s="8"/>
      <c r="Q368" s="5"/>
      <c r="R368" s="8"/>
      <c r="S368" s="5"/>
      <c r="T368" s="6"/>
      <c r="U368" s="8"/>
      <c r="V368" s="5"/>
      <c r="W368" s="6"/>
      <c r="X368" s="5"/>
      <c r="Y368" s="8"/>
      <c r="Z368" s="6"/>
      <c r="AA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5"/>
      <c r="O369" s="5"/>
      <c r="P369" s="8"/>
      <c r="Q369" s="5"/>
      <c r="R369" s="8"/>
      <c r="S369" s="5"/>
      <c r="T369" s="6"/>
      <c r="U369" s="8"/>
      <c r="V369" s="5"/>
      <c r="W369" s="6"/>
      <c r="X369" s="5"/>
      <c r="Y369" s="8"/>
      <c r="Z369" s="6"/>
      <c r="AA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5"/>
      <c r="O370" s="5"/>
      <c r="P370" s="8"/>
      <c r="Q370" s="5"/>
      <c r="R370" s="8"/>
      <c r="S370" s="5"/>
      <c r="T370" s="6"/>
      <c r="U370" s="8"/>
      <c r="V370" s="5"/>
      <c r="W370" s="6"/>
      <c r="X370" s="5"/>
      <c r="Y370" s="8"/>
      <c r="Z370" s="6"/>
      <c r="AA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5"/>
      <c r="O371" s="5"/>
      <c r="P371" s="8"/>
      <c r="Q371" s="5"/>
      <c r="R371" s="8"/>
      <c r="S371" s="5"/>
      <c r="T371" s="6"/>
      <c r="U371" s="8"/>
      <c r="V371" s="5"/>
      <c r="W371" s="6"/>
      <c r="X371" s="5"/>
      <c r="Y371" s="8"/>
      <c r="Z371" s="6"/>
      <c r="AA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5"/>
      <c r="O372" s="5"/>
      <c r="P372" s="8"/>
      <c r="Q372" s="5"/>
      <c r="R372" s="8"/>
      <c r="S372" s="5"/>
      <c r="T372" s="6"/>
      <c r="U372" s="8"/>
      <c r="V372" s="5"/>
      <c r="W372" s="6"/>
      <c r="X372" s="5"/>
      <c r="Y372" s="8"/>
      <c r="Z372" s="6"/>
      <c r="AA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5"/>
      <c r="O373" s="5"/>
      <c r="P373" s="8"/>
      <c r="Q373" s="5"/>
      <c r="R373" s="8"/>
      <c r="S373" s="5"/>
      <c r="T373" s="6"/>
      <c r="U373" s="8"/>
      <c r="V373" s="5"/>
      <c r="W373" s="6"/>
      <c r="X373" s="5"/>
      <c r="Y373" s="8"/>
      <c r="Z373" s="6"/>
      <c r="AA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5"/>
      <c r="O374" s="5"/>
      <c r="P374" s="8"/>
      <c r="Q374" s="5"/>
      <c r="R374" s="8"/>
      <c r="S374" s="5"/>
      <c r="T374" s="6"/>
      <c r="U374" s="8"/>
      <c r="V374" s="5"/>
      <c r="W374" s="6"/>
      <c r="X374" s="5"/>
      <c r="Y374" s="8"/>
      <c r="Z374" s="6"/>
      <c r="AA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5"/>
      <c r="O375" s="5"/>
      <c r="P375" s="8"/>
      <c r="Q375" s="5"/>
      <c r="R375" s="8"/>
      <c r="S375" s="5"/>
      <c r="T375" s="6"/>
      <c r="U375" s="8"/>
      <c r="V375" s="5"/>
      <c r="W375" s="6"/>
      <c r="X375" s="5"/>
      <c r="Y375" s="8"/>
      <c r="Z375" s="6"/>
      <c r="AA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5"/>
      <c r="O376" s="5"/>
      <c r="P376" s="8"/>
      <c r="Q376" s="5"/>
      <c r="R376" s="8"/>
      <c r="S376" s="5"/>
      <c r="T376" s="6"/>
      <c r="U376" s="8"/>
      <c r="V376" s="5"/>
      <c r="W376" s="6"/>
      <c r="X376" s="5"/>
      <c r="Y376" s="8"/>
      <c r="Z376" s="6"/>
      <c r="AA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5"/>
      <c r="O377" s="5"/>
      <c r="P377" s="8"/>
      <c r="Q377" s="5"/>
      <c r="R377" s="8"/>
      <c r="S377" s="5"/>
      <c r="T377" s="6"/>
      <c r="U377" s="8"/>
      <c r="V377" s="5"/>
      <c r="W377" s="6"/>
      <c r="X377" s="5"/>
      <c r="Y377" s="8"/>
      <c r="Z377" s="6"/>
      <c r="AA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5"/>
      <c r="O378" s="5"/>
      <c r="P378" s="8"/>
      <c r="Q378" s="5"/>
      <c r="R378" s="8"/>
      <c r="S378" s="5"/>
      <c r="T378" s="6"/>
      <c r="U378" s="8"/>
      <c r="V378" s="5"/>
      <c r="W378" s="6"/>
      <c r="X378" s="5"/>
      <c r="Y378" s="8"/>
      <c r="Z378" s="6"/>
      <c r="AA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5"/>
      <c r="O379" s="5"/>
      <c r="P379" s="8"/>
      <c r="Q379" s="5"/>
      <c r="R379" s="8"/>
      <c r="S379" s="5"/>
      <c r="T379" s="6"/>
      <c r="U379" s="8"/>
      <c r="V379" s="5"/>
      <c r="W379" s="6"/>
      <c r="X379" s="5"/>
      <c r="Y379" s="8"/>
      <c r="Z379" s="6"/>
      <c r="AA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5"/>
      <c r="O380" s="5"/>
      <c r="P380" s="8"/>
      <c r="Q380" s="5"/>
      <c r="R380" s="8"/>
      <c r="S380" s="5"/>
      <c r="T380" s="6"/>
      <c r="U380" s="8"/>
      <c r="V380" s="5"/>
      <c r="W380" s="6"/>
      <c r="X380" s="5"/>
      <c r="Y380" s="8"/>
      <c r="Z380" s="6"/>
      <c r="AA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5"/>
      <c r="O381" s="5"/>
      <c r="P381" s="8"/>
      <c r="Q381" s="5"/>
      <c r="R381" s="8"/>
      <c r="S381" s="5"/>
      <c r="T381" s="6"/>
      <c r="U381" s="8"/>
      <c r="V381" s="5"/>
      <c r="W381" s="6"/>
      <c r="X381" s="5"/>
      <c r="Y381" s="8"/>
      <c r="Z381" s="6"/>
      <c r="AA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5"/>
      <c r="O382" s="5"/>
      <c r="P382" s="8"/>
      <c r="Q382" s="5"/>
      <c r="R382" s="8"/>
      <c r="S382" s="5"/>
      <c r="T382" s="6"/>
      <c r="U382" s="8"/>
      <c r="V382" s="5"/>
      <c r="W382" s="6"/>
      <c r="X382" s="5"/>
      <c r="Y382" s="8"/>
      <c r="Z382" s="6"/>
      <c r="AA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5"/>
      <c r="O383" s="5"/>
      <c r="P383" s="8"/>
      <c r="Q383" s="5"/>
      <c r="R383" s="8"/>
      <c r="S383" s="5"/>
      <c r="T383" s="6"/>
      <c r="U383" s="8"/>
      <c r="V383" s="5"/>
      <c r="W383" s="6"/>
      <c r="X383" s="5"/>
      <c r="Y383" s="8"/>
      <c r="Z383" s="6"/>
      <c r="AA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5"/>
      <c r="O384" s="5"/>
      <c r="P384" s="8"/>
      <c r="Q384" s="5"/>
      <c r="R384" s="8"/>
      <c r="S384" s="5"/>
      <c r="T384" s="6"/>
      <c r="U384" s="8"/>
      <c r="V384" s="5"/>
      <c r="W384" s="6"/>
      <c r="X384" s="5"/>
      <c r="Y384" s="8"/>
      <c r="Z384" s="6"/>
      <c r="AA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5"/>
      <c r="O385" s="5"/>
      <c r="P385" s="8"/>
      <c r="Q385" s="5"/>
      <c r="R385" s="8"/>
      <c r="S385" s="5"/>
      <c r="T385" s="6"/>
      <c r="U385" s="8"/>
      <c r="V385" s="5"/>
      <c r="W385" s="6"/>
      <c r="X385" s="5"/>
      <c r="Y385" s="8"/>
      <c r="Z385" s="6"/>
      <c r="AA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5"/>
      <c r="O386" s="5"/>
      <c r="P386" s="8"/>
      <c r="Q386" s="5"/>
      <c r="R386" s="8"/>
      <c r="S386" s="5"/>
      <c r="T386" s="6"/>
      <c r="U386" s="8"/>
      <c r="V386" s="5"/>
      <c r="W386" s="6"/>
      <c r="X386" s="5"/>
      <c r="Y386" s="8"/>
      <c r="Z386" s="6"/>
      <c r="AA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5"/>
      <c r="O387" s="5"/>
      <c r="P387" s="8"/>
      <c r="Q387" s="5"/>
      <c r="R387" s="8"/>
      <c r="S387" s="5"/>
      <c r="T387" s="6"/>
      <c r="U387" s="8"/>
      <c r="V387" s="5"/>
      <c r="W387" s="6"/>
      <c r="X387" s="5"/>
      <c r="Y387" s="8"/>
      <c r="Z387" s="6"/>
      <c r="AA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5"/>
      <c r="O388" s="5"/>
      <c r="P388" s="8"/>
      <c r="Q388" s="5"/>
      <c r="R388" s="8"/>
      <c r="S388" s="5"/>
      <c r="T388" s="6"/>
      <c r="U388" s="8"/>
      <c r="V388" s="5"/>
      <c r="W388" s="6"/>
      <c r="X388" s="5"/>
      <c r="Y388" s="8"/>
      <c r="Z388" s="6"/>
      <c r="AA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5"/>
      <c r="O389" s="5"/>
      <c r="P389" s="8"/>
      <c r="Q389" s="5"/>
      <c r="R389" s="8"/>
      <c r="S389" s="5"/>
      <c r="T389" s="6"/>
      <c r="U389" s="8"/>
      <c r="V389" s="5"/>
      <c r="W389" s="6"/>
      <c r="X389" s="5"/>
      <c r="Y389" s="8"/>
      <c r="Z389" s="6"/>
      <c r="AA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5"/>
      <c r="O390" s="5"/>
      <c r="P390" s="8"/>
      <c r="Q390" s="5"/>
      <c r="R390" s="8"/>
      <c r="S390" s="5"/>
      <c r="T390" s="6"/>
      <c r="U390" s="8"/>
      <c r="V390" s="5"/>
      <c r="W390" s="6"/>
      <c r="X390" s="5"/>
      <c r="Y390" s="8"/>
      <c r="Z390" s="6"/>
      <c r="AA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5"/>
      <c r="O391" s="5"/>
      <c r="P391" s="8"/>
      <c r="Q391" s="5"/>
      <c r="R391" s="8"/>
      <c r="S391" s="5"/>
      <c r="T391" s="6"/>
      <c r="U391" s="8"/>
      <c r="V391" s="5"/>
      <c r="W391" s="6"/>
      <c r="X391" s="5"/>
      <c r="Y391" s="8"/>
      <c r="Z391" s="6"/>
      <c r="AA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5"/>
      <c r="O392" s="5"/>
      <c r="P392" s="8"/>
      <c r="Q392" s="5"/>
      <c r="R392" s="8"/>
      <c r="S392" s="5"/>
      <c r="T392" s="6"/>
      <c r="U392" s="8"/>
      <c r="V392" s="5"/>
      <c r="W392" s="6"/>
      <c r="X392" s="5"/>
      <c r="Y392" s="8"/>
      <c r="Z392" s="6"/>
      <c r="AA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5"/>
      <c r="O393" s="5"/>
      <c r="P393" s="8"/>
      <c r="Q393" s="5"/>
      <c r="R393" s="8"/>
      <c r="S393" s="5"/>
      <c r="T393" s="6"/>
      <c r="U393" s="8"/>
      <c r="V393" s="5"/>
      <c r="W393" s="6"/>
      <c r="X393" s="5"/>
      <c r="Y393" s="8"/>
      <c r="Z393" s="6"/>
      <c r="AA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5"/>
      <c r="O394" s="5"/>
      <c r="P394" s="8"/>
      <c r="Q394" s="5"/>
      <c r="R394" s="8"/>
      <c r="S394" s="5"/>
      <c r="T394" s="6"/>
      <c r="U394" s="8"/>
      <c r="V394" s="5"/>
      <c r="W394" s="6"/>
      <c r="X394" s="5"/>
      <c r="Y394" s="8"/>
      <c r="Z394" s="6"/>
      <c r="AA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5"/>
      <c r="O395" s="5"/>
      <c r="P395" s="8"/>
      <c r="Q395" s="5"/>
      <c r="R395" s="8"/>
      <c r="S395" s="5"/>
      <c r="T395" s="6"/>
      <c r="U395" s="8"/>
      <c r="V395" s="5"/>
      <c r="W395" s="6"/>
      <c r="X395" s="5"/>
      <c r="Y395" s="8"/>
      <c r="Z395" s="6"/>
      <c r="AA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5"/>
      <c r="O396" s="5"/>
      <c r="P396" s="8"/>
      <c r="Q396" s="5"/>
      <c r="R396" s="8"/>
      <c r="S396" s="5"/>
      <c r="T396" s="6"/>
      <c r="U396" s="8"/>
      <c r="V396" s="5"/>
      <c r="W396" s="6"/>
      <c r="X396" s="5"/>
      <c r="Y396" s="8"/>
      <c r="Z396" s="6"/>
      <c r="AA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5"/>
      <c r="O397" s="5"/>
      <c r="P397" s="8"/>
      <c r="Q397" s="5"/>
      <c r="R397" s="8"/>
      <c r="S397" s="5"/>
      <c r="T397" s="6"/>
      <c r="U397" s="8"/>
      <c r="V397" s="5"/>
      <c r="W397" s="6"/>
      <c r="X397" s="5"/>
      <c r="Y397" s="8"/>
      <c r="Z397" s="6"/>
      <c r="AA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5"/>
      <c r="O398" s="5"/>
      <c r="P398" s="8"/>
      <c r="Q398" s="5"/>
      <c r="R398" s="8"/>
      <c r="S398" s="5"/>
      <c r="T398" s="6"/>
      <c r="U398" s="8"/>
      <c r="V398" s="5"/>
      <c r="W398" s="6"/>
      <c r="X398" s="5"/>
      <c r="Y398" s="8"/>
      <c r="Z398" s="6"/>
      <c r="AA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5"/>
      <c r="O399" s="5"/>
      <c r="P399" s="8"/>
      <c r="Q399" s="5"/>
      <c r="R399" s="8"/>
      <c r="S399" s="5"/>
      <c r="T399" s="6"/>
      <c r="U399" s="8"/>
      <c r="V399" s="5"/>
      <c r="W399" s="6"/>
      <c r="X399" s="5"/>
      <c r="Y399" s="8"/>
      <c r="Z399" s="6"/>
      <c r="AA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5"/>
      <c r="O400" s="5"/>
      <c r="P400" s="8"/>
      <c r="Q400" s="5"/>
      <c r="R400" s="8"/>
      <c r="S400" s="5"/>
      <c r="T400" s="6"/>
      <c r="U400" s="8"/>
      <c r="V400" s="5"/>
      <c r="W400" s="6"/>
      <c r="X400" s="5"/>
      <c r="Y400" s="8"/>
      <c r="Z400" s="6"/>
      <c r="AA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5"/>
      <c r="O401" s="5"/>
      <c r="P401" s="8"/>
      <c r="Q401" s="5"/>
      <c r="R401" s="8"/>
      <c r="S401" s="5"/>
      <c r="T401" s="6"/>
      <c r="U401" s="8"/>
      <c r="V401" s="5"/>
      <c r="W401" s="6"/>
      <c r="X401" s="5"/>
      <c r="Y401" s="8"/>
      <c r="Z401" s="6"/>
      <c r="AA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5"/>
      <c r="O402" s="5"/>
      <c r="P402" s="8"/>
      <c r="Q402" s="5"/>
      <c r="R402" s="8"/>
      <c r="S402" s="5"/>
      <c r="T402" s="6"/>
      <c r="U402" s="8"/>
      <c r="V402" s="5"/>
      <c r="W402" s="6"/>
      <c r="X402" s="5"/>
      <c r="Y402" s="8"/>
      <c r="Z402" s="6"/>
      <c r="AA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5"/>
      <c r="O403" s="5"/>
      <c r="P403" s="8"/>
      <c r="Q403" s="5"/>
      <c r="R403" s="8"/>
      <c r="S403" s="5"/>
      <c r="T403" s="6"/>
      <c r="U403" s="8"/>
      <c r="V403" s="5"/>
      <c r="W403" s="6"/>
      <c r="X403" s="5"/>
      <c r="Y403" s="8"/>
      <c r="Z403" s="6"/>
      <c r="AA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5"/>
      <c r="O404" s="5"/>
      <c r="P404" s="8"/>
      <c r="Q404" s="5"/>
      <c r="R404" s="8"/>
      <c r="S404" s="5"/>
      <c r="T404" s="6"/>
      <c r="U404" s="8"/>
      <c r="V404" s="5"/>
      <c r="W404" s="6"/>
      <c r="X404" s="5"/>
      <c r="Y404" s="8"/>
      <c r="Z404" s="6"/>
      <c r="AA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5"/>
      <c r="O405" s="5"/>
      <c r="P405" s="8"/>
      <c r="Q405" s="5"/>
      <c r="R405" s="8"/>
      <c r="S405" s="5"/>
      <c r="T405" s="6"/>
      <c r="U405" s="8"/>
      <c r="V405" s="5"/>
      <c r="W405" s="6"/>
      <c r="X405" s="5"/>
      <c r="Y405" s="8"/>
      <c r="Z405" s="6"/>
      <c r="AA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5"/>
      <c r="O406" s="5"/>
      <c r="P406" s="8"/>
      <c r="Q406" s="5"/>
      <c r="R406" s="8"/>
      <c r="S406" s="5"/>
      <c r="T406" s="6"/>
      <c r="U406" s="8"/>
      <c r="V406" s="5"/>
      <c r="W406" s="6"/>
      <c r="X406" s="5"/>
      <c r="Y406" s="8"/>
      <c r="Z406" s="6"/>
      <c r="AA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5"/>
      <c r="O407" s="5"/>
      <c r="P407" s="8"/>
      <c r="Q407" s="5"/>
      <c r="R407" s="8"/>
      <c r="S407" s="5"/>
      <c r="T407" s="6"/>
      <c r="U407" s="8"/>
      <c r="V407" s="5"/>
      <c r="W407" s="6"/>
      <c r="X407" s="5"/>
      <c r="Y407" s="8"/>
      <c r="Z407" s="6"/>
      <c r="AA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5"/>
      <c r="O408" s="5"/>
      <c r="P408" s="8"/>
      <c r="Q408" s="5"/>
      <c r="R408" s="8"/>
      <c r="S408" s="5"/>
      <c r="T408" s="6"/>
      <c r="U408" s="8"/>
      <c r="V408" s="5"/>
      <c r="W408" s="6"/>
      <c r="X408" s="5"/>
      <c r="Y408" s="8"/>
      <c r="Z408" s="6"/>
      <c r="AA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5"/>
      <c r="O409" s="5"/>
      <c r="P409" s="8"/>
      <c r="Q409" s="5"/>
      <c r="R409" s="8"/>
      <c r="S409" s="5"/>
      <c r="T409" s="6"/>
      <c r="U409" s="8"/>
      <c r="V409" s="5"/>
      <c r="W409" s="6"/>
      <c r="X409" s="5"/>
      <c r="Y409" s="8"/>
      <c r="Z409" s="6"/>
      <c r="AA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5"/>
      <c r="O410" s="5"/>
      <c r="P410" s="8"/>
      <c r="Q410" s="5"/>
      <c r="R410" s="8"/>
      <c r="S410" s="5"/>
      <c r="T410" s="6"/>
      <c r="U410" s="8"/>
      <c r="V410" s="5"/>
      <c r="W410" s="6"/>
      <c r="X410" s="5"/>
      <c r="Y410" s="8"/>
      <c r="Z410" s="6"/>
      <c r="AA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5"/>
      <c r="O411" s="5"/>
      <c r="P411" s="8"/>
      <c r="Q411" s="5"/>
      <c r="R411" s="8"/>
      <c r="S411" s="5"/>
      <c r="T411" s="6"/>
      <c r="U411" s="8"/>
      <c r="V411" s="5"/>
      <c r="W411" s="6"/>
      <c r="X411" s="5"/>
      <c r="Y411" s="8"/>
      <c r="Z411" s="6"/>
      <c r="AA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5"/>
      <c r="O412" s="5"/>
      <c r="P412" s="8"/>
      <c r="Q412" s="5"/>
      <c r="R412" s="8"/>
      <c r="S412" s="5"/>
      <c r="T412" s="6"/>
      <c r="U412" s="8"/>
      <c r="V412" s="5"/>
      <c r="W412" s="6"/>
      <c r="X412" s="5"/>
      <c r="Y412" s="8"/>
      <c r="Z412" s="6"/>
      <c r="AA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5"/>
      <c r="O413" s="5"/>
      <c r="P413" s="8"/>
      <c r="Q413" s="5"/>
      <c r="R413" s="8"/>
      <c r="S413" s="5"/>
      <c r="T413" s="6"/>
      <c r="U413" s="8"/>
      <c r="V413" s="5"/>
      <c r="W413" s="6"/>
      <c r="X413" s="5"/>
      <c r="Y413" s="8"/>
      <c r="Z413" s="6"/>
      <c r="AA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5"/>
      <c r="O414" s="5"/>
      <c r="P414" s="8"/>
      <c r="Q414" s="5"/>
      <c r="R414" s="8"/>
      <c r="S414" s="5"/>
      <c r="T414" s="6"/>
      <c r="U414" s="8"/>
      <c r="V414" s="5"/>
      <c r="W414" s="6"/>
      <c r="X414" s="5"/>
      <c r="Y414" s="8"/>
      <c r="Z414" s="6"/>
      <c r="AA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5"/>
      <c r="O415" s="5"/>
      <c r="P415" s="8"/>
      <c r="Q415" s="5"/>
      <c r="R415" s="8"/>
      <c r="S415" s="5"/>
      <c r="T415" s="6"/>
      <c r="U415" s="8"/>
      <c r="V415" s="5"/>
      <c r="W415" s="6"/>
      <c r="X415" s="5"/>
      <c r="Y415" s="8"/>
      <c r="Z415" s="6"/>
      <c r="AA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5"/>
      <c r="O416" s="5"/>
      <c r="P416" s="8"/>
      <c r="Q416" s="5"/>
      <c r="R416" s="8"/>
      <c r="S416" s="5"/>
      <c r="T416" s="6"/>
      <c r="U416" s="8"/>
      <c r="V416" s="5"/>
      <c r="W416" s="6"/>
      <c r="X416" s="5"/>
      <c r="Y416" s="8"/>
      <c r="Z416" s="6"/>
      <c r="AA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5"/>
      <c r="O417" s="5"/>
      <c r="P417" s="8"/>
      <c r="Q417" s="5"/>
      <c r="R417" s="8"/>
      <c r="S417" s="5"/>
      <c r="T417" s="6"/>
      <c r="U417" s="8"/>
      <c r="V417" s="5"/>
      <c r="W417" s="6"/>
      <c r="X417" s="5"/>
      <c r="Y417" s="8"/>
      <c r="Z417" s="6"/>
      <c r="AA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5"/>
      <c r="O418" s="5"/>
      <c r="P418" s="8"/>
      <c r="Q418" s="5"/>
      <c r="R418" s="8"/>
      <c r="S418" s="5"/>
      <c r="T418" s="6"/>
      <c r="U418" s="8"/>
      <c r="V418" s="5"/>
      <c r="W418" s="6"/>
      <c r="X418" s="5"/>
      <c r="Y418" s="8"/>
      <c r="Z418" s="6"/>
      <c r="AA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5"/>
      <c r="O419" s="5"/>
      <c r="P419" s="8"/>
      <c r="Q419" s="5"/>
      <c r="R419" s="8"/>
      <c r="S419" s="5"/>
      <c r="T419" s="6"/>
      <c r="U419" s="8"/>
      <c r="V419" s="5"/>
      <c r="W419" s="6"/>
      <c r="X419" s="5"/>
      <c r="Y419" s="8"/>
      <c r="Z419" s="6"/>
      <c r="AA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5"/>
      <c r="O420" s="5"/>
      <c r="P420" s="8"/>
      <c r="Q420" s="5"/>
      <c r="R420" s="8"/>
      <c r="S420" s="5"/>
      <c r="T420" s="6"/>
      <c r="U420" s="8"/>
      <c r="V420" s="5"/>
      <c r="W420" s="6"/>
      <c r="X420" s="5"/>
      <c r="Y420" s="8"/>
      <c r="Z420" s="6"/>
      <c r="AA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5"/>
      <c r="O421" s="5"/>
      <c r="P421" s="8"/>
      <c r="Q421" s="5"/>
      <c r="R421" s="8"/>
      <c r="S421" s="5"/>
      <c r="T421" s="6"/>
      <c r="U421" s="8"/>
      <c r="V421" s="5"/>
      <c r="W421" s="6"/>
      <c r="X421" s="5"/>
      <c r="Y421" s="8"/>
      <c r="Z421" s="6"/>
      <c r="AA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5"/>
      <c r="O422" s="5"/>
      <c r="P422" s="8"/>
      <c r="Q422" s="5"/>
      <c r="R422" s="8"/>
      <c r="S422" s="5"/>
      <c r="T422" s="6"/>
      <c r="U422" s="8"/>
      <c r="V422" s="5"/>
      <c r="W422" s="6"/>
      <c r="X422" s="5"/>
      <c r="Y422" s="8"/>
      <c r="Z422" s="6"/>
      <c r="AA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5"/>
      <c r="O423" s="5"/>
      <c r="P423" s="8"/>
      <c r="Q423" s="5"/>
      <c r="R423" s="8"/>
      <c r="S423" s="5"/>
      <c r="T423" s="6"/>
      <c r="U423" s="8"/>
      <c r="V423" s="5"/>
      <c r="W423" s="6"/>
      <c r="X423" s="5"/>
      <c r="Y423" s="8"/>
      <c r="Z423" s="6"/>
      <c r="AA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5"/>
      <c r="O424" s="5"/>
      <c r="P424" s="8"/>
      <c r="Q424" s="5"/>
      <c r="R424" s="8"/>
      <c r="S424" s="5"/>
      <c r="T424" s="6"/>
      <c r="U424" s="8"/>
      <c r="V424" s="5"/>
      <c r="W424" s="6"/>
      <c r="X424" s="5"/>
      <c r="Y424" s="8"/>
      <c r="Z424" s="6"/>
      <c r="AA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5"/>
      <c r="O425" s="5"/>
      <c r="P425" s="8"/>
      <c r="Q425" s="5"/>
      <c r="R425" s="8"/>
      <c r="S425" s="5"/>
      <c r="T425" s="6"/>
      <c r="U425" s="8"/>
      <c r="V425" s="5"/>
      <c r="W425" s="6"/>
      <c r="X425" s="5"/>
      <c r="Y425" s="8"/>
      <c r="Z425" s="6"/>
      <c r="AA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5"/>
      <c r="O426" s="5"/>
      <c r="P426" s="8"/>
      <c r="Q426" s="5"/>
      <c r="R426" s="8"/>
      <c r="S426" s="5"/>
      <c r="T426" s="6"/>
      <c r="U426" s="8"/>
      <c r="V426" s="5"/>
      <c r="W426" s="6"/>
      <c r="X426" s="5"/>
      <c r="Y426" s="8"/>
      <c r="Z426" s="6"/>
      <c r="AA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5"/>
      <c r="O427" s="5"/>
      <c r="P427" s="8"/>
      <c r="Q427" s="5"/>
      <c r="R427" s="8"/>
      <c r="S427" s="5"/>
      <c r="T427" s="6"/>
      <c r="U427" s="8"/>
      <c r="V427" s="5"/>
      <c r="W427" s="6"/>
      <c r="X427" s="5"/>
      <c r="Y427" s="8"/>
      <c r="Z427" s="6"/>
      <c r="AA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5"/>
      <c r="O428" s="5"/>
      <c r="P428" s="8"/>
      <c r="Q428" s="5"/>
      <c r="R428" s="8"/>
      <c r="S428" s="5"/>
      <c r="T428" s="6"/>
      <c r="U428" s="8"/>
      <c r="V428" s="5"/>
      <c r="W428" s="6"/>
      <c r="X428" s="5"/>
      <c r="Y428" s="8"/>
      <c r="Z428" s="6"/>
      <c r="AA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5"/>
      <c r="O429" s="5"/>
      <c r="P429" s="8"/>
      <c r="Q429" s="5"/>
      <c r="R429" s="8"/>
      <c r="S429" s="5"/>
      <c r="T429" s="6"/>
      <c r="U429" s="8"/>
      <c r="V429" s="5"/>
      <c r="W429" s="6"/>
      <c r="X429" s="5"/>
      <c r="Y429" s="8"/>
      <c r="Z429" s="6"/>
      <c r="AA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5"/>
      <c r="O430" s="5"/>
      <c r="P430" s="8"/>
      <c r="Q430" s="5"/>
      <c r="R430" s="8"/>
      <c r="S430" s="5"/>
      <c r="T430" s="6"/>
      <c r="U430" s="8"/>
      <c r="V430" s="5"/>
      <c r="W430" s="6"/>
      <c r="X430" s="5"/>
      <c r="Y430" s="8"/>
      <c r="Z430" s="6"/>
      <c r="AA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5"/>
      <c r="O431" s="5"/>
      <c r="P431" s="8"/>
      <c r="Q431" s="5"/>
      <c r="R431" s="8"/>
      <c r="S431" s="5"/>
      <c r="T431" s="6"/>
      <c r="U431" s="8"/>
      <c r="V431" s="5"/>
      <c r="W431" s="6"/>
      <c r="X431" s="5"/>
      <c r="Y431" s="8"/>
      <c r="Z431" s="6"/>
      <c r="AA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5"/>
      <c r="O432" s="5"/>
      <c r="P432" s="8"/>
      <c r="Q432" s="5"/>
      <c r="R432" s="8"/>
      <c r="S432" s="5"/>
      <c r="T432" s="6"/>
      <c r="U432" s="8"/>
      <c r="V432" s="5"/>
      <c r="W432" s="6"/>
      <c r="X432" s="5"/>
      <c r="Y432" s="8"/>
      <c r="Z432" s="6"/>
      <c r="AA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5"/>
      <c r="O433" s="5"/>
      <c r="P433" s="8"/>
      <c r="Q433" s="5"/>
      <c r="R433" s="8"/>
      <c r="S433" s="5"/>
      <c r="T433" s="6"/>
      <c r="U433" s="8"/>
      <c r="V433" s="5"/>
      <c r="W433" s="6"/>
      <c r="X433" s="5"/>
      <c r="Y433" s="8"/>
      <c r="Z433" s="6"/>
      <c r="AA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5"/>
      <c r="O434" s="5"/>
      <c r="P434" s="8"/>
      <c r="Q434" s="5"/>
      <c r="R434" s="8"/>
      <c r="S434" s="5"/>
      <c r="T434" s="6"/>
      <c r="U434" s="8"/>
      <c r="V434" s="5"/>
      <c r="W434" s="6"/>
      <c r="X434" s="5"/>
      <c r="Y434" s="8"/>
      <c r="Z434" s="6"/>
      <c r="AA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5"/>
      <c r="O435" s="5"/>
      <c r="P435" s="8"/>
      <c r="Q435" s="5"/>
      <c r="R435" s="8"/>
      <c r="S435" s="5"/>
      <c r="T435" s="6"/>
      <c r="U435" s="8"/>
      <c r="V435" s="5"/>
      <c r="W435" s="6"/>
      <c r="X435" s="5"/>
      <c r="Y435" s="8"/>
      <c r="Z435" s="6"/>
      <c r="AA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5"/>
      <c r="O436" s="5"/>
      <c r="P436" s="8"/>
      <c r="Q436" s="5"/>
      <c r="R436" s="8"/>
      <c r="S436" s="5"/>
      <c r="T436" s="6"/>
      <c r="U436" s="8"/>
      <c r="V436" s="5"/>
      <c r="W436" s="6"/>
      <c r="X436" s="5"/>
      <c r="Y436" s="8"/>
      <c r="Z436" s="6"/>
      <c r="AA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5"/>
      <c r="O437" s="5"/>
      <c r="P437" s="8"/>
      <c r="Q437" s="5"/>
      <c r="R437" s="8"/>
      <c r="S437" s="5"/>
      <c r="T437" s="6"/>
      <c r="U437" s="8"/>
      <c r="V437" s="5"/>
      <c r="W437" s="6"/>
      <c r="X437" s="5"/>
      <c r="Y437" s="8"/>
      <c r="Z437" s="6"/>
      <c r="AA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5"/>
      <c r="O438" s="5"/>
      <c r="P438" s="8"/>
      <c r="Q438" s="5"/>
      <c r="R438" s="8"/>
      <c r="S438" s="5"/>
      <c r="T438" s="6"/>
      <c r="U438" s="8"/>
      <c r="V438" s="5"/>
      <c r="W438" s="6"/>
      <c r="X438" s="5"/>
      <c r="Y438" s="8"/>
      <c r="Z438" s="6"/>
      <c r="AA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5"/>
      <c r="O439" s="5"/>
      <c r="P439" s="8"/>
      <c r="Q439" s="5"/>
      <c r="R439" s="8"/>
      <c r="S439" s="5"/>
      <c r="T439" s="6"/>
      <c r="U439" s="8"/>
      <c r="V439" s="5"/>
      <c r="W439" s="6"/>
      <c r="X439" s="5"/>
      <c r="Y439" s="8"/>
      <c r="Z439" s="6"/>
      <c r="AA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5"/>
      <c r="O440" s="5"/>
      <c r="P440" s="8"/>
      <c r="Q440" s="5"/>
      <c r="R440" s="8"/>
      <c r="S440" s="5"/>
      <c r="T440" s="6"/>
      <c r="U440" s="8"/>
      <c r="V440" s="5"/>
      <c r="W440" s="6"/>
      <c r="X440" s="5"/>
      <c r="Y440" s="8"/>
      <c r="Z440" s="6"/>
      <c r="AA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5"/>
      <c r="O441" s="5"/>
      <c r="P441" s="8"/>
      <c r="Q441" s="5"/>
      <c r="R441" s="8"/>
      <c r="S441" s="5"/>
      <c r="T441" s="6"/>
      <c r="U441" s="8"/>
      <c r="V441" s="5"/>
      <c r="W441" s="6"/>
      <c r="X441" s="5"/>
      <c r="Y441" s="8"/>
      <c r="Z441" s="6"/>
      <c r="AA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5"/>
      <c r="O442" s="5"/>
      <c r="P442" s="8"/>
      <c r="Q442" s="5"/>
      <c r="R442" s="8"/>
      <c r="S442" s="5"/>
      <c r="T442" s="6"/>
      <c r="U442" s="8"/>
      <c r="V442" s="5"/>
      <c r="W442" s="6"/>
      <c r="X442" s="5"/>
      <c r="Y442" s="8"/>
      <c r="Z442" s="6"/>
      <c r="AA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5"/>
      <c r="O443" s="5"/>
      <c r="P443" s="8"/>
      <c r="Q443" s="5"/>
      <c r="R443" s="8"/>
      <c r="S443" s="5"/>
      <c r="T443" s="6"/>
      <c r="U443" s="8"/>
      <c r="V443" s="5"/>
      <c r="W443" s="6"/>
      <c r="X443" s="5"/>
      <c r="Y443" s="8"/>
      <c r="Z443" s="6"/>
      <c r="AA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5"/>
      <c r="O444" s="5"/>
      <c r="P444" s="8"/>
      <c r="Q444" s="5"/>
      <c r="R444" s="8"/>
      <c r="S444" s="5"/>
      <c r="T444" s="6"/>
      <c r="U444" s="8"/>
      <c r="V444" s="5"/>
      <c r="W444" s="6"/>
      <c r="X444" s="5"/>
      <c r="Y444" s="8"/>
      <c r="Z444" s="6"/>
      <c r="AA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5"/>
      <c r="O445" s="5"/>
      <c r="P445" s="8"/>
      <c r="Q445" s="5"/>
      <c r="R445" s="8"/>
      <c r="S445" s="5"/>
      <c r="T445" s="6"/>
      <c r="U445" s="8"/>
      <c r="V445" s="5"/>
      <c r="W445" s="6"/>
      <c r="X445" s="5"/>
      <c r="Y445" s="8"/>
      <c r="Z445" s="6"/>
      <c r="AA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5"/>
      <c r="O446" s="5"/>
      <c r="P446" s="8"/>
      <c r="Q446" s="5"/>
      <c r="R446" s="8"/>
      <c r="S446" s="5"/>
      <c r="T446" s="6"/>
      <c r="U446" s="8"/>
      <c r="V446" s="5"/>
      <c r="W446" s="6"/>
      <c r="X446" s="5"/>
      <c r="Y446" s="8"/>
      <c r="Z446" s="6"/>
      <c r="AA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5"/>
      <c r="O447" s="5"/>
      <c r="P447" s="8"/>
      <c r="Q447" s="5"/>
      <c r="R447" s="8"/>
      <c r="S447" s="5"/>
      <c r="T447" s="6"/>
      <c r="U447" s="8"/>
      <c r="V447" s="5"/>
      <c r="W447" s="6"/>
      <c r="X447" s="5"/>
      <c r="Y447" s="8"/>
      <c r="Z447" s="6"/>
      <c r="AA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5"/>
      <c r="O448" s="5"/>
      <c r="P448" s="8"/>
      <c r="Q448" s="5"/>
      <c r="R448" s="8"/>
      <c r="S448" s="5"/>
      <c r="T448" s="6"/>
      <c r="U448" s="8"/>
      <c r="V448" s="5"/>
      <c r="W448" s="6"/>
      <c r="X448" s="5"/>
      <c r="Y448" s="8"/>
      <c r="Z448" s="6"/>
      <c r="AA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5"/>
      <c r="O449" s="5"/>
      <c r="P449" s="8"/>
      <c r="Q449" s="5"/>
      <c r="R449" s="8"/>
      <c r="S449" s="5"/>
      <c r="T449" s="6"/>
      <c r="U449" s="8"/>
      <c r="V449" s="5"/>
      <c r="W449" s="6"/>
      <c r="X449" s="5"/>
      <c r="Y449" s="8"/>
      <c r="Z449" s="6"/>
      <c r="AA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5"/>
      <c r="O450" s="5"/>
      <c r="P450" s="8"/>
      <c r="Q450" s="5"/>
      <c r="R450" s="8"/>
      <c r="S450" s="5"/>
      <c r="T450" s="6"/>
      <c r="U450" s="8"/>
      <c r="V450" s="5"/>
      <c r="W450" s="6"/>
      <c r="X450" s="5"/>
      <c r="Y450" s="8"/>
      <c r="Z450" s="6"/>
      <c r="AA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5"/>
      <c r="O451" s="5"/>
      <c r="P451" s="8"/>
      <c r="Q451" s="5"/>
      <c r="R451" s="8"/>
      <c r="S451" s="5"/>
      <c r="T451" s="6"/>
      <c r="U451" s="8"/>
      <c r="V451" s="5"/>
      <c r="W451" s="6"/>
      <c r="X451" s="5"/>
      <c r="Y451" s="8"/>
      <c r="Z451" s="6"/>
      <c r="AA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5"/>
      <c r="O452" s="5"/>
      <c r="P452" s="8"/>
      <c r="Q452" s="5"/>
      <c r="R452" s="8"/>
      <c r="S452" s="5"/>
      <c r="T452" s="6"/>
      <c r="U452" s="8"/>
      <c r="V452" s="5"/>
      <c r="W452" s="6"/>
      <c r="X452" s="5"/>
      <c r="Y452" s="8"/>
      <c r="Z452" s="6"/>
      <c r="AA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5"/>
      <c r="O453" s="5"/>
      <c r="P453" s="8"/>
      <c r="Q453" s="5"/>
      <c r="R453" s="8"/>
      <c r="S453" s="5"/>
      <c r="T453" s="6"/>
      <c r="U453" s="8"/>
      <c r="V453" s="5"/>
      <c r="W453" s="6"/>
      <c r="X453" s="5"/>
      <c r="Y453" s="8"/>
      <c r="Z453" s="6"/>
      <c r="AA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5"/>
      <c r="O454" s="5"/>
      <c r="P454" s="8"/>
      <c r="Q454" s="5"/>
      <c r="R454" s="8"/>
      <c r="S454" s="5"/>
      <c r="T454" s="6"/>
      <c r="U454" s="8"/>
      <c r="V454" s="5"/>
      <c r="W454" s="6"/>
      <c r="X454" s="5"/>
      <c r="Y454" s="8"/>
      <c r="Z454" s="6"/>
      <c r="AA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5"/>
      <c r="O455" s="5"/>
      <c r="P455" s="8"/>
      <c r="Q455" s="5"/>
      <c r="R455" s="8"/>
      <c r="S455" s="5"/>
      <c r="T455" s="6"/>
      <c r="U455" s="8"/>
      <c r="V455" s="5"/>
      <c r="W455" s="6"/>
      <c r="X455" s="5"/>
      <c r="Y455" s="8"/>
      <c r="Z455" s="6"/>
      <c r="AA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5"/>
      <c r="O456" s="5"/>
      <c r="P456" s="8"/>
      <c r="Q456" s="5"/>
      <c r="R456" s="8"/>
      <c r="S456" s="5"/>
      <c r="T456" s="6"/>
      <c r="U456" s="8"/>
      <c r="V456" s="5"/>
      <c r="W456" s="6"/>
      <c r="X456" s="5"/>
      <c r="Y456" s="8"/>
      <c r="Z456" s="6"/>
      <c r="AA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5"/>
      <c r="O457" s="5"/>
      <c r="P457" s="8"/>
      <c r="Q457" s="5"/>
      <c r="R457" s="8"/>
      <c r="S457" s="5"/>
      <c r="T457" s="6"/>
      <c r="U457" s="8"/>
      <c r="V457" s="5"/>
      <c r="W457" s="6"/>
      <c r="X457" s="5"/>
      <c r="Y457" s="8"/>
      <c r="Z457" s="6"/>
      <c r="AA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5"/>
      <c r="O458" s="5"/>
      <c r="P458" s="8"/>
      <c r="Q458" s="5"/>
      <c r="R458" s="8"/>
      <c r="S458" s="5"/>
      <c r="T458" s="6"/>
      <c r="U458" s="8"/>
      <c r="V458" s="5"/>
      <c r="W458" s="6"/>
      <c r="X458" s="5"/>
      <c r="Y458" s="8"/>
      <c r="Z458" s="6"/>
      <c r="AA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5"/>
      <c r="O459" s="5"/>
      <c r="P459" s="8"/>
      <c r="Q459" s="5"/>
      <c r="R459" s="8"/>
      <c r="S459" s="5"/>
      <c r="T459" s="6"/>
      <c r="U459" s="8"/>
      <c r="V459" s="5"/>
      <c r="W459" s="6"/>
      <c r="X459" s="5"/>
      <c r="Y459" s="8"/>
      <c r="Z459" s="6"/>
      <c r="AA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5"/>
      <c r="O460" s="5"/>
      <c r="P460" s="8"/>
      <c r="Q460" s="5"/>
      <c r="R460" s="8"/>
      <c r="S460" s="5"/>
      <c r="T460" s="6"/>
      <c r="U460" s="8"/>
      <c r="V460" s="5"/>
      <c r="W460" s="6"/>
      <c r="X460" s="5"/>
      <c r="Y460" s="8"/>
      <c r="Z460" s="6"/>
      <c r="AA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5"/>
      <c r="O461" s="5"/>
      <c r="P461" s="8"/>
      <c r="Q461" s="5"/>
      <c r="R461" s="8"/>
      <c r="S461" s="5"/>
      <c r="T461" s="6"/>
      <c r="U461" s="8"/>
      <c r="V461" s="5"/>
      <c r="W461" s="6"/>
      <c r="X461" s="5"/>
      <c r="Y461" s="8"/>
      <c r="Z461" s="6"/>
      <c r="AA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5"/>
      <c r="O462" s="5"/>
      <c r="P462" s="8"/>
      <c r="Q462" s="5"/>
      <c r="R462" s="8"/>
      <c r="S462" s="5"/>
      <c r="T462" s="6"/>
      <c r="U462" s="8"/>
      <c r="V462" s="5"/>
      <c r="W462" s="6"/>
      <c r="X462" s="5"/>
      <c r="Y462" s="8"/>
      <c r="Z462" s="6"/>
      <c r="AA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5"/>
      <c r="O463" s="5"/>
      <c r="P463" s="8"/>
      <c r="Q463" s="5"/>
      <c r="R463" s="8"/>
      <c r="S463" s="5"/>
      <c r="T463" s="6"/>
      <c r="U463" s="8"/>
      <c r="V463" s="5"/>
      <c r="W463" s="6"/>
      <c r="X463" s="5"/>
      <c r="Y463" s="8"/>
      <c r="Z463" s="6"/>
      <c r="AA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5"/>
      <c r="O464" s="5"/>
      <c r="P464" s="8"/>
      <c r="Q464" s="5"/>
      <c r="R464" s="8"/>
      <c r="S464" s="5"/>
      <c r="T464" s="6"/>
      <c r="U464" s="8"/>
      <c r="V464" s="5"/>
      <c r="W464" s="6"/>
      <c r="X464" s="5"/>
      <c r="Y464" s="8"/>
      <c r="Z464" s="6"/>
      <c r="AA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5"/>
      <c r="O465" s="5"/>
      <c r="P465" s="8"/>
      <c r="Q465" s="5"/>
      <c r="R465" s="8"/>
      <c r="S465" s="5"/>
      <c r="T465" s="6"/>
      <c r="U465" s="8"/>
      <c r="V465" s="5"/>
      <c r="W465" s="6"/>
      <c r="X465" s="5"/>
      <c r="Y465" s="8"/>
      <c r="Z465" s="6"/>
      <c r="AA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5"/>
      <c r="O466" s="5"/>
      <c r="P466" s="8"/>
      <c r="Q466" s="5"/>
      <c r="R466" s="8"/>
      <c r="S466" s="5"/>
      <c r="T466" s="6"/>
      <c r="U466" s="8"/>
      <c r="V466" s="5"/>
      <c r="W466" s="6"/>
      <c r="X466" s="5"/>
      <c r="Y466" s="8"/>
      <c r="Z466" s="6"/>
      <c r="AA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5"/>
      <c r="O467" s="5"/>
      <c r="P467" s="8"/>
      <c r="Q467" s="5"/>
      <c r="R467" s="8"/>
      <c r="S467" s="5"/>
      <c r="T467" s="6"/>
      <c r="U467" s="8"/>
      <c r="V467" s="5"/>
      <c r="W467" s="6"/>
      <c r="X467" s="5"/>
      <c r="Y467" s="8"/>
      <c r="Z467" s="6"/>
      <c r="AA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5"/>
      <c r="O468" s="5"/>
      <c r="P468" s="8"/>
      <c r="Q468" s="5"/>
      <c r="R468" s="8"/>
      <c r="S468" s="5"/>
      <c r="T468" s="6"/>
      <c r="U468" s="8"/>
      <c r="V468" s="5"/>
      <c r="W468" s="6"/>
      <c r="X468" s="5"/>
      <c r="Y468" s="8"/>
      <c r="Z468" s="6"/>
      <c r="AA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5"/>
      <c r="O469" s="5"/>
      <c r="P469" s="8"/>
      <c r="Q469" s="5"/>
      <c r="R469" s="8"/>
      <c r="S469" s="5"/>
      <c r="T469" s="6"/>
      <c r="U469" s="8"/>
      <c r="V469" s="5"/>
      <c r="W469" s="6"/>
      <c r="X469" s="5"/>
      <c r="Y469" s="8"/>
      <c r="Z469" s="6"/>
      <c r="AA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5"/>
      <c r="O470" s="5"/>
      <c r="P470" s="8"/>
      <c r="Q470" s="5"/>
      <c r="R470" s="8"/>
      <c r="S470" s="5"/>
      <c r="T470" s="6"/>
      <c r="U470" s="8"/>
      <c r="V470" s="5"/>
      <c r="W470" s="6"/>
      <c r="X470" s="5"/>
      <c r="Y470" s="8"/>
      <c r="Z470" s="6"/>
      <c r="AA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5"/>
      <c r="O471" s="5"/>
      <c r="P471" s="8"/>
      <c r="Q471" s="5"/>
      <c r="R471" s="8"/>
      <c r="S471" s="5"/>
      <c r="T471" s="6"/>
      <c r="U471" s="8"/>
      <c r="V471" s="5"/>
      <c r="W471" s="6"/>
      <c r="X471" s="5"/>
      <c r="Y471" s="8"/>
      <c r="Z471" s="6"/>
      <c r="AA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5"/>
      <c r="O472" s="5"/>
      <c r="P472" s="8"/>
      <c r="Q472" s="5"/>
      <c r="R472" s="8"/>
      <c r="S472" s="5"/>
      <c r="T472" s="6"/>
      <c r="U472" s="8"/>
      <c r="V472" s="5"/>
      <c r="W472" s="6"/>
      <c r="X472" s="5"/>
      <c r="Y472" s="8"/>
      <c r="Z472" s="6"/>
      <c r="AA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5"/>
      <c r="O473" s="5"/>
      <c r="P473" s="8"/>
      <c r="Q473" s="5"/>
      <c r="R473" s="8"/>
      <c r="S473" s="5"/>
      <c r="T473" s="6"/>
      <c r="U473" s="8"/>
      <c r="V473" s="5"/>
      <c r="W473" s="6"/>
      <c r="X473" s="5"/>
      <c r="Y473" s="8"/>
      <c r="Z473" s="6"/>
      <c r="AA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5"/>
      <c r="O474" s="5"/>
      <c r="P474" s="8"/>
      <c r="Q474" s="5"/>
      <c r="R474" s="8"/>
      <c r="S474" s="5"/>
      <c r="T474" s="6"/>
      <c r="U474" s="8"/>
      <c r="V474" s="5"/>
      <c r="W474" s="6"/>
      <c r="X474" s="5"/>
      <c r="Y474" s="8"/>
      <c r="Z474" s="6"/>
      <c r="AA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5"/>
      <c r="O475" s="5"/>
      <c r="P475" s="8"/>
      <c r="Q475" s="5"/>
      <c r="R475" s="8"/>
      <c r="S475" s="5"/>
      <c r="T475" s="6"/>
      <c r="U475" s="8"/>
      <c r="V475" s="5"/>
      <c r="W475" s="6"/>
      <c r="X475" s="5"/>
      <c r="Y475" s="8"/>
      <c r="Z475" s="6"/>
      <c r="AA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5"/>
      <c r="O476" s="5"/>
      <c r="P476" s="8"/>
      <c r="Q476" s="5"/>
      <c r="R476" s="8"/>
      <c r="S476" s="5"/>
      <c r="T476" s="6"/>
      <c r="U476" s="8"/>
      <c r="V476" s="5"/>
      <c r="W476" s="6"/>
      <c r="X476" s="5"/>
      <c r="Y476" s="8"/>
      <c r="Z476" s="6"/>
      <c r="AA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5"/>
      <c r="O477" s="5"/>
      <c r="P477" s="8"/>
      <c r="Q477" s="5"/>
      <c r="R477" s="8"/>
      <c r="S477" s="5"/>
      <c r="T477" s="6"/>
      <c r="U477" s="8"/>
      <c r="V477" s="5"/>
      <c r="W477" s="6"/>
      <c r="X477" s="5"/>
      <c r="Y477" s="8"/>
      <c r="Z477" s="6"/>
      <c r="AA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5"/>
      <c r="O478" s="5"/>
      <c r="P478" s="8"/>
      <c r="Q478" s="5"/>
      <c r="R478" s="8"/>
      <c r="S478" s="5"/>
      <c r="T478" s="6"/>
      <c r="U478" s="8"/>
      <c r="V478" s="5"/>
      <c r="W478" s="6"/>
      <c r="X478" s="5"/>
      <c r="Y478" s="8"/>
      <c r="Z478" s="6"/>
      <c r="AA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5"/>
      <c r="O479" s="5"/>
      <c r="P479" s="8"/>
      <c r="Q479" s="5"/>
      <c r="R479" s="8"/>
      <c r="S479" s="5"/>
      <c r="T479" s="6"/>
      <c r="U479" s="8"/>
      <c r="V479" s="5"/>
      <c r="W479" s="6"/>
      <c r="X479" s="5"/>
      <c r="Y479" s="8"/>
      <c r="Z479" s="6"/>
      <c r="AA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5"/>
      <c r="O480" s="5"/>
      <c r="P480" s="8"/>
      <c r="Q480" s="5"/>
      <c r="R480" s="8"/>
      <c r="S480" s="5"/>
      <c r="T480" s="6"/>
      <c r="U480" s="8"/>
      <c r="V480" s="5"/>
      <c r="W480" s="6"/>
      <c r="X480" s="5"/>
      <c r="Y480" s="8"/>
      <c r="Z480" s="6"/>
      <c r="AA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5"/>
      <c r="O481" s="5"/>
      <c r="P481" s="8"/>
      <c r="Q481" s="5"/>
      <c r="R481" s="8"/>
      <c r="S481" s="5"/>
      <c r="T481" s="6"/>
      <c r="U481" s="8"/>
      <c r="V481" s="5"/>
      <c r="W481" s="6"/>
      <c r="X481" s="5"/>
      <c r="Y481" s="8"/>
      <c r="Z481" s="6"/>
      <c r="AA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5"/>
      <c r="O482" s="5"/>
      <c r="P482" s="8"/>
      <c r="Q482" s="5"/>
      <c r="R482" s="8"/>
      <c r="S482" s="5"/>
      <c r="T482" s="6"/>
      <c r="U482" s="8"/>
      <c r="V482" s="5"/>
      <c r="W482" s="6"/>
      <c r="X482" s="5"/>
      <c r="Y482" s="8"/>
      <c r="Z482" s="6"/>
      <c r="AA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5"/>
      <c r="O483" s="5"/>
      <c r="P483" s="8"/>
      <c r="Q483" s="5"/>
      <c r="R483" s="8"/>
      <c r="S483" s="5"/>
      <c r="T483" s="6"/>
      <c r="U483" s="8"/>
      <c r="V483" s="5"/>
      <c r="W483" s="6"/>
      <c r="X483" s="5"/>
      <c r="Y483" s="8"/>
      <c r="Z483" s="6"/>
      <c r="AA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5"/>
      <c r="O484" s="5"/>
      <c r="P484" s="8"/>
      <c r="Q484" s="5"/>
      <c r="R484" s="8"/>
      <c r="S484" s="5"/>
      <c r="T484" s="6"/>
      <c r="U484" s="8"/>
      <c r="V484" s="5"/>
      <c r="W484" s="6"/>
      <c r="X484" s="5"/>
      <c r="Y484" s="8"/>
      <c r="Z484" s="6"/>
      <c r="AA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5"/>
      <c r="O485" s="5"/>
      <c r="P485" s="8"/>
      <c r="Q485" s="5"/>
      <c r="R485" s="8"/>
      <c r="S485" s="5"/>
      <c r="T485" s="6"/>
      <c r="U485" s="8"/>
      <c r="V485" s="5"/>
      <c r="W485" s="6"/>
      <c r="X485" s="5"/>
      <c r="Y485" s="8"/>
      <c r="Z485" s="6"/>
      <c r="AA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5"/>
      <c r="O486" s="5"/>
      <c r="P486" s="8"/>
      <c r="Q486" s="5"/>
      <c r="R486" s="8"/>
      <c r="S486" s="5"/>
      <c r="T486" s="6"/>
      <c r="U486" s="8"/>
      <c r="V486" s="5"/>
      <c r="W486" s="6"/>
      <c r="X486" s="5"/>
      <c r="Y486" s="8"/>
      <c r="Z486" s="6"/>
      <c r="AA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5"/>
      <c r="O487" s="5"/>
      <c r="P487" s="8"/>
      <c r="Q487" s="5"/>
      <c r="R487" s="8"/>
      <c r="S487" s="5"/>
      <c r="T487" s="6"/>
      <c r="U487" s="8"/>
      <c r="V487" s="5"/>
      <c r="W487" s="6"/>
      <c r="X487" s="5"/>
      <c r="Y487" s="8"/>
      <c r="Z487" s="6"/>
      <c r="AA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5"/>
      <c r="O488" s="5"/>
      <c r="P488" s="8"/>
      <c r="Q488" s="5"/>
      <c r="R488" s="8"/>
      <c r="S488" s="5"/>
      <c r="T488" s="6"/>
      <c r="U488" s="8"/>
      <c r="V488" s="5"/>
      <c r="W488" s="6"/>
      <c r="X488" s="5"/>
      <c r="Y488" s="8"/>
      <c r="Z488" s="6"/>
      <c r="AA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5"/>
      <c r="O489" s="5"/>
      <c r="P489" s="8"/>
      <c r="Q489" s="5"/>
      <c r="R489" s="8"/>
      <c r="S489" s="5"/>
      <c r="T489" s="6"/>
      <c r="U489" s="8"/>
      <c r="V489" s="5"/>
      <c r="W489" s="6"/>
      <c r="X489" s="5"/>
      <c r="Y489" s="8"/>
      <c r="Z489" s="6"/>
      <c r="AA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5"/>
      <c r="O490" s="5"/>
      <c r="P490" s="8"/>
      <c r="Q490" s="5"/>
      <c r="R490" s="8"/>
      <c r="S490" s="5"/>
      <c r="T490" s="6"/>
      <c r="U490" s="8"/>
      <c r="V490" s="5"/>
      <c r="W490" s="6"/>
      <c r="X490" s="5"/>
      <c r="Y490" s="8"/>
      <c r="Z490" s="6"/>
      <c r="AA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5"/>
      <c r="O491" s="5"/>
      <c r="P491" s="8"/>
      <c r="Q491" s="5"/>
      <c r="R491" s="8"/>
      <c r="S491" s="5"/>
      <c r="T491" s="6"/>
      <c r="U491" s="8"/>
      <c r="V491" s="5"/>
      <c r="W491" s="6"/>
      <c r="X491" s="5"/>
      <c r="Y491" s="8"/>
      <c r="Z491" s="6"/>
      <c r="AA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5"/>
      <c r="O492" s="5"/>
      <c r="P492" s="8"/>
      <c r="Q492" s="5"/>
      <c r="R492" s="8"/>
      <c r="S492" s="5"/>
      <c r="T492" s="6"/>
      <c r="U492" s="8"/>
      <c r="V492" s="5"/>
      <c r="W492" s="6"/>
      <c r="X492" s="5"/>
      <c r="Y492" s="8"/>
      <c r="Z492" s="6"/>
      <c r="AA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5"/>
      <c r="O493" s="5"/>
      <c r="P493" s="8"/>
      <c r="Q493" s="5"/>
      <c r="R493" s="8"/>
      <c r="S493" s="5"/>
      <c r="T493" s="6"/>
      <c r="U493" s="8"/>
      <c r="V493" s="5"/>
      <c r="W493" s="6"/>
      <c r="X493" s="5"/>
      <c r="Y493" s="8"/>
      <c r="Z493" s="6"/>
      <c r="AA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5"/>
      <c r="O494" s="5"/>
      <c r="P494" s="8"/>
      <c r="Q494" s="5"/>
      <c r="R494" s="8"/>
      <c r="S494" s="5"/>
      <c r="T494" s="6"/>
      <c r="U494" s="8"/>
      <c r="V494" s="5"/>
      <c r="W494" s="6"/>
      <c r="X494" s="5"/>
      <c r="Y494" s="8"/>
      <c r="Z494" s="6"/>
      <c r="AA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5"/>
      <c r="O495" s="5"/>
      <c r="P495" s="8"/>
      <c r="Q495" s="5"/>
      <c r="R495" s="8"/>
      <c r="S495" s="5"/>
      <c r="T495" s="6"/>
      <c r="U495" s="8"/>
      <c r="V495" s="5"/>
      <c r="W495" s="6"/>
      <c r="X495" s="5"/>
      <c r="Y495" s="8"/>
      <c r="Z495" s="6"/>
      <c r="AA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5"/>
      <c r="O496" s="5"/>
      <c r="P496" s="8"/>
      <c r="Q496" s="5"/>
      <c r="R496" s="8"/>
      <c r="S496" s="5"/>
      <c r="T496" s="6"/>
      <c r="U496" s="8"/>
      <c r="V496" s="5"/>
      <c r="W496" s="6"/>
      <c r="X496" s="5"/>
      <c r="Y496" s="8"/>
      <c r="Z496" s="6"/>
      <c r="AA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5"/>
      <c r="O497" s="5"/>
      <c r="P497" s="8"/>
      <c r="Q497" s="5"/>
      <c r="R497" s="8"/>
      <c r="S497" s="5"/>
      <c r="T497" s="6"/>
      <c r="U497" s="8"/>
      <c r="V497" s="5"/>
      <c r="W497" s="6"/>
      <c r="X497" s="5"/>
      <c r="Y497" s="8"/>
      <c r="Z497" s="6"/>
      <c r="AA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5"/>
      <c r="O498" s="5"/>
      <c r="P498" s="8"/>
      <c r="Q498" s="5"/>
      <c r="R498" s="8"/>
      <c r="S498" s="5"/>
      <c r="T498" s="6"/>
      <c r="U498" s="8"/>
      <c r="V498" s="5"/>
      <c r="W498" s="6"/>
      <c r="X498" s="5"/>
      <c r="Y498" s="8"/>
      <c r="Z498" s="6"/>
      <c r="AA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5"/>
      <c r="O499" s="5"/>
      <c r="P499" s="8"/>
      <c r="Q499" s="5"/>
      <c r="R499" s="8"/>
      <c r="S499" s="5"/>
      <c r="T499" s="6"/>
      <c r="U499" s="8"/>
      <c r="V499" s="5"/>
      <c r="W499" s="6"/>
      <c r="X499" s="5"/>
      <c r="Y499" s="8"/>
      <c r="Z499" s="6"/>
      <c r="AA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5"/>
      <c r="O500" s="5"/>
      <c r="P500" s="8"/>
      <c r="Q500" s="5"/>
      <c r="R500" s="8"/>
      <c r="S500" s="5"/>
      <c r="T500" s="6"/>
      <c r="U500" s="8"/>
      <c r="V500" s="5"/>
      <c r="W500" s="6"/>
      <c r="X500" s="5"/>
      <c r="Y500" s="8"/>
      <c r="Z500" s="6"/>
      <c r="AA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5"/>
      <c r="O501" s="5"/>
      <c r="P501" s="8"/>
      <c r="Q501" s="5"/>
      <c r="R501" s="8"/>
      <c r="S501" s="5"/>
      <c r="T501" s="6"/>
      <c r="U501" s="8"/>
      <c r="V501" s="5"/>
      <c r="W501" s="6"/>
      <c r="X501" s="5"/>
      <c r="Y501" s="8"/>
      <c r="Z501" s="6"/>
      <c r="AA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5"/>
      <c r="O502" s="5"/>
      <c r="P502" s="8"/>
      <c r="Q502" s="5"/>
      <c r="R502" s="8"/>
      <c r="S502" s="5"/>
      <c r="T502" s="6"/>
      <c r="U502" s="8"/>
      <c r="V502" s="5"/>
      <c r="W502" s="6"/>
      <c r="X502" s="5"/>
      <c r="Y502" s="8"/>
      <c r="Z502" s="6"/>
      <c r="AA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5"/>
      <c r="O503" s="5"/>
      <c r="P503" s="8"/>
      <c r="Q503" s="5"/>
      <c r="R503" s="8"/>
      <c r="S503" s="5"/>
      <c r="T503" s="6"/>
      <c r="U503" s="8"/>
      <c r="V503" s="5"/>
      <c r="W503" s="6"/>
      <c r="X503" s="5"/>
      <c r="Y503" s="8"/>
      <c r="Z503" s="6"/>
      <c r="AA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5"/>
      <c r="O504" s="5"/>
      <c r="P504" s="8"/>
      <c r="Q504" s="5"/>
      <c r="R504" s="8"/>
      <c r="S504" s="5"/>
      <c r="T504" s="6"/>
      <c r="U504" s="8"/>
      <c r="V504" s="5"/>
      <c r="W504" s="6"/>
      <c r="X504" s="5"/>
      <c r="Y504" s="8"/>
      <c r="Z504" s="6"/>
      <c r="AA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5"/>
      <c r="O505" s="5"/>
      <c r="P505" s="8"/>
      <c r="Q505" s="5"/>
      <c r="R505" s="8"/>
      <c r="S505" s="5"/>
      <c r="T505" s="6"/>
      <c r="U505" s="8"/>
      <c r="V505" s="5"/>
      <c r="W505" s="6"/>
      <c r="X505" s="5"/>
      <c r="Y505" s="8"/>
      <c r="Z505" s="6"/>
      <c r="AA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5"/>
      <c r="O506" s="5"/>
      <c r="P506" s="8"/>
      <c r="Q506" s="5"/>
      <c r="R506" s="8"/>
      <c r="S506" s="5"/>
      <c r="T506" s="6"/>
      <c r="U506" s="8"/>
      <c r="V506" s="5"/>
      <c r="W506" s="6"/>
      <c r="X506" s="5"/>
      <c r="Y506" s="8"/>
      <c r="Z506" s="6"/>
      <c r="AA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5"/>
      <c r="O507" s="5"/>
      <c r="P507" s="8"/>
      <c r="Q507" s="5"/>
      <c r="R507" s="8"/>
      <c r="S507" s="5"/>
      <c r="T507" s="6"/>
      <c r="U507" s="8"/>
      <c r="V507" s="5"/>
      <c r="W507" s="6"/>
      <c r="X507" s="5"/>
      <c r="Y507" s="8"/>
      <c r="Z507" s="6"/>
      <c r="AA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5"/>
      <c r="O508" s="5"/>
      <c r="P508" s="8"/>
      <c r="Q508" s="5"/>
      <c r="R508" s="8"/>
      <c r="S508" s="5"/>
      <c r="T508" s="6"/>
      <c r="U508" s="8"/>
      <c r="V508" s="5"/>
      <c r="W508" s="6"/>
      <c r="X508" s="5"/>
      <c r="Y508" s="8"/>
      <c r="Z508" s="6"/>
      <c r="AA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5"/>
      <c r="O509" s="5"/>
      <c r="P509" s="8"/>
      <c r="Q509" s="5"/>
      <c r="R509" s="8"/>
      <c r="S509" s="5"/>
      <c r="T509" s="6"/>
      <c r="U509" s="8"/>
      <c r="V509" s="5"/>
      <c r="W509" s="6"/>
      <c r="X509" s="5"/>
      <c r="Y509" s="8"/>
      <c r="Z509" s="6"/>
      <c r="AA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5"/>
      <c r="O510" s="5"/>
      <c r="P510" s="8"/>
      <c r="Q510" s="5"/>
      <c r="R510" s="8"/>
      <c r="S510" s="5"/>
      <c r="T510" s="6"/>
      <c r="U510" s="8"/>
      <c r="V510" s="5"/>
      <c r="W510" s="6"/>
      <c r="X510" s="5"/>
      <c r="Y510" s="8"/>
      <c r="Z510" s="6"/>
      <c r="AA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5"/>
      <c r="O511" s="5"/>
      <c r="P511" s="8"/>
      <c r="Q511" s="5"/>
      <c r="R511" s="8"/>
      <c r="S511" s="5"/>
      <c r="T511" s="6"/>
      <c r="U511" s="8"/>
      <c r="V511" s="5"/>
      <c r="W511" s="6"/>
      <c r="X511" s="5"/>
      <c r="Y511" s="8"/>
      <c r="Z511" s="6"/>
      <c r="AA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5"/>
      <c r="O512" s="5"/>
      <c r="P512" s="8"/>
      <c r="Q512" s="5"/>
      <c r="R512" s="8"/>
      <c r="S512" s="5"/>
      <c r="T512" s="6"/>
      <c r="U512" s="8"/>
      <c r="V512" s="5"/>
      <c r="W512" s="6"/>
      <c r="X512" s="5"/>
      <c r="Y512" s="8"/>
      <c r="Z512" s="6"/>
      <c r="AA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5"/>
      <c r="O513" s="5"/>
      <c r="P513" s="8"/>
      <c r="Q513" s="5"/>
      <c r="R513" s="8"/>
      <c r="S513" s="5"/>
      <c r="T513" s="6"/>
      <c r="U513" s="8"/>
      <c r="V513" s="5"/>
      <c r="W513" s="6"/>
      <c r="X513" s="5"/>
      <c r="Y513" s="8"/>
      <c r="Z513" s="6"/>
      <c r="AA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5"/>
      <c r="O514" s="5"/>
      <c r="P514" s="8"/>
      <c r="Q514" s="5"/>
      <c r="R514" s="8"/>
      <c r="S514" s="5"/>
      <c r="T514" s="6"/>
      <c r="U514" s="8"/>
      <c r="V514" s="5"/>
      <c r="W514" s="6"/>
      <c r="X514" s="5"/>
      <c r="Y514" s="8"/>
      <c r="Z514" s="6"/>
      <c r="AA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5"/>
      <c r="O515" s="5"/>
      <c r="P515" s="8"/>
      <c r="Q515" s="5"/>
      <c r="R515" s="8"/>
      <c r="S515" s="5"/>
      <c r="T515" s="6"/>
      <c r="U515" s="8"/>
      <c r="V515" s="5"/>
      <c r="W515" s="6"/>
      <c r="X515" s="5"/>
      <c r="Y515" s="8"/>
      <c r="Z515" s="6"/>
      <c r="AA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5"/>
      <c r="O516" s="5"/>
      <c r="P516" s="8"/>
      <c r="Q516" s="5"/>
      <c r="R516" s="8"/>
      <c r="S516" s="5"/>
      <c r="T516" s="6"/>
      <c r="U516" s="8"/>
      <c r="V516" s="5"/>
      <c r="W516" s="6"/>
      <c r="X516" s="5"/>
      <c r="Y516" s="8"/>
      <c r="Z516" s="6"/>
      <c r="AA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5"/>
      <c r="O517" s="5"/>
      <c r="P517" s="8"/>
      <c r="Q517" s="5"/>
      <c r="R517" s="8"/>
      <c r="S517" s="5"/>
      <c r="T517" s="6"/>
      <c r="U517" s="8"/>
      <c r="V517" s="5"/>
      <c r="W517" s="6"/>
      <c r="X517" s="5"/>
      <c r="Y517" s="8"/>
      <c r="Z517" s="6"/>
      <c r="AA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5"/>
      <c r="O518" s="5"/>
      <c r="P518" s="8"/>
      <c r="Q518" s="5"/>
      <c r="R518" s="8"/>
      <c r="S518" s="5"/>
      <c r="T518" s="6"/>
      <c r="U518" s="8"/>
      <c r="V518" s="5"/>
      <c r="W518" s="6"/>
      <c r="X518" s="5"/>
      <c r="Y518" s="8"/>
      <c r="Z518" s="6"/>
      <c r="AA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5"/>
      <c r="O519" s="5"/>
      <c r="P519" s="8"/>
      <c r="Q519" s="5"/>
      <c r="R519" s="8"/>
      <c r="S519" s="5"/>
      <c r="T519" s="6"/>
      <c r="U519" s="8"/>
      <c r="V519" s="5"/>
      <c r="W519" s="6"/>
      <c r="X519" s="5"/>
      <c r="Y519" s="8"/>
      <c r="Z519" s="6"/>
      <c r="AA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5"/>
      <c r="O520" s="5"/>
      <c r="P520" s="8"/>
      <c r="Q520" s="5"/>
      <c r="R520" s="8"/>
      <c r="S520" s="5"/>
      <c r="T520" s="6"/>
      <c r="U520" s="8"/>
      <c r="V520" s="5"/>
      <c r="W520" s="6"/>
      <c r="X520" s="5"/>
      <c r="Y520" s="8"/>
      <c r="Z520" s="6"/>
      <c r="AA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5"/>
      <c r="O521" s="5"/>
      <c r="P521" s="8"/>
      <c r="Q521" s="5"/>
      <c r="R521" s="8"/>
      <c r="S521" s="5"/>
      <c r="T521" s="6"/>
      <c r="U521" s="8"/>
      <c r="V521" s="5"/>
      <c r="W521" s="6"/>
      <c r="X521" s="5"/>
      <c r="Y521" s="8"/>
      <c r="Z521" s="6"/>
      <c r="AA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5"/>
      <c r="O522" s="5"/>
      <c r="P522" s="8"/>
      <c r="Q522" s="5"/>
      <c r="R522" s="8"/>
      <c r="S522" s="5"/>
      <c r="T522" s="6"/>
      <c r="U522" s="8"/>
      <c r="V522" s="5"/>
      <c r="W522" s="6"/>
      <c r="X522" s="5"/>
      <c r="Y522" s="8"/>
      <c r="Z522" s="6"/>
      <c r="AA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5"/>
      <c r="O523" s="5"/>
      <c r="P523" s="8"/>
      <c r="Q523" s="5"/>
      <c r="R523" s="8"/>
      <c r="S523" s="5"/>
      <c r="T523" s="6"/>
      <c r="U523" s="8"/>
      <c r="V523" s="5"/>
      <c r="W523" s="6"/>
      <c r="X523" s="5"/>
      <c r="Y523" s="8"/>
      <c r="Z523" s="6"/>
      <c r="AA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5"/>
      <c r="O524" s="5"/>
      <c r="P524" s="8"/>
      <c r="Q524" s="5"/>
      <c r="R524" s="8"/>
      <c r="S524" s="5"/>
      <c r="T524" s="6"/>
      <c r="U524" s="8"/>
      <c r="V524" s="5"/>
      <c r="W524" s="6"/>
      <c r="X524" s="5"/>
      <c r="Y524" s="8"/>
      <c r="Z524" s="6"/>
      <c r="AA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5"/>
      <c r="O525" s="5"/>
      <c r="P525" s="8"/>
      <c r="Q525" s="5"/>
      <c r="R525" s="8"/>
      <c r="S525" s="5"/>
      <c r="T525" s="6"/>
      <c r="U525" s="8"/>
      <c r="V525" s="5"/>
      <c r="W525" s="6"/>
      <c r="X525" s="5"/>
      <c r="Y525" s="8"/>
      <c r="Z525" s="6"/>
      <c r="AA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5"/>
      <c r="O526" s="5"/>
      <c r="P526" s="8"/>
      <c r="Q526" s="5"/>
      <c r="R526" s="8"/>
      <c r="S526" s="5"/>
      <c r="T526" s="6"/>
      <c r="U526" s="8"/>
      <c r="V526" s="5"/>
      <c r="W526" s="6"/>
      <c r="X526" s="5"/>
      <c r="Y526" s="8"/>
      <c r="Z526" s="6"/>
      <c r="AA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5"/>
      <c r="O527" s="5"/>
      <c r="P527" s="8"/>
      <c r="Q527" s="5"/>
      <c r="R527" s="8"/>
      <c r="S527" s="5"/>
      <c r="T527" s="6"/>
      <c r="U527" s="8"/>
      <c r="V527" s="5"/>
      <c r="W527" s="6"/>
      <c r="X527" s="5"/>
      <c r="Y527" s="8"/>
      <c r="Z527" s="6"/>
      <c r="AA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5"/>
      <c r="O528" s="5"/>
      <c r="P528" s="8"/>
      <c r="Q528" s="5"/>
      <c r="R528" s="8"/>
      <c r="S528" s="5"/>
      <c r="T528" s="6"/>
      <c r="U528" s="8"/>
      <c r="V528" s="5"/>
      <c r="W528" s="6"/>
      <c r="X528" s="5"/>
      <c r="Y528" s="8"/>
      <c r="Z528" s="6"/>
      <c r="AA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5"/>
      <c r="O529" s="5"/>
      <c r="P529" s="8"/>
      <c r="Q529" s="5"/>
      <c r="R529" s="8"/>
      <c r="S529" s="5"/>
      <c r="T529" s="6"/>
      <c r="U529" s="8"/>
      <c r="V529" s="5"/>
      <c r="W529" s="6"/>
      <c r="X529" s="5"/>
      <c r="Y529" s="8"/>
      <c r="Z529" s="6"/>
      <c r="AA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5"/>
      <c r="O530" s="5"/>
      <c r="P530" s="8"/>
      <c r="Q530" s="5"/>
      <c r="R530" s="8"/>
      <c r="S530" s="5"/>
      <c r="T530" s="6"/>
      <c r="U530" s="8"/>
      <c r="V530" s="5"/>
      <c r="W530" s="6"/>
      <c r="X530" s="5"/>
      <c r="Y530" s="8"/>
      <c r="Z530" s="6"/>
      <c r="AA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5"/>
      <c r="O531" s="5"/>
      <c r="P531" s="8"/>
      <c r="Q531" s="5"/>
      <c r="R531" s="8"/>
      <c r="S531" s="5"/>
      <c r="T531" s="6"/>
      <c r="U531" s="8"/>
      <c r="V531" s="5"/>
      <c r="W531" s="6"/>
      <c r="X531" s="5"/>
      <c r="Y531" s="8"/>
      <c r="Z531" s="6"/>
      <c r="AA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5"/>
      <c r="O532" s="5"/>
      <c r="P532" s="8"/>
      <c r="Q532" s="5"/>
      <c r="R532" s="8"/>
      <c r="S532" s="5"/>
      <c r="T532" s="6"/>
      <c r="U532" s="8"/>
      <c r="V532" s="5"/>
      <c r="W532" s="6"/>
      <c r="X532" s="5"/>
      <c r="Y532" s="8"/>
      <c r="Z532" s="6"/>
      <c r="AA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5"/>
      <c r="O533" s="5"/>
      <c r="P533" s="8"/>
      <c r="Q533" s="5"/>
      <c r="R533" s="8"/>
      <c r="S533" s="5"/>
      <c r="T533" s="6"/>
      <c r="U533" s="8"/>
      <c r="V533" s="5"/>
      <c r="W533" s="6"/>
      <c r="X533" s="5"/>
      <c r="Y533" s="8"/>
      <c r="Z533" s="6"/>
      <c r="AA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5"/>
      <c r="O534" s="5"/>
      <c r="P534" s="8"/>
      <c r="Q534" s="5"/>
      <c r="R534" s="8"/>
      <c r="S534" s="5"/>
      <c r="T534" s="6"/>
      <c r="U534" s="8"/>
      <c r="V534" s="5"/>
      <c r="W534" s="6"/>
      <c r="X534" s="5"/>
      <c r="Y534" s="8"/>
      <c r="Z534" s="6"/>
      <c r="AA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5"/>
      <c r="O535" s="5"/>
      <c r="P535" s="8"/>
      <c r="Q535" s="5"/>
      <c r="R535" s="8"/>
      <c r="S535" s="5"/>
      <c r="T535" s="6"/>
      <c r="U535" s="8"/>
      <c r="V535" s="5"/>
      <c r="W535" s="6"/>
      <c r="X535" s="5"/>
      <c r="Y535" s="8"/>
      <c r="Z535" s="6"/>
      <c r="AA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5"/>
      <c r="O536" s="5"/>
      <c r="P536" s="8"/>
      <c r="Q536" s="5"/>
      <c r="R536" s="8"/>
      <c r="S536" s="5"/>
      <c r="T536" s="6"/>
      <c r="U536" s="8"/>
      <c r="V536" s="5"/>
      <c r="W536" s="6"/>
      <c r="X536" s="5"/>
      <c r="Y536" s="8"/>
      <c r="Z536" s="6"/>
      <c r="AA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5"/>
      <c r="O537" s="5"/>
      <c r="P537" s="8"/>
      <c r="Q537" s="5"/>
      <c r="R537" s="8"/>
      <c r="S537" s="5"/>
      <c r="T537" s="6"/>
      <c r="U537" s="8"/>
      <c r="V537" s="5"/>
      <c r="W537" s="6"/>
      <c r="X537" s="5"/>
      <c r="Y537" s="8"/>
      <c r="Z537" s="6"/>
      <c r="AA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5"/>
      <c r="O538" s="5"/>
      <c r="P538" s="8"/>
      <c r="Q538" s="5"/>
      <c r="R538" s="8"/>
      <c r="S538" s="5"/>
      <c r="T538" s="6"/>
      <c r="U538" s="8"/>
      <c r="V538" s="5"/>
      <c r="W538" s="6"/>
      <c r="X538" s="5"/>
      <c r="Y538" s="8"/>
      <c r="Z538" s="6"/>
      <c r="AA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5"/>
      <c r="O539" s="5"/>
      <c r="P539" s="8"/>
      <c r="Q539" s="5"/>
      <c r="R539" s="8"/>
      <c r="S539" s="5"/>
      <c r="T539" s="6"/>
      <c r="U539" s="8"/>
      <c r="V539" s="5"/>
      <c r="W539" s="6"/>
      <c r="X539" s="5"/>
      <c r="Y539" s="8"/>
      <c r="Z539" s="6"/>
      <c r="AA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5"/>
      <c r="O540" s="5"/>
      <c r="P540" s="8"/>
      <c r="Q540" s="5"/>
      <c r="R540" s="8"/>
      <c r="S540" s="5"/>
      <c r="T540" s="6"/>
      <c r="U540" s="8"/>
      <c r="V540" s="5"/>
      <c r="W540" s="6"/>
      <c r="X540" s="5"/>
      <c r="Y540" s="8"/>
      <c r="Z540" s="6"/>
      <c r="AA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5"/>
      <c r="O541" s="5"/>
      <c r="P541" s="8"/>
      <c r="Q541" s="5"/>
      <c r="R541" s="8"/>
      <c r="S541" s="5"/>
      <c r="T541" s="6"/>
      <c r="U541" s="8"/>
      <c r="V541" s="5"/>
      <c r="W541" s="6"/>
      <c r="X541" s="5"/>
      <c r="Y541" s="8"/>
      <c r="Z541" s="6"/>
      <c r="AA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5"/>
      <c r="O542" s="5"/>
      <c r="P542" s="8"/>
      <c r="Q542" s="5"/>
      <c r="R542" s="8"/>
      <c r="S542" s="5"/>
      <c r="T542" s="6"/>
      <c r="U542" s="8"/>
      <c r="V542" s="5"/>
      <c r="W542" s="6"/>
      <c r="X542" s="5"/>
      <c r="Y542" s="8"/>
      <c r="Z542" s="6"/>
      <c r="AA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5"/>
      <c r="O543" s="5"/>
      <c r="P543" s="8"/>
      <c r="Q543" s="5"/>
      <c r="R543" s="8"/>
      <c r="S543" s="5"/>
      <c r="T543" s="6"/>
      <c r="U543" s="8"/>
      <c r="V543" s="5"/>
      <c r="W543" s="6"/>
      <c r="X543" s="5"/>
      <c r="Y543" s="8"/>
      <c r="Z543" s="6"/>
      <c r="AA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5"/>
      <c r="O544" s="5"/>
      <c r="P544" s="8"/>
      <c r="Q544" s="5"/>
      <c r="R544" s="8"/>
      <c r="S544" s="5"/>
      <c r="T544" s="6"/>
      <c r="U544" s="8"/>
      <c r="V544" s="5"/>
      <c r="W544" s="6"/>
      <c r="X544" s="5"/>
      <c r="Y544" s="8"/>
      <c r="Z544" s="6"/>
      <c r="AA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5"/>
      <c r="O545" s="5"/>
      <c r="P545" s="8"/>
      <c r="Q545" s="5"/>
      <c r="R545" s="8"/>
      <c r="S545" s="5"/>
      <c r="T545" s="6"/>
      <c r="U545" s="8"/>
      <c r="V545" s="5"/>
      <c r="W545" s="6"/>
      <c r="X545" s="5"/>
      <c r="Y545" s="8"/>
      <c r="Z545" s="6"/>
      <c r="AA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5"/>
      <c r="O546" s="5"/>
      <c r="P546" s="8"/>
      <c r="Q546" s="5"/>
      <c r="R546" s="8"/>
      <c r="S546" s="5"/>
      <c r="T546" s="6"/>
      <c r="U546" s="8"/>
      <c r="V546" s="5"/>
      <c r="W546" s="6"/>
      <c r="X546" s="5"/>
      <c r="Y546" s="8"/>
      <c r="Z546" s="6"/>
      <c r="AA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5"/>
      <c r="O547" s="5"/>
      <c r="P547" s="8"/>
      <c r="Q547" s="5"/>
      <c r="R547" s="8"/>
      <c r="S547" s="5"/>
      <c r="T547" s="6"/>
      <c r="U547" s="8"/>
      <c r="V547" s="5"/>
      <c r="W547" s="6"/>
      <c r="X547" s="5"/>
      <c r="Y547" s="8"/>
      <c r="Z547" s="6"/>
      <c r="AA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5"/>
      <c r="O548" s="5"/>
      <c r="P548" s="8"/>
      <c r="Q548" s="5"/>
      <c r="R548" s="8"/>
      <c r="S548" s="5"/>
      <c r="T548" s="6"/>
      <c r="U548" s="8"/>
      <c r="V548" s="5"/>
      <c r="W548" s="6"/>
      <c r="X548" s="5"/>
      <c r="Y548" s="8"/>
      <c r="Z548" s="6"/>
      <c r="AA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5"/>
      <c r="O549" s="5"/>
      <c r="P549" s="8"/>
      <c r="Q549" s="5"/>
      <c r="R549" s="8"/>
      <c r="S549" s="5"/>
      <c r="T549" s="6"/>
      <c r="U549" s="8"/>
      <c r="V549" s="5"/>
      <c r="W549" s="6"/>
      <c r="X549" s="5"/>
      <c r="Y549" s="8"/>
      <c r="Z549" s="6"/>
      <c r="AA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5"/>
      <c r="O550" s="5"/>
      <c r="P550" s="8"/>
      <c r="Q550" s="5"/>
      <c r="R550" s="8"/>
      <c r="S550" s="5"/>
      <c r="T550" s="6"/>
      <c r="U550" s="8"/>
      <c r="V550" s="5"/>
      <c r="W550" s="6"/>
      <c r="X550" s="5"/>
      <c r="Y550" s="8"/>
      <c r="Z550" s="6"/>
      <c r="AA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5"/>
      <c r="O551" s="5"/>
      <c r="P551" s="8"/>
      <c r="Q551" s="5"/>
      <c r="R551" s="8"/>
      <c r="S551" s="5"/>
      <c r="T551" s="6"/>
      <c r="U551" s="8"/>
      <c r="V551" s="5"/>
      <c r="W551" s="6"/>
      <c r="X551" s="5"/>
      <c r="Y551" s="8"/>
      <c r="Z551" s="6"/>
      <c r="AA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5"/>
      <c r="O552" s="5"/>
      <c r="P552" s="8"/>
      <c r="Q552" s="5"/>
      <c r="R552" s="8"/>
      <c r="S552" s="5"/>
      <c r="T552" s="6"/>
      <c r="U552" s="8"/>
      <c r="V552" s="5"/>
      <c r="W552" s="6"/>
      <c r="X552" s="5"/>
      <c r="Y552" s="8"/>
      <c r="Z552" s="6"/>
      <c r="AA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5"/>
      <c r="O553" s="5"/>
      <c r="P553" s="8"/>
      <c r="Q553" s="5"/>
      <c r="R553" s="8"/>
      <c r="S553" s="5"/>
      <c r="T553" s="6"/>
      <c r="U553" s="8"/>
      <c r="V553" s="5"/>
      <c r="W553" s="6"/>
      <c r="X553" s="5"/>
      <c r="Y553" s="8"/>
      <c r="Z553" s="6"/>
      <c r="AA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5"/>
      <c r="O554" s="5"/>
      <c r="P554" s="8"/>
      <c r="Q554" s="5"/>
      <c r="R554" s="8"/>
      <c r="S554" s="5"/>
      <c r="T554" s="6"/>
      <c r="U554" s="8"/>
      <c r="V554" s="5"/>
      <c r="W554" s="6"/>
      <c r="X554" s="5"/>
      <c r="Y554" s="8"/>
      <c r="Z554" s="6"/>
      <c r="AA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5"/>
      <c r="O555" s="5"/>
      <c r="P555" s="8"/>
      <c r="Q555" s="5"/>
      <c r="R555" s="8"/>
      <c r="S555" s="5"/>
      <c r="T555" s="6"/>
      <c r="U555" s="8"/>
      <c r="V555" s="5"/>
      <c r="W555" s="6"/>
      <c r="X555" s="5"/>
      <c r="Y555" s="8"/>
      <c r="Z555" s="6"/>
      <c r="AA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5"/>
      <c r="O556" s="5"/>
      <c r="P556" s="8"/>
      <c r="Q556" s="5"/>
      <c r="R556" s="8"/>
      <c r="S556" s="5"/>
      <c r="T556" s="6"/>
      <c r="U556" s="8"/>
      <c r="V556" s="5"/>
      <c r="W556" s="6"/>
      <c r="X556" s="5"/>
      <c r="Y556" s="8"/>
      <c r="Z556" s="6"/>
      <c r="AA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5"/>
      <c r="O557" s="5"/>
      <c r="P557" s="8"/>
      <c r="Q557" s="5"/>
      <c r="R557" s="8"/>
      <c r="S557" s="5"/>
      <c r="T557" s="6"/>
      <c r="U557" s="8"/>
      <c r="V557" s="5"/>
      <c r="W557" s="6"/>
      <c r="X557" s="5"/>
      <c r="Y557" s="8"/>
      <c r="Z557" s="6"/>
      <c r="AA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5"/>
      <c r="O558" s="5"/>
      <c r="P558" s="8"/>
      <c r="Q558" s="5"/>
      <c r="R558" s="8"/>
      <c r="S558" s="5"/>
      <c r="T558" s="6"/>
      <c r="U558" s="8"/>
      <c r="V558" s="5"/>
      <c r="W558" s="6"/>
      <c r="X558" s="5"/>
      <c r="Y558" s="8"/>
      <c r="Z558" s="6"/>
      <c r="AA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5"/>
      <c r="O559" s="5"/>
      <c r="P559" s="8"/>
      <c r="Q559" s="5"/>
      <c r="R559" s="8"/>
      <c r="S559" s="5"/>
      <c r="T559" s="6"/>
      <c r="U559" s="8"/>
      <c r="V559" s="5"/>
      <c r="W559" s="6"/>
      <c r="X559" s="5"/>
      <c r="Y559" s="8"/>
      <c r="Z559" s="6"/>
      <c r="AA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5"/>
      <c r="O560" s="5"/>
      <c r="P560" s="8"/>
      <c r="Q560" s="5"/>
      <c r="R560" s="8"/>
      <c r="S560" s="5"/>
      <c r="T560" s="6"/>
      <c r="U560" s="8"/>
      <c r="V560" s="5"/>
      <c r="W560" s="6"/>
      <c r="X560" s="5"/>
      <c r="Y560" s="8"/>
      <c r="Z560" s="6"/>
      <c r="AA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5"/>
      <c r="O561" s="5"/>
      <c r="P561" s="8"/>
      <c r="Q561" s="5"/>
      <c r="R561" s="8"/>
      <c r="S561" s="5"/>
      <c r="T561" s="6"/>
      <c r="U561" s="8"/>
      <c r="V561" s="5"/>
      <c r="W561" s="6"/>
      <c r="X561" s="5"/>
      <c r="Y561" s="8"/>
      <c r="Z561" s="6"/>
      <c r="AA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5"/>
      <c r="O562" s="5"/>
      <c r="P562" s="8"/>
      <c r="Q562" s="5"/>
      <c r="R562" s="8"/>
      <c r="S562" s="5"/>
      <c r="T562" s="6"/>
      <c r="U562" s="8"/>
      <c r="V562" s="5"/>
      <c r="W562" s="6"/>
      <c r="X562" s="5"/>
      <c r="Y562" s="8"/>
      <c r="Z562" s="6"/>
      <c r="AA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5"/>
      <c r="O563" s="5"/>
      <c r="P563" s="8"/>
      <c r="Q563" s="5"/>
      <c r="R563" s="8"/>
      <c r="S563" s="5"/>
      <c r="T563" s="6"/>
      <c r="U563" s="8"/>
      <c r="V563" s="5"/>
      <c r="W563" s="6"/>
      <c r="X563" s="5"/>
      <c r="Y563" s="8"/>
      <c r="Z563" s="6"/>
      <c r="AA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5"/>
      <c r="O564" s="5"/>
      <c r="P564" s="8"/>
      <c r="Q564" s="5"/>
      <c r="R564" s="8"/>
      <c r="S564" s="5"/>
      <c r="T564" s="6"/>
      <c r="U564" s="8"/>
      <c r="V564" s="5"/>
      <c r="W564" s="6"/>
      <c r="X564" s="5"/>
      <c r="Y564" s="8"/>
      <c r="Z564" s="6"/>
      <c r="AA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5"/>
      <c r="O565" s="5"/>
      <c r="P565" s="8"/>
      <c r="Q565" s="5"/>
      <c r="R565" s="8"/>
      <c r="S565" s="5"/>
      <c r="T565" s="6"/>
      <c r="U565" s="8"/>
      <c r="V565" s="5"/>
      <c r="W565" s="6"/>
      <c r="X565" s="5"/>
      <c r="Y565" s="8"/>
      <c r="Z565" s="6"/>
      <c r="AA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5"/>
      <c r="O566" s="5"/>
      <c r="P566" s="8"/>
      <c r="Q566" s="5"/>
      <c r="R566" s="8"/>
      <c r="S566" s="5"/>
      <c r="T566" s="6"/>
      <c r="U566" s="8"/>
      <c r="V566" s="5"/>
      <c r="W566" s="6"/>
      <c r="X566" s="5"/>
      <c r="Y566" s="8"/>
      <c r="Z566" s="6"/>
      <c r="AA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5"/>
      <c r="O567" s="5"/>
      <c r="P567" s="8"/>
      <c r="Q567" s="5"/>
      <c r="R567" s="8"/>
      <c r="S567" s="5"/>
      <c r="T567" s="6"/>
      <c r="U567" s="8"/>
      <c r="V567" s="5"/>
      <c r="W567" s="6"/>
      <c r="X567" s="5"/>
      <c r="Y567" s="8"/>
      <c r="Z567" s="6"/>
      <c r="AA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5"/>
      <c r="O568" s="5"/>
      <c r="P568" s="8"/>
      <c r="Q568" s="5"/>
      <c r="R568" s="8"/>
      <c r="S568" s="5"/>
      <c r="T568" s="6"/>
      <c r="U568" s="8"/>
      <c r="V568" s="5"/>
      <c r="W568" s="6"/>
      <c r="X568" s="5"/>
      <c r="Y568" s="8"/>
      <c r="Z568" s="6"/>
      <c r="AA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5"/>
      <c r="O569" s="5"/>
      <c r="P569" s="8"/>
      <c r="Q569" s="5"/>
      <c r="R569" s="8"/>
      <c r="S569" s="5"/>
      <c r="T569" s="6"/>
      <c r="U569" s="8"/>
      <c r="V569" s="5"/>
      <c r="W569" s="6"/>
      <c r="X569" s="5"/>
      <c r="Y569" s="8"/>
      <c r="Z569" s="6"/>
      <c r="AA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5"/>
      <c r="O570" s="5"/>
      <c r="P570" s="8"/>
      <c r="Q570" s="5"/>
      <c r="R570" s="8"/>
      <c r="S570" s="5"/>
      <c r="T570" s="6"/>
      <c r="U570" s="8"/>
      <c r="V570" s="5"/>
      <c r="W570" s="6"/>
      <c r="X570" s="5"/>
      <c r="Y570" s="8"/>
      <c r="Z570" s="6"/>
      <c r="AA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5"/>
      <c r="O571" s="5"/>
      <c r="P571" s="8"/>
      <c r="Q571" s="5"/>
      <c r="R571" s="8"/>
      <c r="S571" s="5"/>
      <c r="T571" s="6"/>
      <c r="U571" s="8"/>
      <c r="V571" s="5"/>
      <c r="W571" s="6"/>
      <c r="X571" s="5"/>
      <c r="Y571" s="8"/>
      <c r="Z571" s="6"/>
      <c r="AA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5"/>
      <c r="O572" s="5"/>
      <c r="P572" s="8"/>
      <c r="Q572" s="5"/>
      <c r="R572" s="8"/>
      <c r="S572" s="5"/>
      <c r="T572" s="6"/>
      <c r="U572" s="8"/>
      <c r="V572" s="5"/>
      <c r="W572" s="6"/>
      <c r="X572" s="5"/>
      <c r="Y572" s="8"/>
      <c r="Z572" s="6"/>
      <c r="AA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5"/>
      <c r="O573" s="5"/>
      <c r="P573" s="8"/>
      <c r="Q573" s="5"/>
      <c r="R573" s="8"/>
      <c r="S573" s="5"/>
      <c r="T573" s="6"/>
      <c r="U573" s="8"/>
      <c r="V573" s="5"/>
      <c r="W573" s="6"/>
      <c r="X573" s="5"/>
      <c r="Y573" s="8"/>
      <c r="Z573" s="6"/>
      <c r="AA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5"/>
      <c r="O574" s="5"/>
      <c r="P574" s="8"/>
      <c r="Q574" s="5"/>
      <c r="R574" s="8"/>
      <c r="S574" s="5"/>
      <c r="T574" s="6"/>
      <c r="U574" s="8"/>
      <c r="V574" s="5"/>
      <c r="W574" s="6"/>
      <c r="X574" s="5"/>
      <c r="Y574" s="8"/>
      <c r="Z574" s="6"/>
      <c r="AA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5"/>
      <c r="O575" s="5"/>
      <c r="P575" s="8"/>
      <c r="Q575" s="5"/>
      <c r="R575" s="8"/>
      <c r="S575" s="5"/>
      <c r="T575" s="6"/>
      <c r="U575" s="8"/>
      <c r="V575" s="5"/>
      <c r="W575" s="6"/>
      <c r="X575" s="5"/>
      <c r="Y575" s="8"/>
      <c r="Z575" s="6"/>
      <c r="AA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5"/>
      <c r="O576" s="5"/>
      <c r="P576" s="8"/>
      <c r="Q576" s="5"/>
      <c r="R576" s="8"/>
      <c r="S576" s="5"/>
      <c r="T576" s="6"/>
      <c r="U576" s="8"/>
      <c r="V576" s="5"/>
      <c r="W576" s="6"/>
      <c r="X576" s="5"/>
      <c r="Y576" s="8"/>
      <c r="Z576" s="6"/>
      <c r="AA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5"/>
      <c r="O577" s="5"/>
      <c r="P577" s="8"/>
      <c r="Q577" s="5"/>
      <c r="R577" s="8"/>
      <c r="S577" s="5"/>
      <c r="T577" s="6"/>
      <c r="U577" s="8"/>
      <c r="V577" s="5"/>
      <c r="W577" s="6"/>
      <c r="X577" s="5"/>
      <c r="Y577" s="8"/>
      <c r="Z577" s="6"/>
      <c r="AA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5"/>
      <c r="O578" s="5"/>
      <c r="P578" s="8"/>
      <c r="Q578" s="5"/>
      <c r="R578" s="8"/>
      <c r="S578" s="5"/>
      <c r="T578" s="6"/>
      <c r="U578" s="8"/>
      <c r="V578" s="5"/>
      <c r="W578" s="6"/>
      <c r="X578" s="5"/>
      <c r="Y578" s="8"/>
      <c r="Z578" s="6"/>
      <c r="AA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5"/>
      <c r="O579" s="5"/>
      <c r="P579" s="8"/>
      <c r="Q579" s="5"/>
      <c r="R579" s="8"/>
      <c r="S579" s="5"/>
      <c r="T579" s="6"/>
      <c r="U579" s="8"/>
      <c r="V579" s="5"/>
      <c r="W579" s="6"/>
      <c r="X579" s="5"/>
      <c r="Y579" s="8"/>
      <c r="Z579" s="6"/>
      <c r="AA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5"/>
      <c r="O580" s="5"/>
      <c r="P580" s="8"/>
      <c r="Q580" s="5"/>
      <c r="R580" s="8"/>
      <c r="S580" s="5"/>
      <c r="T580" s="6"/>
      <c r="U580" s="8"/>
      <c r="V580" s="5"/>
      <c r="W580" s="6"/>
      <c r="X580" s="5"/>
      <c r="Y580" s="8"/>
      <c r="Z580" s="6"/>
      <c r="AA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5"/>
      <c r="O581" s="5"/>
      <c r="P581" s="8"/>
      <c r="Q581" s="5"/>
      <c r="R581" s="8"/>
      <c r="S581" s="5"/>
      <c r="T581" s="6"/>
      <c r="U581" s="8"/>
      <c r="V581" s="5"/>
      <c r="W581" s="6"/>
      <c r="X581" s="5"/>
      <c r="Y581" s="8"/>
      <c r="Z581" s="6"/>
      <c r="AA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5"/>
      <c r="O582" s="5"/>
      <c r="P582" s="8"/>
      <c r="Q582" s="5"/>
      <c r="R582" s="8"/>
      <c r="S582" s="5"/>
      <c r="T582" s="6"/>
      <c r="U582" s="8"/>
      <c r="V582" s="5"/>
      <c r="W582" s="6"/>
      <c r="X582" s="5"/>
      <c r="Y582" s="8"/>
      <c r="Z582" s="6"/>
      <c r="AA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5"/>
      <c r="O583" s="5"/>
      <c r="P583" s="8"/>
      <c r="Q583" s="5"/>
      <c r="R583" s="8"/>
      <c r="S583" s="5"/>
      <c r="T583" s="6"/>
      <c r="U583" s="8"/>
      <c r="V583" s="5"/>
      <c r="W583" s="6"/>
      <c r="X583" s="5"/>
      <c r="Y583" s="8"/>
      <c r="Z583" s="6"/>
      <c r="AA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5"/>
      <c r="O584" s="5"/>
      <c r="P584" s="8"/>
      <c r="Q584" s="5"/>
      <c r="R584" s="8"/>
      <c r="S584" s="5"/>
      <c r="T584" s="6"/>
      <c r="U584" s="8"/>
      <c r="V584" s="5"/>
      <c r="W584" s="6"/>
      <c r="X584" s="5"/>
      <c r="Y584" s="8"/>
      <c r="Z584" s="6"/>
      <c r="AA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5"/>
      <c r="O585" s="5"/>
      <c r="P585" s="8"/>
      <c r="Q585" s="5"/>
      <c r="R585" s="8"/>
      <c r="S585" s="5"/>
      <c r="T585" s="6"/>
      <c r="U585" s="8"/>
      <c r="V585" s="5"/>
      <c r="W585" s="6"/>
      <c r="X585" s="5"/>
      <c r="Y585" s="8"/>
      <c r="Z585" s="6"/>
      <c r="AA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5"/>
      <c r="O586" s="5"/>
      <c r="P586" s="8"/>
      <c r="Q586" s="5"/>
      <c r="R586" s="8"/>
      <c r="S586" s="5"/>
      <c r="T586" s="6"/>
      <c r="U586" s="8"/>
      <c r="V586" s="5"/>
      <c r="W586" s="6"/>
      <c r="X586" s="5"/>
      <c r="Y586" s="8"/>
      <c r="Z586" s="6"/>
      <c r="AA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5"/>
      <c r="O587" s="5"/>
      <c r="P587" s="8"/>
      <c r="Q587" s="5"/>
      <c r="R587" s="8"/>
      <c r="S587" s="5"/>
      <c r="T587" s="6"/>
      <c r="U587" s="8"/>
      <c r="V587" s="5"/>
      <c r="W587" s="6"/>
      <c r="X587" s="5"/>
      <c r="Y587" s="8"/>
      <c r="Z587" s="6"/>
      <c r="AA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5"/>
      <c r="O588" s="5"/>
      <c r="P588" s="8"/>
      <c r="Q588" s="5"/>
      <c r="R588" s="8"/>
      <c r="S588" s="5"/>
      <c r="T588" s="6"/>
      <c r="U588" s="8"/>
      <c r="V588" s="5"/>
      <c r="W588" s="6"/>
      <c r="X588" s="5"/>
      <c r="Y588" s="8"/>
      <c r="Z588" s="6"/>
      <c r="AA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5"/>
      <c r="O589" s="5"/>
      <c r="P589" s="8"/>
      <c r="Q589" s="5"/>
      <c r="R589" s="8"/>
      <c r="S589" s="5"/>
      <c r="T589" s="6"/>
      <c r="U589" s="8"/>
      <c r="V589" s="5"/>
      <c r="W589" s="6"/>
      <c r="X589" s="5"/>
      <c r="Y589" s="8"/>
      <c r="Z589" s="6"/>
      <c r="AA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5"/>
      <c r="O590" s="5"/>
      <c r="P590" s="8"/>
      <c r="Q590" s="5"/>
      <c r="R590" s="8"/>
      <c r="S590" s="5"/>
      <c r="T590" s="6"/>
      <c r="U590" s="8"/>
      <c r="V590" s="5"/>
      <c r="W590" s="6"/>
      <c r="X590" s="5"/>
      <c r="Y590" s="8"/>
      <c r="Z590" s="6"/>
      <c r="AA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5"/>
      <c r="O591" s="5"/>
      <c r="P591" s="8"/>
      <c r="Q591" s="5"/>
      <c r="R591" s="8"/>
      <c r="S591" s="5"/>
      <c r="T591" s="6"/>
      <c r="U591" s="8"/>
      <c r="V591" s="5"/>
      <c r="W591" s="6"/>
      <c r="X591" s="5"/>
      <c r="Y591" s="8"/>
      <c r="Z591" s="6"/>
      <c r="AA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5"/>
      <c r="O592" s="5"/>
      <c r="P592" s="8"/>
      <c r="Q592" s="5"/>
      <c r="R592" s="8"/>
      <c r="S592" s="5"/>
      <c r="T592" s="6"/>
      <c r="U592" s="8"/>
      <c r="V592" s="5"/>
      <c r="W592" s="6"/>
      <c r="X592" s="5"/>
      <c r="Y592" s="8"/>
      <c r="Z592" s="6"/>
      <c r="AA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5"/>
      <c r="O593" s="5"/>
      <c r="P593" s="8"/>
      <c r="Q593" s="5"/>
      <c r="R593" s="8"/>
      <c r="S593" s="5"/>
      <c r="T593" s="6"/>
      <c r="U593" s="8"/>
      <c r="V593" s="5"/>
      <c r="W593" s="6"/>
      <c r="X593" s="5"/>
      <c r="Y593" s="8"/>
      <c r="Z593" s="6"/>
      <c r="AA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5"/>
      <c r="O594" s="5"/>
      <c r="P594" s="8"/>
      <c r="Q594" s="5"/>
      <c r="R594" s="8"/>
      <c r="S594" s="5"/>
      <c r="T594" s="6"/>
      <c r="U594" s="8"/>
      <c r="V594" s="5"/>
      <c r="W594" s="6"/>
      <c r="X594" s="5"/>
      <c r="Y594" s="8"/>
      <c r="Z594" s="6"/>
      <c r="AA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5"/>
      <c r="O595" s="5"/>
      <c r="P595" s="8"/>
      <c r="Q595" s="5"/>
      <c r="R595" s="8"/>
      <c r="S595" s="5"/>
      <c r="T595" s="6"/>
      <c r="U595" s="8"/>
      <c r="V595" s="5"/>
      <c r="W595" s="6"/>
      <c r="X595" s="5"/>
      <c r="Y595" s="8"/>
      <c r="Z595" s="6"/>
      <c r="AA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5"/>
      <c r="O596" s="5"/>
      <c r="P596" s="8"/>
      <c r="Q596" s="5"/>
      <c r="R596" s="8"/>
      <c r="S596" s="5"/>
      <c r="T596" s="6"/>
      <c r="U596" s="8"/>
      <c r="V596" s="5"/>
      <c r="W596" s="6"/>
      <c r="X596" s="5"/>
      <c r="Y596" s="8"/>
      <c r="Z596" s="6"/>
      <c r="AA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5"/>
      <c r="O597" s="5"/>
      <c r="P597" s="8"/>
      <c r="Q597" s="5"/>
      <c r="R597" s="8"/>
      <c r="S597" s="5"/>
      <c r="T597" s="6"/>
      <c r="U597" s="8"/>
      <c r="V597" s="5"/>
      <c r="W597" s="6"/>
      <c r="X597" s="5"/>
      <c r="Y597" s="8"/>
      <c r="Z597" s="6"/>
      <c r="AA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5"/>
      <c r="O598" s="5"/>
      <c r="P598" s="8"/>
      <c r="Q598" s="5"/>
      <c r="R598" s="8"/>
      <c r="S598" s="5"/>
      <c r="T598" s="6"/>
      <c r="U598" s="8"/>
      <c r="V598" s="5"/>
      <c r="W598" s="6"/>
      <c r="X598" s="5"/>
      <c r="Y598" s="8"/>
      <c r="Z598" s="6"/>
      <c r="AA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5"/>
      <c r="O599" s="5"/>
      <c r="P599" s="8"/>
      <c r="Q599" s="5"/>
      <c r="R599" s="8"/>
      <c r="S599" s="5"/>
      <c r="T599" s="6"/>
      <c r="U599" s="8"/>
      <c r="V599" s="5"/>
      <c r="W599" s="6"/>
      <c r="X599" s="5"/>
      <c r="Y599" s="8"/>
      <c r="Z599" s="6"/>
      <c r="AA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5"/>
      <c r="O600" s="5"/>
      <c r="P600" s="8"/>
      <c r="Q600" s="5"/>
      <c r="R600" s="8"/>
      <c r="S600" s="5"/>
      <c r="T600" s="6"/>
      <c r="U600" s="8"/>
      <c r="V600" s="5"/>
      <c r="W600" s="6"/>
      <c r="X600" s="5"/>
      <c r="Y600" s="8"/>
      <c r="Z600" s="6"/>
      <c r="AA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5"/>
      <c r="O601" s="5"/>
      <c r="P601" s="8"/>
      <c r="Q601" s="5"/>
      <c r="R601" s="8"/>
      <c r="S601" s="5"/>
      <c r="T601" s="6"/>
      <c r="U601" s="8"/>
      <c r="V601" s="5"/>
      <c r="W601" s="6"/>
      <c r="X601" s="5"/>
      <c r="Y601" s="8"/>
      <c r="Z601" s="6"/>
      <c r="AA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5"/>
      <c r="O602" s="5"/>
      <c r="P602" s="8"/>
      <c r="Q602" s="5"/>
      <c r="R602" s="8"/>
      <c r="S602" s="5"/>
      <c r="T602" s="6"/>
      <c r="U602" s="8"/>
      <c r="V602" s="5"/>
      <c r="W602" s="6"/>
      <c r="X602" s="5"/>
      <c r="Y602" s="8"/>
      <c r="Z602" s="6"/>
      <c r="AA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5"/>
      <c r="O603" s="5"/>
      <c r="P603" s="8"/>
      <c r="Q603" s="5"/>
      <c r="R603" s="8"/>
      <c r="S603" s="5"/>
      <c r="T603" s="6"/>
      <c r="U603" s="8"/>
      <c r="V603" s="5"/>
      <c r="W603" s="6"/>
      <c r="X603" s="5"/>
      <c r="Y603" s="8"/>
      <c r="Z603" s="6"/>
      <c r="AA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5"/>
      <c r="O604" s="5"/>
      <c r="P604" s="8"/>
      <c r="Q604" s="5"/>
      <c r="R604" s="8"/>
      <c r="S604" s="5"/>
      <c r="T604" s="6"/>
      <c r="U604" s="8"/>
      <c r="V604" s="5"/>
      <c r="W604" s="6"/>
      <c r="X604" s="5"/>
      <c r="Y604" s="8"/>
      <c r="Z604" s="6"/>
      <c r="AA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5"/>
      <c r="O605" s="5"/>
      <c r="P605" s="8"/>
      <c r="Q605" s="5"/>
      <c r="R605" s="8"/>
      <c r="S605" s="5"/>
      <c r="T605" s="6"/>
      <c r="U605" s="8"/>
      <c r="V605" s="5"/>
      <c r="W605" s="6"/>
      <c r="X605" s="5"/>
      <c r="Y605" s="8"/>
      <c r="Z605" s="6"/>
      <c r="AA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5"/>
      <c r="O606" s="5"/>
      <c r="P606" s="8"/>
      <c r="Q606" s="5"/>
      <c r="R606" s="8"/>
      <c r="S606" s="5"/>
      <c r="T606" s="6"/>
      <c r="U606" s="8"/>
      <c r="V606" s="5"/>
      <c r="W606" s="6"/>
      <c r="X606" s="5"/>
      <c r="Y606" s="8"/>
      <c r="Z606" s="6"/>
      <c r="AA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5"/>
      <c r="O607" s="5"/>
      <c r="P607" s="8"/>
      <c r="Q607" s="5"/>
      <c r="R607" s="8"/>
      <c r="S607" s="5"/>
      <c r="T607" s="6"/>
      <c r="U607" s="8"/>
      <c r="V607" s="5"/>
      <c r="W607" s="6"/>
      <c r="X607" s="5"/>
      <c r="Y607" s="8"/>
      <c r="Z607" s="6"/>
      <c r="AA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5"/>
      <c r="O608" s="5"/>
      <c r="P608" s="8"/>
      <c r="Q608" s="5"/>
      <c r="R608" s="8"/>
      <c r="S608" s="5"/>
      <c r="T608" s="6"/>
      <c r="U608" s="8"/>
      <c r="V608" s="5"/>
      <c r="W608" s="6"/>
      <c r="X608" s="5"/>
      <c r="Y608" s="8"/>
      <c r="Z608" s="6"/>
      <c r="AA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5"/>
      <c r="O609" s="5"/>
      <c r="P609" s="8"/>
      <c r="Q609" s="5"/>
      <c r="R609" s="8"/>
      <c r="S609" s="5"/>
      <c r="T609" s="6"/>
      <c r="U609" s="8"/>
      <c r="V609" s="5"/>
      <c r="W609" s="6"/>
      <c r="X609" s="5"/>
      <c r="Y609" s="8"/>
      <c r="Z609" s="6"/>
      <c r="AA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5"/>
      <c r="O610" s="5"/>
      <c r="P610" s="8"/>
      <c r="Q610" s="5"/>
      <c r="R610" s="8"/>
      <c r="S610" s="5"/>
      <c r="T610" s="6"/>
      <c r="U610" s="8"/>
      <c r="V610" s="5"/>
      <c r="W610" s="6"/>
      <c r="X610" s="5"/>
      <c r="Y610" s="8"/>
      <c r="Z610" s="6"/>
      <c r="AA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5"/>
      <c r="O611" s="5"/>
      <c r="P611" s="8"/>
      <c r="Q611" s="5"/>
      <c r="R611" s="8"/>
      <c r="S611" s="5"/>
      <c r="T611" s="6"/>
      <c r="U611" s="8"/>
      <c r="V611" s="5"/>
      <c r="W611" s="6"/>
      <c r="X611" s="5"/>
      <c r="Y611" s="8"/>
      <c r="Z611" s="6"/>
      <c r="AA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5"/>
      <c r="O612" s="5"/>
      <c r="P612" s="8"/>
      <c r="Q612" s="5"/>
      <c r="R612" s="8"/>
      <c r="S612" s="5"/>
      <c r="T612" s="6"/>
      <c r="U612" s="8"/>
      <c r="V612" s="5"/>
      <c r="W612" s="6"/>
      <c r="X612" s="5"/>
      <c r="Y612" s="8"/>
      <c r="Z612" s="6"/>
      <c r="AA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5"/>
      <c r="O613" s="5"/>
      <c r="P613" s="8"/>
      <c r="Q613" s="5"/>
      <c r="R613" s="8"/>
      <c r="S613" s="5"/>
      <c r="T613" s="6"/>
      <c r="U613" s="8"/>
      <c r="V613" s="5"/>
      <c r="W613" s="6"/>
      <c r="X613" s="5"/>
      <c r="Y613" s="8"/>
      <c r="Z613" s="6"/>
      <c r="AA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5"/>
      <c r="O614" s="5"/>
      <c r="P614" s="8"/>
      <c r="Q614" s="5"/>
      <c r="R614" s="8"/>
      <c r="S614" s="5"/>
      <c r="T614" s="6"/>
      <c r="U614" s="8"/>
      <c r="V614" s="5"/>
      <c r="W614" s="6"/>
      <c r="X614" s="5"/>
      <c r="Y614" s="8"/>
      <c r="Z614" s="6"/>
      <c r="AA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5"/>
      <c r="O615" s="5"/>
      <c r="P615" s="8"/>
      <c r="Q615" s="5"/>
      <c r="R615" s="8"/>
      <c r="S615" s="5"/>
      <c r="T615" s="6"/>
      <c r="U615" s="8"/>
      <c r="V615" s="5"/>
      <c r="W615" s="6"/>
      <c r="X615" s="5"/>
      <c r="Y615" s="8"/>
      <c r="Z615" s="6"/>
      <c r="AA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5"/>
      <c r="O616" s="5"/>
      <c r="P616" s="8"/>
      <c r="Q616" s="5"/>
      <c r="R616" s="8"/>
      <c r="S616" s="5"/>
      <c r="T616" s="6"/>
      <c r="U616" s="8"/>
      <c r="V616" s="5"/>
      <c r="W616" s="6"/>
      <c r="X616" s="5"/>
      <c r="Y616" s="8"/>
      <c r="Z616" s="6"/>
      <c r="AA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5"/>
      <c r="O617" s="5"/>
      <c r="P617" s="8"/>
      <c r="Q617" s="5"/>
      <c r="R617" s="8"/>
      <c r="S617" s="5"/>
      <c r="T617" s="6"/>
      <c r="U617" s="8"/>
      <c r="V617" s="5"/>
      <c r="W617" s="6"/>
      <c r="X617" s="5"/>
      <c r="Y617" s="8"/>
      <c r="Z617" s="6"/>
      <c r="AA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5"/>
      <c r="O618" s="5"/>
      <c r="P618" s="8"/>
      <c r="Q618" s="5"/>
      <c r="R618" s="8"/>
      <c r="S618" s="5"/>
      <c r="T618" s="6"/>
      <c r="U618" s="8"/>
      <c r="V618" s="5"/>
      <c r="W618" s="6"/>
      <c r="X618" s="5"/>
      <c r="Y618" s="8"/>
      <c r="Z618" s="6"/>
      <c r="AA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5"/>
      <c r="O619" s="5"/>
      <c r="P619" s="8"/>
      <c r="Q619" s="5"/>
      <c r="R619" s="8"/>
      <c r="S619" s="5"/>
      <c r="T619" s="6"/>
      <c r="U619" s="8"/>
      <c r="V619" s="5"/>
      <c r="W619" s="6"/>
      <c r="X619" s="5"/>
      <c r="Y619" s="8"/>
      <c r="Z619" s="6"/>
      <c r="AA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5"/>
      <c r="O620" s="5"/>
      <c r="P620" s="8"/>
      <c r="Q620" s="5"/>
      <c r="R620" s="8"/>
      <c r="S620" s="5"/>
      <c r="T620" s="6"/>
      <c r="U620" s="8"/>
      <c r="V620" s="5"/>
      <c r="W620" s="6"/>
      <c r="X620" s="5"/>
      <c r="Y620" s="8"/>
      <c r="Z620" s="6"/>
      <c r="AA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5"/>
      <c r="O621" s="5"/>
      <c r="P621" s="8"/>
      <c r="Q621" s="5"/>
      <c r="R621" s="8"/>
      <c r="S621" s="5"/>
      <c r="T621" s="6"/>
      <c r="U621" s="8"/>
      <c r="V621" s="5"/>
      <c r="W621" s="6"/>
      <c r="X621" s="5"/>
      <c r="Y621" s="8"/>
      <c r="Z621" s="6"/>
      <c r="AA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5"/>
      <c r="O622" s="5"/>
      <c r="P622" s="8"/>
      <c r="Q622" s="5"/>
      <c r="R622" s="8"/>
      <c r="S622" s="5"/>
      <c r="T622" s="6"/>
      <c r="U622" s="8"/>
      <c r="V622" s="5"/>
      <c r="W622" s="6"/>
      <c r="X622" s="5"/>
      <c r="Y622" s="8"/>
      <c r="Z622" s="6"/>
      <c r="AA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5"/>
      <c r="O623" s="5"/>
      <c r="P623" s="8"/>
      <c r="Q623" s="5"/>
      <c r="R623" s="8"/>
      <c r="S623" s="5"/>
      <c r="T623" s="6"/>
      <c r="U623" s="8"/>
      <c r="V623" s="5"/>
      <c r="W623" s="6"/>
      <c r="X623" s="5"/>
      <c r="Y623" s="8"/>
      <c r="Z623" s="6"/>
      <c r="AA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5"/>
      <c r="O624" s="5"/>
      <c r="P624" s="8"/>
      <c r="Q624" s="5"/>
      <c r="R624" s="8"/>
      <c r="S624" s="5"/>
      <c r="T624" s="6"/>
      <c r="U624" s="8"/>
      <c r="V624" s="5"/>
      <c r="W624" s="6"/>
      <c r="X624" s="5"/>
      <c r="Y624" s="8"/>
      <c r="Z624" s="6"/>
      <c r="AA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5"/>
      <c r="O625" s="5"/>
      <c r="P625" s="8"/>
      <c r="Q625" s="5"/>
      <c r="R625" s="8"/>
      <c r="S625" s="5"/>
      <c r="T625" s="6"/>
      <c r="U625" s="8"/>
      <c r="V625" s="5"/>
      <c r="W625" s="6"/>
      <c r="X625" s="5"/>
      <c r="Y625" s="8"/>
      <c r="Z625" s="6"/>
      <c r="AA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5"/>
      <c r="O626" s="5"/>
      <c r="P626" s="8"/>
      <c r="Q626" s="5"/>
      <c r="R626" s="8"/>
      <c r="S626" s="5"/>
      <c r="T626" s="6"/>
      <c r="U626" s="8"/>
      <c r="V626" s="5"/>
      <c r="W626" s="6"/>
      <c r="X626" s="5"/>
      <c r="Y626" s="8"/>
      <c r="Z626" s="6"/>
      <c r="AA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5"/>
      <c r="O627" s="5"/>
      <c r="P627" s="8"/>
      <c r="Q627" s="5"/>
      <c r="R627" s="8"/>
      <c r="S627" s="5"/>
      <c r="T627" s="6"/>
      <c r="U627" s="8"/>
      <c r="V627" s="5"/>
      <c r="W627" s="6"/>
      <c r="X627" s="5"/>
      <c r="Y627" s="8"/>
      <c r="Z627" s="6"/>
      <c r="AA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5"/>
      <c r="O628" s="5"/>
      <c r="P628" s="8"/>
      <c r="Q628" s="5"/>
      <c r="R628" s="8"/>
      <c r="S628" s="5"/>
      <c r="T628" s="6"/>
      <c r="U628" s="8"/>
      <c r="V628" s="5"/>
      <c r="W628" s="6"/>
      <c r="X628" s="5"/>
      <c r="Y628" s="8"/>
      <c r="Z628" s="6"/>
      <c r="AA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5"/>
      <c r="O629" s="5"/>
      <c r="P629" s="8"/>
      <c r="Q629" s="5"/>
      <c r="R629" s="8"/>
      <c r="S629" s="5"/>
      <c r="T629" s="6"/>
      <c r="U629" s="8"/>
      <c r="V629" s="5"/>
      <c r="W629" s="6"/>
      <c r="X629" s="5"/>
      <c r="Y629" s="8"/>
      <c r="Z629" s="6"/>
      <c r="AA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5"/>
      <c r="O630" s="5"/>
      <c r="P630" s="8"/>
      <c r="Q630" s="5"/>
      <c r="R630" s="8"/>
      <c r="S630" s="5"/>
      <c r="T630" s="6"/>
      <c r="U630" s="8"/>
      <c r="V630" s="5"/>
      <c r="W630" s="6"/>
      <c r="X630" s="5"/>
      <c r="Y630" s="8"/>
      <c r="Z630" s="6"/>
      <c r="AA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5"/>
      <c r="O631" s="5"/>
      <c r="P631" s="8"/>
      <c r="Q631" s="5"/>
      <c r="R631" s="8"/>
      <c r="S631" s="5"/>
      <c r="T631" s="6"/>
      <c r="U631" s="8"/>
      <c r="V631" s="5"/>
      <c r="W631" s="6"/>
      <c r="X631" s="5"/>
      <c r="Y631" s="8"/>
      <c r="Z631" s="6"/>
      <c r="AA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5"/>
      <c r="O632" s="5"/>
      <c r="P632" s="8"/>
      <c r="Q632" s="5"/>
      <c r="R632" s="8"/>
      <c r="S632" s="5"/>
      <c r="T632" s="6"/>
      <c r="U632" s="8"/>
      <c r="V632" s="5"/>
      <c r="W632" s="6"/>
      <c r="X632" s="5"/>
      <c r="Y632" s="8"/>
      <c r="Z632" s="6"/>
      <c r="AA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5"/>
      <c r="O633" s="5"/>
      <c r="P633" s="8"/>
      <c r="Q633" s="5"/>
      <c r="R633" s="8"/>
      <c r="S633" s="5"/>
      <c r="T633" s="6"/>
      <c r="U633" s="8"/>
      <c r="V633" s="5"/>
      <c r="W633" s="6"/>
      <c r="X633" s="5"/>
      <c r="Y633" s="8"/>
      <c r="Z633" s="6"/>
      <c r="AA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5"/>
      <c r="O634" s="5"/>
      <c r="P634" s="8"/>
      <c r="Q634" s="5"/>
      <c r="R634" s="8"/>
      <c r="S634" s="5"/>
      <c r="T634" s="6"/>
      <c r="U634" s="8"/>
      <c r="V634" s="5"/>
      <c r="W634" s="6"/>
      <c r="X634" s="5"/>
      <c r="Y634" s="8"/>
      <c r="Z634" s="6"/>
      <c r="AA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5"/>
      <c r="O635" s="5"/>
      <c r="P635" s="8"/>
      <c r="Q635" s="5"/>
      <c r="R635" s="8"/>
      <c r="S635" s="5"/>
      <c r="T635" s="6"/>
      <c r="U635" s="8"/>
      <c r="V635" s="5"/>
      <c r="W635" s="6"/>
      <c r="X635" s="5"/>
      <c r="Y635" s="8"/>
      <c r="Z635" s="6"/>
      <c r="AA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5"/>
      <c r="O636" s="5"/>
      <c r="P636" s="8"/>
      <c r="Q636" s="5"/>
      <c r="R636" s="8"/>
      <c r="S636" s="5"/>
      <c r="T636" s="6"/>
      <c r="U636" s="8"/>
      <c r="V636" s="5"/>
      <c r="W636" s="6"/>
      <c r="X636" s="5"/>
      <c r="Y636" s="8"/>
      <c r="Z636" s="6"/>
      <c r="AA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5"/>
      <c r="O637" s="5"/>
      <c r="P637" s="8"/>
      <c r="Q637" s="5"/>
      <c r="R637" s="8"/>
      <c r="S637" s="5"/>
      <c r="T637" s="6"/>
      <c r="U637" s="8"/>
      <c r="V637" s="5"/>
      <c r="W637" s="6"/>
      <c r="X637" s="5"/>
      <c r="Y637" s="8"/>
      <c r="Z637" s="6"/>
      <c r="AA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5"/>
      <c r="O638" s="5"/>
      <c r="P638" s="8"/>
      <c r="Q638" s="5"/>
      <c r="R638" s="8"/>
      <c r="S638" s="5"/>
      <c r="T638" s="6"/>
      <c r="U638" s="8"/>
      <c r="V638" s="5"/>
      <c r="W638" s="6"/>
      <c r="X638" s="5"/>
      <c r="Y638" s="8"/>
      <c r="Z638" s="6"/>
      <c r="AA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5"/>
      <c r="O639" s="5"/>
      <c r="P639" s="8"/>
      <c r="Q639" s="5"/>
      <c r="R639" s="8"/>
      <c r="S639" s="5"/>
      <c r="T639" s="6"/>
      <c r="U639" s="8"/>
      <c r="V639" s="5"/>
      <c r="W639" s="6"/>
      <c r="X639" s="5"/>
      <c r="Y639" s="8"/>
      <c r="Z639" s="6"/>
      <c r="AA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5"/>
      <c r="O640" s="5"/>
      <c r="P640" s="8"/>
      <c r="Q640" s="5"/>
      <c r="R640" s="8"/>
      <c r="S640" s="5"/>
      <c r="T640" s="6"/>
      <c r="U640" s="8"/>
      <c r="V640" s="5"/>
      <c r="W640" s="6"/>
      <c r="X640" s="5"/>
      <c r="Y640" s="8"/>
      <c r="Z640" s="6"/>
      <c r="AA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5"/>
      <c r="O641" s="5"/>
      <c r="P641" s="8"/>
      <c r="Q641" s="5"/>
      <c r="R641" s="8"/>
      <c r="S641" s="5"/>
      <c r="T641" s="6"/>
      <c r="U641" s="8"/>
      <c r="V641" s="5"/>
      <c r="W641" s="6"/>
      <c r="X641" s="5"/>
      <c r="Y641" s="8"/>
      <c r="Z641" s="6"/>
      <c r="AA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5"/>
      <c r="O642" s="5"/>
      <c r="P642" s="8"/>
      <c r="Q642" s="5"/>
      <c r="R642" s="8"/>
      <c r="S642" s="5"/>
      <c r="T642" s="6"/>
      <c r="U642" s="8"/>
      <c r="V642" s="5"/>
      <c r="W642" s="6"/>
      <c r="X642" s="5"/>
      <c r="Y642" s="8"/>
      <c r="Z642" s="6"/>
      <c r="AA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5"/>
      <c r="O643" s="5"/>
      <c r="P643" s="8"/>
      <c r="Q643" s="5"/>
      <c r="R643" s="8"/>
      <c r="S643" s="5"/>
      <c r="T643" s="6"/>
      <c r="U643" s="8"/>
      <c r="V643" s="5"/>
      <c r="W643" s="6"/>
      <c r="X643" s="5"/>
      <c r="Y643" s="8"/>
      <c r="Z643" s="6"/>
      <c r="AA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5"/>
      <c r="O644" s="5"/>
      <c r="P644" s="8"/>
      <c r="Q644" s="5"/>
      <c r="R644" s="8"/>
      <c r="S644" s="5"/>
      <c r="T644" s="6"/>
      <c r="U644" s="8"/>
      <c r="V644" s="5"/>
      <c r="W644" s="6"/>
      <c r="X644" s="5"/>
      <c r="Y644" s="8"/>
      <c r="Z644" s="6"/>
      <c r="AA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5"/>
      <c r="O645" s="5"/>
      <c r="P645" s="8"/>
      <c r="Q645" s="5"/>
      <c r="R645" s="8"/>
      <c r="S645" s="5"/>
      <c r="T645" s="6"/>
      <c r="U645" s="8"/>
      <c r="V645" s="5"/>
      <c r="W645" s="6"/>
      <c r="X645" s="5"/>
      <c r="Y645" s="8"/>
      <c r="Z645" s="6"/>
      <c r="AA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5"/>
      <c r="O646" s="5"/>
      <c r="P646" s="8"/>
      <c r="Q646" s="5"/>
      <c r="R646" s="8"/>
      <c r="S646" s="5"/>
      <c r="T646" s="6"/>
      <c r="U646" s="8"/>
      <c r="V646" s="5"/>
      <c r="W646" s="6"/>
      <c r="X646" s="5"/>
      <c r="Y646" s="8"/>
      <c r="Z646" s="6"/>
      <c r="AA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5"/>
      <c r="O647" s="5"/>
      <c r="P647" s="8"/>
      <c r="Q647" s="5"/>
      <c r="R647" s="8"/>
      <c r="S647" s="5"/>
      <c r="T647" s="6"/>
      <c r="U647" s="8"/>
      <c r="V647" s="5"/>
      <c r="W647" s="6"/>
      <c r="X647" s="5"/>
      <c r="Y647" s="8"/>
      <c r="Z647" s="6"/>
      <c r="AA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5"/>
      <c r="O648" s="5"/>
      <c r="P648" s="8"/>
      <c r="Q648" s="5"/>
      <c r="R648" s="8"/>
      <c r="S648" s="5"/>
      <c r="T648" s="6"/>
      <c r="U648" s="8"/>
      <c r="V648" s="5"/>
      <c r="W648" s="6"/>
      <c r="X648" s="5"/>
      <c r="Y648" s="8"/>
      <c r="Z648" s="6"/>
      <c r="AA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5"/>
      <c r="O649" s="5"/>
      <c r="P649" s="8"/>
      <c r="Q649" s="5"/>
      <c r="R649" s="8"/>
      <c r="S649" s="5"/>
      <c r="T649" s="6"/>
      <c r="U649" s="8"/>
      <c r="V649" s="5"/>
      <c r="W649" s="6"/>
      <c r="X649" s="5"/>
      <c r="Y649" s="8"/>
      <c r="Z649" s="6"/>
      <c r="AA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5"/>
      <c r="O650" s="5"/>
      <c r="P650" s="8"/>
      <c r="Q650" s="5"/>
      <c r="R650" s="8"/>
      <c r="S650" s="5"/>
      <c r="T650" s="6"/>
      <c r="U650" s="8"/>
      <c r="V650" s="5"/>
      <c r="W650" s="6"/>
      <c r="X650" s="5"/>
      <c r="Y650" s="8"/>
      <c r="Z650" s="6"/>
      <c r="AA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5"/>
      <c r="O651" s="5"/>
      <c r="P651" s="8"/>
      <c r="Q651" s="5"/>
      <c r="R651" s="8"/>
      <c r="S651" s="5"/>
      <c r="T651" s="6"/>
      <c r="U651" s="8"/>
      <c r="V651" s="5"/>
      <c r="W651" s="6"/>
      <c r="X651" s="5"/>
      <c r="Y651" s="8"/>
      <c r="Z651" s="6"/>
      <c r="AA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5"/>
      <c r="O652" s="5"/>
      <c r="P652" s="8"/>
      <c r="Q652" s="5"/>
      <c r="R652" s="8"/>
      <c r="S652" s="5"/>
      <c r="T652" s="6"/>
      <c r="U652" s="8"/>
      <c r="V652" s="5"/>
      <c r="W652" s="6"/>
      <c r="X652" s="5"/>
      <c r="Y652" s="8"/>
      <c r="Z652" s="6"/>
      <c r="AA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5"/>
      <c r="O653" s="5"/>
      <c r="P653" s="8"/>
      <c r="Q653" s="5"/>
      <c r="R653" s="8"/>
      <c r="S653" s="5"/>
      <c r="T653" s="6"/>
      <c r="U653" s="8"/>
      <c r="V653" s="5"/>
      <c r="W653" s="6"/>
      <c r="X653" s="5"/>
      <c r="Y653" s="8"/>
      <c r="Z653" s="6"/>
      <c r="AA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5"/>
      <c r="O654" s="5"/>
      <c r="P654" s="8"/>
      <c r="Q654" s="5"/>
      <c r="R654" s="8"/>
      <c r="S654" s="5"/>
      <c r="T654" s="6"/>
      <c r="U654" s="8"/>
      <c r="V654" s="5"/>
      <c r="W654" s="6"/>
      <c r="X654" s="5"/>
      <c r="Y654" s="8"/>
      <c r="Z654" s="6"/>
      <c r="AA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5"/>
      <c r="O655" s="5"/>
      <c r="P655" s="8"/>
      <c r="Q655" s="5"/>
      <c r="R655" s="8"/>
      <c r="S655" s="5"/>
      <c r="T655" s="6"/>
      <c r="U655" s="8"/>
      <c r="V655" s="5"/>
      <c r="W655" s="6"/>
      <c r="X655" s="5"/>
      <c r="Y655" s="8"/>
      <c r="Z655" s="6"/>
      <c r="AA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5"/>
      <c r="O656" s="5"/>
      <c r="P656" s="8"/>
      <c r="Q656" s="5"/>
      <c r="R656" s="8"/>
      <c r="S656" s="5"/>
      <c r="T656" s="6"/>
      <c r="U656" s="8"/>
      <c r="V656" s="5"/>
      <c r="W656" s="6"/>
      <c r="X656" s="5"/>
      <c r="Y656" s="8"/>
      <c r="Z656" s="6"/>
      <c r="AA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5"/>
      <c r="O657" s="5"/>
      <c r="P657" s="8"/>
      <c r="Q657" s="5"/>
      <c r="R657" s="8"/>
      <c r="S657" s="5"/>
      <c r="T657" s="6"/>
      <c r="U657" s="8"/>
      <c r="V657" s="5"/>
      <c r="W657" s="6"/>
      <c r="X657" s="5"/>
      <c r="Y657" s="8"/>
      <c r="Z657" s="6"/>
      <c r="AA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5"/>
      <c r="O658" s="5"/>
      <c r="P658" s="8"/>
      <c r="Q658" s="5"/>
      <c r="R658" s="8"/>
      <c r="S658" s="5"/>
      <c r="T658" s="6"/>
      <c r="U658" s="8"/>
      <c r="V658" s="5"/>
      <c r="W658" s="6"/>
      <c r="X658" s="5"/>
      <c r="Y658" s="8"/>
      <c r="Z658" s="6"/>
      <c r="AA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5"/>
      <c r="O659" s="5"/>
      <c r="P659" s="8"/>
      <c r="Q659" s="5"/>
      <c r="R659" s="8"/>
      <c r="S659" s="5"/>
      <c r="T659" s="6"/>
      <c r="U659" s="8"/>
      <c r="V659" s="5"/>
      <c r="W659" s="6"/>
      <c r="X659" s="5"/>
      <c r="Y659" s="8"/>
      <c r="Z659" s="6"/>
      <c r="AA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5"/>
      <c r="O660" s="5"/>
      <c r="P660" s="8"/>
      <c r="Q660" s="5"/>
      <c r="R660" s="8"/>
      <c r="S660" s="5"/>
      <c r="T660" s="6"/>
      <c r="U660" s="8"/>
      <c r="V660" s="5"/>
      <c r="W660" s="6"/>
      <c r="X660" s="5"/>
      <c r="Y660" s="8"/>
      <c r="Z660" s="6"/>
      <c r="AA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5"/>
      <c r="O661" s="5"/>
      <c r="P661" s="8"/>
      <c r="Q661" s="5"/>
      <c r="R661" s="8"/>
      <c r="S661" s="5"/>
      <c r="T661" s="6"/>
      <c r="U661" s="8"/>
      <c r="V661" s="5"/>
      <c r="W661" s="6"/>
      <c r="X661" s="5"/>
      <c r="Y661" s="8"/>
      <c r="Z661" s="6"/>
      <c r="AA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5"/>
      <c r="O662" s="5"/>
      <c r="P662" s="8"/>
      <c r="Q662" s="5"/>
      <c r="R662" s="8"/>
      <c r="S662" s="5"/>
      <c r="T662" s="6"/>
      <c r="U662" s="8"/>
      <c r="V662" s="5"/>
      <c r="W662" s="6"/>
      <c r="X662" s="5"/>
      <c r="Y662" s="8"/>
      <c r="Z662" s="6"/>
      <c r="AA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5"/>
      <c r="O663" s="5"/>
      <c r="P663" s="8"/>
      <c r="Q663" s="5"/>
      <c r="R663" s="8"/>
      <c r="S663" s="5"/>
      <c r="T663" s="6"/>
      <c r="U663" s="8"/>
      <c r="V663" s="5"/>
      <c r="W663" s="6"/>
      <c r="X663" s="5"/>
      <c r="Y663" s="8"/>
      <c r="Z663" s="6"/>
      <c r="AA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5"/>
      <c r="O664" s="5"/>
      <c r="P664" s="8"/>
      <c r="Q664" s="5"/>
      <c r="R664" s="8"/>
      <c r="S664" s="5"/>
      <c r="T664" s="6"/>
      <c r="U664" s="8"/>
      <c r="V664" s="5"/>
      <c r="W664" s="6"/>
      <c r="X664" s="5"/>
      <c r="Y664" s="8"/>
      <c r="Z664" s="6"/>
      <c r="AA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5"/>
      <c r="O665" s="5"/>
      <c r="P665" s="8"/>
      <c r="Q665" s="5"/>
      <c r="R665" s="8"/>
      <c r="S665" s="5"/>
      <c r="T665" s="6"/>
      <c r="U665" s="8"/>
      <c r="V665" s="5"/>
      <c r="W665" s="6"/>
      <c r="X665" s="5"/>
      <c r="Y665" s="8"/>
      <c r="Z665" s="6"/>
      <c r="AA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5"/>
      <c r="O666" s="5"/>
      <c r="P666" s="8"/>
      <c r="Q666" s="5"/>
      <c r="R666" s="8"/>
      <c r="S666" s="5"/>
      <c r="T666" s="6"/>
      <c r="U666" s="8"/>
      <c r="V666" s="5"/>
      <c r="W666" s="6"/>
      <c r="X666" s="5"/>
      <c r="Y666" s="8"/>
      <c r="Z666" s="6"/>
      <c r="AA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5"/>
      <c r="O667" s="5"/>
      <c r="P667" s="8"/>
      <c r="Q667" s="5"/>
      <c r="R667" s="8"/>
      <c r="S667" s="5"/>
      <c r="T667" s="6"/>
      <c r="U667" s="8"/>
      <c r="V667" s="5"/>
      <c r="W667" s="6"/>
      <c r="X667" s="5"/>
      <c r="Y667" s="8"/>
      <c r="Z667" s="6"/>
      <c r="AA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5"/>
      <c r="O668" s="5"/>
      <c r="P668" s="8"/>
      <c r="Q668" s="5"/>
      <c r="R668" s="8"/>
      <c r="S668" s="5"/>
      <c r="T668" s="6"/>
      <c r="U668" s="8"/>
      <c r="V668" s="5"/>
      <c r="W668" s="6"/>
      <c r="X668" s="5"/>
      <c r="Y668" s="8"/>
      <c r="Z668" s="6"/>
      <c r="AA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5"/>
      <c r="O669" s="5"/>
      <c r="P669" s="8"/>
      <c r="Q669" s="5"/>
      <c r="R669" s="8"/>
      <c r="S669" s="5"/>
      <c r="T669" s="6"/>
      <c r="U669" s="8"/>
      <c r="V669" s="5"/>
      <c r="W669" s="6"/>
      <c r="X669" s="5"/>
      <c r="Y669" s="8"/>
      <c r="Z669" s="6"/>
      <c r="AA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5"/>
      <c r="O670" s="5"/>
      <c r="P670" s="8"/>
      <c r="Q670" s="5"/>
      <c r="R670" s="8"/>
      <c r="S670" s="5"/>
      <c r="T670" s="6"/>
      <c r="U670" s="8"/>
      <c r="V670" s="5"/>
      <c r="W670" s="6"/>
      <c r="X670" s="5"/>
      <c r="Y670" s="8"/>
      <c r="Z670" s="6"/>
      <c r="AA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5"/>
      <c r="O671" s="5"/>
      <c r="P671" s="8"/>
      <c r="Q671" s="5"/>
      <c r="R671" s="8"/>
      <c r="S671" s="5"/>
      <c r="T671" s="6"/>
      <c r="U671" s="8"/>
      <c r="V671" s="5"/>
      <c r="W671" s="6"/>
      <c r="X671" s="5"/>
      <c r="Y671" s="8"/>
      <c r="Z671" s="6"/>
      <c r="AA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5"/>
      <c r="O672" s="5"/>
      <c r="P672" s="8"/>
      <c r="Q672" s="5"/>
      <c r="R672" s="8"/>
      <c r="S672" s="5"/>
      <c r="T672" s="6"/>
      <c r="U672" s="8"/>
      <c r="V672" s="5"/>
      <c r="W672" s="6"/>
      <c r="X672" s="5"/>
      <c r="Y672" s="8"/>
      <c r="Z672" s="6"/>
      <c r="AA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5"/>
      <c r="O673" s="5"/>
      <c r="P673" s="8"/>
      <c r="Q673" s="5"/>
      <c r="R673" s="8"/>
      <c r="S673" s="5"/>
      <c r="T673" s="6"/>
      <c r="U673" s="8"/>
      <c r="V673" s="5"/>
      <c r="W673" s="6"/>
      <c r="X673" s="5"/>
      <c r="Y673" s="8"/>
      <c r="Z673" s="6"/>
      <c r="AA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5"/>
      <c r="O674" s="5"/>
      <c r="P674" s="8"/>
      <c r="Q674" s="5"/>
      <c r="R674" s="8"/>
      <c r="S674" s="5"/>
      <c r="T674" s="6"/>
      <c r="U674" s="8"/>
      <c r="V674" s="5"/>
      <c r="W674" s="6"/>
      <c r="X674" s="5"/>
      <c r="Y674" s="8"/>
      <c r="Z674" s="6"/>
      <c r="AA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5"/>
      <c r="O675" s="5"/>
      <c r="P675" s="8"/>
      <c r="Q675" s="5"/>
      <c r="R675" s="8"/>
      <c r="S675" s="5"/>
      <c r="T675" s="6"/>
      <c r="U675" s="8"/>
      <c r="V675" s="5"/>
      <c r="W675" s="6"/>
      <c r="X675" s="5"/>
      <c r="Y675" s="8"/>
      <c r="Z675" s="6"/>
      <c r="AA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5"/>
      <c r="O676" s="5"/>
      <c r="P676" s="8"/>
      <c r="Q676" s="5"/>
      <c r="R676" s="8"/>
      <c r="S676" s="5"/>
      <c r="T676" s="6"/>
      <c r="U676" s="8"/>
      <c r="V676" s="5"/>
      <c r="W676" s="6"/>
      <c r="X676" s="5"/>
      <c r="Y676" s="8"/>
      <c r="Z676" s="6"/>
      <c r="AA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5"/>
      <c r="O677" s="5"/>
      <c r="P677" s="8"/>
      <c r="Q677" s="5"/>
      <c r="R677" s="8"/>
      <c r="S677" s="5"/>
      <c r="T677" s="6"/>
      <c r="U677" s="8"/>
      <c r="V677" s="5"/>
      <c r="W677" s="6"/>
      <c r="X677" s="5"/>
      <c r="Y677" s="8"/>
      <c r="Z677" s="6"/>
      <c r="AA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5"/>
      <c r="O678" s="5"/>
      <c r="P678" s="8"/>
      <c r="Q678" s="5"/>
      <c r="R678" s="8"/>
      <c r="S678" s="5"/>
      <c r="T678" s="6"/>
      <c r="U678" s="8"/>
      <c r="V678" s="5"/>
      <c r="W678" s="6"/>
      <c r="X678" s="5"/>
      <c r="Y678" s="8"/>
      <c r="Z678" s="6"/>
      <c r="AA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5"/>
      <c r="O679" s="5"/>
      <c r="P679" s="8"/>
      <c r="Q679" s="5"/>
      <c r="R679" s="8"/>
      <c r="S679" s="5"/>
      <c r="T679" s="6"/>
      <c r="U679" s="8"/>
      <c r="V679" s="5"/>
      <c r="W679" s="6"/>
      <c r="X679" s="5"/>
      <c r="Y679" s="8"/>
      <c r="Z679" s="6"/>
      <c r="AA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5"/>
      <c r="O680" s="5"/>
      <c r="P680" s="8"/>
      <c r="Q680" s="5"/>
      <c r="R680" s="8"/>
      <c r="S680" s="5"/>
      <c r="T680" s="6"/>
      <c r="U680" s="8"/>
      <c r="V680" s="5"/>
      <c r="W680" s="6"/>
      <c r="X680" s="5"/>
      <c r="Y680" s="8"/>
      <c r="Z680" s="6"/>
      <c r="AA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5"/>
      <c r="O681" s="5"/>
      <c r="P681" s="8"/>
      <c r="Q681" s="5"/>
      <c r="R681" s="8"/>
      <c r="S681" s="5"/>
      <c r="T681" s="6"/>
      <c r="U681" s="8"/>
      <c r="V681" s="5"/>
      <c r="W681" s="6"/>
      <c r="X681" s="5"/>
      <c r="Y681" s="8"/>
      <c r="Z681" s="6"/>
      <c r="AA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5"/>
      <c r="O682" s="5"/>
      <c r="P682" s="8"/>
      <c r="Q682" s="5"/>
      <c r="R682" s="8"/>
      <c r="S682" s="5"/>
      <c r="T682" s="6"/>
      <c r="U682" s="8"/>
      <c r="V682" s="5"/>
      <c r="W682" s="6"/>
      <c r="X682" s="5"/>
      <c r="Y682" s="8"/>
      <c r="Z682" s="6"/>
      <c r="AA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5"/>
      <c r="O683" s="5"/>
      <c r="P683" s="8"/>
      <c r="Q683" s="5"/>
      <c r="R683" s="8"/>
      <c r="S683" s="5"/>
      <c r="T683" s="6"/>
      <c r="U683" s="8"/>
      <c r="V683" s="5"/>
      <c r="W683" s="6"/>
      <c r="X683" s="5"/>
      <c r="Y683" s="8"/>
      <c r="Z683" s="6"/>
      <c r="AA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5"/>
      <c r="O684" s="5"/>
      <c r="P684" s="8"/>
      <c r="Q684" s="5"/>
      <c r="R684" s="8"/>
      <c r="S684" s="5"/>
      <c r="T684" s="6"/>
      <c r="U684" s="8"/>
      <c r="V684" s="5"/>
      <c r="W684" s="6"/>
      <c r="X684" s="5"/>
      <c r="Y684" s="8"/>
      <c r="Z684" s="6"/>
      <c r="AA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5"/>
      <c r="O685" s="5"/>
      <c r="P685" s="8"/>
      <c r="Q685" s="5"/>
      <c r="R685" s="8"/>
      <c r="S685" s="5"/>
      <c r="T685" s="6"/>
      <c r="U685" s="8"/>
      <c r="V685" s="5"/>
      <c r="W685" s="6"/>
      <c r="X685" s="5"/>
      <c r="Y685" s="8"/>
      <c r="Z685" s="6"/>
      <c r="AA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5"/>
      <c r="O686" s="5"/>
      <c r="P686" s="8"/>
      <c r="Q686" s="5"/>
      <c r="R686" s="8"/>
      <c r="S686" s="5"/>
      <c r="T686" s="6"/>
      <c r="U686" s="8"/>
      <c r="V686" s="5"/>
      <c r="W686" s="6"/>
      <c r="X686" s="5"/>
      <c r="Y686" s="8"/>
      <c r="Z686" s="6"/>
      <c r="AA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5"/>
      <c r="O687" s="5"/>
      <c r="P687" s="8"/>
      <c r="Q687" s="5"/>
      <c r="R687" s="8"/>
      <c r="S687" s="5"/>
      <c r="T687" s="6"/>
      <c r="U687" s="8"/>
      <c r="V687" s="5"/>
      <c r="W687" s="6"/>
      <c r="X687" s="5"/>
      <c r="Y687" s="8"/>
      <c r="Z687" s="6"/>
      <c r="AA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5"/>
      <c r="O688" s="5"/>
      <c r="P688" s="8"/>
      <c r="Q688" s="5"/>
      <c r="R688" s="8"/>
      <c r="S688" s="5"/>
      <c r="T688" s="6"/>
      <c r="U688" s="8"/>
      <c r="V688" s="5"/>
      <c r="W688" s="6"/>
      <c r="X688" s="5"/>
      <c r="Y688" s="8"/>
      <c r="Z688" s="6"/>
      <c r="AA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5"/>
      <c r="O689" s="5"/>
      <c r="P689" s="8"/>
      <c r="Q689" s="5"/>
      <c r="R689" s="8"/>
      <c r="S689" s="5"/>
      <c r="T689" s="6"/>
      <c r="U689" s="8"/>
      <c r="V689" s="5"/>
      <c r="W689" s="6"/>
      <c r="X689" s="5"/>
      <c r="Y689" s="8"/>
      <c r="Z689" s="6"/>
      <c r="AA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5"/>
      <c r="O690" s="5"/>
      <c r="P690" s="8"/>
      <c r="Q690" s="5"/>
      <c r="R690" s="8"/>
      <c r="S690" s="5"/>
      <c r="T690" s="6"/>
      <c r="U690" s="8"/>
      <c r="V690" s="5"/>
      <c r="W690" s="6"/>
      <c r="X690" s="5"/>
      <c r="Y690" s="8"/>
      <c r="Z690" s="6"/>
      <c r="AA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5"/>
      <c r="O691" s="5"/>
      <c r="P691" s="8"/>
      <c r="Q691" s="5"/>
      <c r="R691" s="8"/>
      <c r="S691" s="5"/>
      <c r="T691" s="6"/>
      <c r="U691" s="8"/>
      <c r="V691" s="5"/>
      <c r="W691" s="6"/>
      <c r="X691" s="5"/>
      <c r="Y691" s="8"/>
      <c r="Z691" s="6"/>
      <c r="AA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5"/>
      <c r="O692" s="5"/>
      <c r="P692" s="8"/>
      <c r="Q692" s="5"/>
      <c r="R692" s="8"/>
      <c r="S692" s="5"/>
      <c r="T692" s="6"/>
      <c r="U692" s="8"/>
      <c r="V692" s="5"/>
      <c r="W692" s="6"/>
      <c r="X692" s="5"/>
      <c r="Y692" s="8"/>
      <c r="Z692" s="6"/>
      <c r="AA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5"/>
      <c r="O693" s="5"/>
      <c r="P693" s="8"/>
      <c r="Q693" s="5"/>
      <c r="R693" s="8"/>
      <c r="S693" s="5"/>
      <c r="T693" s="6"/>
      <c r="U693" s="8"/>
      <c r="V693" s="5"/>
      <c r="W693" s="6"/>
      <c r="X693" s="5"/>
      <c r="Y693" s="8"/>
      <c r="Z693" s="6"/>
      <c r="AA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5"/>
      <c r="O694" s="5"/>
      <c r="P694" s="8"/>
      <c r="Q694" s="5"/>
      <c r="R694" s="8"/>
      <c r="S694" s="5"/>
      <c r="T694" s="6"/>
      <c r="U694" s="8"/>
      <c r="V694" s="5"/>
      <c r="W694" s="6"/>
      <c r="X694" s="5"/>
      <c r="Y694" s="8"/>
      <c r="Z694" s="6"/>
      <c r="AA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5"/>
      <c r="O695" s="5"/>
      <c r="P695" s="8"/>
      <c r="Q695" s="5"/>
      <c r="R695" s="8"/>
      <c r="S695" s="5"/>
      <c r="T695" s="6"/>
      <c r="U695" s="8"/>
      <c r="V695" s="5"/>
      <c r="W695" s="6"/>
      <c r="X695" s="5"/>
      <c r="Y695" s="8"/>
      <c r="Z695" s="6"/>
      <c r="AA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5"/>
      <c r="O696" s="5"/>
      <c r="P696" s="8"/>
      <c r="Q696" s="5"/>
      <c r="R696" s="8"/>
      <c r="S696" s="5"/>
      <c r="T696" s="6"/>
      <c r="U696" s="8"/>
      <c r="V696" s="5"/>
      <c r="W696" s="6"/>
      <c r="X696" s="5"/>
      <c r="Y696" s="8"/>
      <c r="Z696" s="6"/>
      <c r="AA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5"/>
      <c r="O697" s="5"/>
      <c r="P697" s="8"/>
      <c r="Q697" s="5"/>
      <c r="R697" s="8"/>
      <c r="S697" s="5"/>
      <c r="T697" s="6"/>
      <c r="U697" s="8"/>
      <c r="V697" s="5"/>
      <c r="W697" s="6"/>
      <c r="X697" s="5"/>
      <c r="Y697" s="8"/>
      <c r="Z697" s="6"/>
      <c r="AA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5"/>
      <c r="O698" s="5"/>
      <c r="P698" s="8"/>
      <c r="Q698" s="5"/>
      <c r="R698" s="8"/>
      <c r="S698" s="5"/>
      <c r="T698" s="6"/>
      <c r="U698" s="8"/>
      <c r="V698" s="5"/>
      <c r="W698" s="6"/>
      <c r="X698" s="5"/>
      <c r="Y698" s="8"/>
      <c r="Z698" s="6"/>
      <c r="AA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5"/>
      <c r="O699" s="5"/>
      <c r="P699" s="8"/>
      <c r="Q699" s="5"/>
      <c r="R699" s="8"/>
      <c r="S699" s="5"/>
      <c r="T699" s="6"/>
      <c r="U699" s="8"/>
      <c r="V699" s="5"/>
      <c r="W699" s="6"/>
      <c r="X699" s="5"/>
      <c r="Y699" s="8"/>
      <c r="Z699" s="6"/>
      <c r="AA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5"/>
      <c r="O700" s="5"/>
      <c r="P700" s="8"/>
      <c r="Q700" s="5"/>
      <c r="R700" s="8"/>
      <c r="S700" s="5"/>
      <c r="T700" s="6"/>
      <c r="U700" s="8"/>
      <c r="V700" s="5"/>
      <c r="W700" s="6"/>
      <c r="X700" s="5"/>
      <c r="Y700" s="8"/>
      <c r="Z700" s="6"/>
      <c r="AA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5"/>
      <c r="O701" s="5"/>
      <c r="P701" s="8"/>
      <c r="Q701" s="5"/>
      <c r="R701" s="8"/>
      <c r="S701" s="5"/>
      <c r="T701" s="6"/>
      <c r="U701" s="8"/>
      <c r="V701" s="5"/>
      <c r="W701" s="6"/>
      <c r="X701" s="5"/>
      <c r="Y701" s="8"/>
      <c r="Z701" s="6"/>
      <c r="AA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5"/>
      <c r="O702" s="5"/>
      <c r="P702" s="8"/>
      <c r="Q702" s="5"/>
      <c r="R702" s="8"/>
      <c r="S702" s="5"/>
      <c r="T702" s="6"/>
      <c r="U702" s="8"/>
      <c r="V702" s="5"/>
      <c r="W702" s="6"/>
      <c r="X702" s="5"/>
      <c r="Y702" s="8"/>
      <c r="Z702" s="6"/>
      <c r="AA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5"/>
      <c r="O703" s="5"/>
      <c r="P703" s="8"/>
      <c r="Q703" s="5"/>
      <c r="R703" s="8"/>
      <c r="S703" s="5"/>
      <c r="T703" s="6"/>
      <c r="U703" s="8"/>
      <c r="V703" s="5"/>
      <c r="W703" s="6"/>
      <c r="X703" s="5"/>
      <c r="Y703" s="8"/>
      <c r="Z703" s="6"/>
      <c r="AA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5"/>
      <c r="O704" s="5"/>
      <c r="P704" s="8"/>
      <c r="Q704" s="5"/>
      <c r="R704" s="8"/>
      <c r="S704" s="5"/>
      <c r="T704" s="6"/>
      <c r="U704" s="8"/>
      <c r="V704" s="5"/>
      <c r="W704" s="6"/>
      <c r="X704" s="5"/>
      <c r="Y704" s="8"/>
      <c r="Z704" s="6"/>
      <c r="AA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5"/>
      <c r="O705" s="5"/>
      <c r="P705" s="8"/>
      <c r="Q705" s="5"/>
      <c r="R705" s="8"/>
      <c r="S705" s="5"/>
      <c r="T705" s="6"/>
      <c r="U705" s="8"/>
      <c r="V705" s="5"/>
      <c r="W705" s="6"/>
      <c r="X705" s="5"/>
      <c r="Y705" s="8"/>
      <c r="Z705" s="6"/>
      <c r="AA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5"/>
      <c r="O706" s="5"/>
      <c r="P706" s="8"/>
      <c r="Q706" s="5"/>
      <c r="R706" s="8"/>
      <c r="S706" s="5"/>
      <c r="T706" s="6"/>
      <c r="U706" s="8"/>
      <c r="V706" s="5"/>
      <c r="W706" s="6"/>
      <c r="X706" s="5"/>
      <c r="Y706" s="8"/>
      <c r="Z706" s="6"/>
      <c r="AA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5"/>
      <c r="O707" s="5"/>
      <c r="P707" s="8"/>
      <c r="Q707" s="5"/>
      <c r="R707" s="8"/>
      <c r="S707" s="5"/>
      <c r="T707" s="6"/>
      <c r="U707" s="8"/>
      <c r="V707" s="5"/>
      <c r="W707" s="6"/>
      <c r="X707" s="5"/>
      <c r="Y707" s="8"/>
      <c r="Z707" s="6"/>
      <c r="AA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5"/>
      <c r="O708" s="5"/>
      <c r="P708" s="8"/>
      <c r="Q708" s="5"/>
      <c r="R708" s="8"/>
      <c r="S708" s="5"/>
      <c r="T708" s="6"/>
      <c r="U708" s="8"/>
      <c r="V708" s="5"/>
      <c r="W708" s="6"/>
      <c r="X708" s="5"/>
      <c r="Y708" s="8"/>
      <c r="Z708" s="6"/>
      <c r="AA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5"/>
      <c r="O709" s="5"/>
      <c r="P709" s="8"/>
      <c r="Q709" s="5"/>
      <c r="R709" s="8"/>
      <c r="S709" s="5"/>
      <c r="T709" s="6"/>
      <c r="U709" s="8"/>
      <c r="V709" s="5"/>
      <c r="W709" s="6"/>
      <c r="X709" s="5"/>
      <c r="Y709" s="8"/>
      <c r="Z709" s="6"/>
      <c r="AA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5"/>
      <c r="O710" s="5"/>
      <c r="P710" s="8"/>
      <c r="Q710" s="5"/>
      <c r="R710" s="8"/>
      <c r="S710" s="5"/>
      <c r="T710" s="6"/>
      <c r="U710" s="8"/>
      <c r="V710" s="5"/>
      <c r="W710" s="6"/>
      <c r="X710" s="5"/>
      <c r="Y710" s="8"/>
      <c r="Z710" s="6"/>
      <c r="AA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5"/>
      <c r="O711" s="5"/>
      <c r="P711" s="8"/>
      <c r="Q711" s="5"/>
      <c r="R711" s="8"/>
      <c r="S711" s="5"/>
      <c r="T711" s="6"/>
      <c r="U711" s="8"/>
      <c r="V711" s="5"/>
      <c r="W711" s="6"/>
      <c r="X711" s="5"/>
      <c r="Y711" s="8"/>
      <c r="Z711" s="6"/>
      <c r="AA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5"/>
      <c r="O712" s="5"/>
      <c r="P712" s="8"/>
      <c r="Q712" s="5"/>
      <c r="R712" s="8"/>
      <c r="S712" s="5"/>
      <c r="T712" s="6"/>
      <c r="U712" s="8"/>
      <c r="V712" s="5"/>
      <c r="W712" s="6"/>
      <c r="X712" s="5"/>
      <c r="Y712" s="8"/>
      <c r="Z712" s="6"/>
      <c r="AA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5"/>
      <c r="O713" s="5"/>
      <c r="P713" s="8"/>
      <c r="Q713" s="5"/>
      <c r="R713" s="8"/>
      <c r="S713" s="5"/>
      <c r="T713" s="6"/>
      <c r="U713" s="8"/>
      <c r="V713" s="5"/>
      <c r="W713" s="6"/>
      <c r="X713" s="5"/>
      <c r="Y713" s="8"/>
      <c r="Z713" s="6"/>
      <c r="AA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5"/>
      <c r="O714" s="5"/>
      <c r="P714" s="8"/>
      <c r="Q714" s="5"/>
      <c r="R714" s="8"/>
      <c r="S714" s="5"/>
      <c r="T714" s="6"/>
      <c r="U714" s="8"/>
      <c r="V714" s="5"/>
      <c r="W714" s="6"/>
      <c r="X714" s="5"/>
      <c r="Y714" s="8"/>
      <c r="Z714" s="6"/>
      <c r="AA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5"/>
      <c r="O715" s="5"/>
      <c r="P715" s="8"/>
      <c r="Q715" s="5"/>
      <c r="R715" s="8"/>
      <c r="S715" s="5"/>
      <c r="T715" s="6"/>
      <c r="U715" s="8"/>
      <c r="V715" s="5"/>
      <c r="W715" s="6"/>
      <c r="X715" s="5"/>
      <c r="Y715" s="8"/>
      <c r="Z715" s="6"/>
      <c r="AA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5"/>
      <c r="O716" s="5"/>
      <c r="P716" s="8"/>
      <c r="Q716" s="5"/>
      <c r="R716" s="8"/>
      <c r="S716" s="5"/>
      <c r="T716" s="6"/>
      <c r="U716" s="8"/>
      <c r="V716" s="5"/>
      <c r="W716" s="6"/>
      <c r="X716" s="5"/>
      <c r="Y716" s="8"/>
      <c r="Z716" s="6"/>
      <c r="AA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5"/>
      <c r="O717" s="5"/>
      <c r="P717" s="8"/>
      <c r="Q717" s="5"/>
      <c r="R717" s="8"/>
      <c r="S717" s="5"/>
      <c r="T717" s="6"/>
      <c r="U717" s="8"/>
      <c r="V717" s="5"/>
      <c r="W717" s="6"/>
      <c r="X717" s="5"/>
      <c r="Y717" s="8"/>
      <c r="Z717" s="6"/>
      <c r="AA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5"/>
      <c r="O718" s="5"/>
      <c r="P718" s="8"/>
      <c r="Q718" s="5"/>
      <c r="R718" s="8"/>
      <c r="S718" s="5"/>
      <c r="T718" s="6"/>
      <c r="U718" s="8"/>
      <c r="V718" s="5"/>
      <c r="W718" s="6"/>
      <c r="X718" s="5"/>
      <c r="Y718" s="8"/>
      <c r="Z718" s="6"/>
      <c r="AA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5"/>
      <c r="O719" s="5"/>
      <c r="P719" s="8"/>
      <c r="Q719" s="5"/>
      <c r="R719" s="8"/>
      <c r="S719" s="5"/>
      <c r="T719" s="6"/>
      <c r="U719" s="8"/>
      <c r="V719" s="5"/>
      <c r="W719" s="6"/>
      <c r="X719" s="5"/>
      <c r="Y719" s="8"/>
      <c r="Z719" s="6"/>
      <c r="AA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5"/>
      <c r="O720" s="5"/>
      <c r="P720" s="8"/>
      <c r="Q720" s="5"/>
      <c r="R720" s="8"/>
      <c r="S720" s="5"/>
      <c r="T720" s="6"/>
      <c r="U720" s="8"/>
      <c r="V720" s="5"/>
      <c r="W720" s="6"/>
      <c r="X720" s="5"/>
      <c r="Y720" s="8"/>
      <c r="Z720" s="6"/>
      <c r="AA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5"/>
      <c r="O721" s="5"/>
      <c r="P721" s="8"/>
      <c r="Q721" s="5"/>
      <c r="R721" s="8"/>
      <c r="S721" s="5"/>
      <c r="T721" s="6"/>
      <c r="U721" s="8"/>
      <c r="V721" s="5"/>
      <c r="W721" s="6"/>
      <c r="X721" s="5"/>
      <c r="Y721" s="8"/>
      <c r="Z721" s="6"/>
      <c r="AA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5"/>
      <c r="O722" s="5"/>
      <c r="P722" s="8"/>
      <c r="Q722" s="5"/>
      <c r="R722" s="8"/>
      <c r="S722" s="5"/>
      <c r="T722" s="6"/>
      <c r="U722" s="8"/>
      <c r="V722" s="5"/>
      <c r="W722" s="6"/>
      <c r="X722" s="5"/>
      <c r="Y722" s="8"/>
      <c r="Z722" s="6"/>
      <c r="AA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5"/>
      <c r="O723" s="5"/>
      <c r="P723" s="8"/>
      <c r="Q723" s="5"/>
      <c r="R723" s="8"/>
      <c r="S723" s="5"/>
      <c r="T723" s="6"/>
      <c r="U723" s="8"/>
      <c r="V723" s="5"/>
      <c r="W723" s="6"/>
      <c r="X723" s="5"/>
      <c r="Y723" s="8"/>
      <c r="Z723" s="6"/>
      <c r="AA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5"/>
      <c r="O724" s="5"/>
      <c r="P724" s="8"/>
      <c r="Q724" s="5"/>
      <c r="R724" s="8"/>
      <c r="S724" s="5"/>
      <c r="T724" s="6"/>
      <c r="U724" s="8"/>
      <c r="V724" s="5"/>
      <c r="W724" s="6"/>
      <c r="X724" s="5"/>
      <c r="Y724" s="8"/>
      <c r="Z724" s="6"/>
      <c r="AA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5"/>
      <c r="O725" s="5"/>
      <c r="P725" s="8"/>
      <c r="Q725" s="5"/>
      <c r="R725" s="8"/>
      <c r="S725" s="5"/>
      <c r="T725" s="6"/>
      <c r="U725" s="8"/>
      <c r="V725" s="5"/>
      <c r="W725" s="6"/>
      <c r="X725" s="5"/>
      <c r="Y725" s="8"/>
      <c r="Z725" s="6"/>
      <c r="AA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5"/>
      <c r="O726" s="5"/>
      <c r="P726" s="8"/>
      <c r="Q726" s="5"/>
      <c r="R726" s="8"/>
      <c r="S726" s="5"/>
      <c r="T726" s="6"/>
      <c r="U726" s="8"/>
      <c r="V726" s="5"/>
      <c r="W726" s="6"/>
      <c r="X726" s="5"/>
      <c r="Y726" s="8"/>
      <c r="Z726" s="6"/>
      <c r="AA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5"/>
      <c r="O727" s="5"/>
      <c r="P727" s="8"/>
      <c r="Q727" s="5"/>
      <c r="R727" s="8"/>
      <c r="S727" s="5"/>
      <c r="T727" s="6"/>
      <c r="U727" s="8"/>
      <c r="V727" s="5"/>
      <c r="W727" s="6"/>
      <c r="X727" s="5"/>
      <c r="Y727" s="8"/>
      <c r="Z727" s="6"/>
      <c r="AA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5"/>
      <c r="O728" s="5"/>
      <c r="P728" s="8"/>
      <c r="Q728" s="5"/>
      <c r="R728" s="8"/>
      <c r="S728" s="5"/>
      <c r="T728" s="6"/>
      <c r="U728" s="8"/>
      <c r="V728" s="5"/>
      <c r="W728" s="6"/>
      <c r="X728" s="5"/>
      <c r="Y728" s="8"/>
      <c r="Z728" s="6"/>
      <c r="AA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5"/>
      <c r="O729" s="5"/>
      <c r="P729" s="8"/>
      <c r="Q729" s="5"/>
      <c r="R729" s="8"/>
      <c r="S729" s="5"/>
      <c r="T729" s="6"/>
      <c r="U729" s="8"/>
      <c r="V729" s="5"/>
      <c r="W729" s="6"/>
      <c r="X729" s="5"/>
      <c r="Y729" s="8"/>
      <c r="Z729" s="6"/>
      <c r="AA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5"/>
      <c r="O730" s="5"/>
      <c r="P730" s="8"/>
      <c r="Q730" s="5"/>
      <c r="R730" s="8"/>
      <c r="S730" s="5"/>
      <c r="T730" s="6"/>
      <c r="U730" s="8"/>
      <c r="V730" s="5"/>
      <c r="W730" s="6"/>
      <c r="X730" s="5"/>
      <c r="Y730" s="8"/>
      <c r="Z730" s="6"/>
      <c r="AA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5"/>
      <c r="O731" s="5"/>
      <c r="P731" s="8"/>
      <c r="Q731" s="5"/>
      <c r="R731" s="8"/>
      <c r="S731" s="5"/>
      <c r="T731" s="6"/>
      <c r="U731" s="8"/>
      <c r="V731" s="5"/>
      <c r="W731" s="6"/>
      <c r="X731" s="5"/>
      <c r="Y731" s="8"/>
      <c r="Z731" s="6"/>
      <c r="AA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5"/>
      <c r="O732" s="5"/>
      <c r="P732" s="8"/>
      <c r="Q732" s="5"/>
      <c r="R732" s="8"/>
      <c r="S732" s="5"/>
      <c r="T732" s="6"/>
      <c r="U732" s="8"/>
      <c r="V732" s="5"/>
      <c r="W732" s="6"/>
      <c r="X732" s="5"/>
      <c r="Y732" s="8"/>
      <c r="Z732" s="6"/>
      <c r="AA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5"/>
      <c r="O733" s="5"/>
      <c r="P733" s="8"/>
      <c r="Q733" s="5"/>
      <c r="R733" s="8"/>
      <c r="S733" s="5"/>
      <c r="T733" s="6"/>
      <c r="U733" s="8"/>
      <c r="V733" s="5"/>
      <c r="W733" s="6"/>
      <c r="X733" s="5"/>
      <c r="Y733" s="8"/>
      <c r="Z733" s="6"/>
      <c r="AA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5"/>
      <c r="O734" s="5"/>
      <c r="P734" s="8"/>
      <c r="Q734" s="5"/>
      <c r="R734" s="8"/>
      <c r="S734" s="5"/>
      <c r="T734" s="6"/>
      <c r="U734" s="8"/>
      <c r="V734" s="5"/>
      <c r="W734" s="6"/>
      <c r="X734" s="5"/>
      <c r="Y734" s="8"/>
      <c r="Z734" s="6"/>
      <c r="AA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5"/>
      <c r="O735" s="5"/>
      <c r="P735" s="8"/>
      <c r="Q735" s="5"/>
      <c r="R735" s="8"/>
      <c r="S735" s="5"/>
      <c r="T735" s="6"/>
      <c r="U735" s="8"/>
      <c r="V735" s="5"/>
      <c r="W735" s="6"/>
      <c r="X735" s="5"/>
      <c r="Y735" s="8"/>
      <c r="Z735" s="6"/>
      <c r="AA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5"/>
      <c r="O736" s="5"/>
      <c r="P736" s="8"/>
      <c r="Q736" s="5"/>
      <c r="R736" s="8"/>
      <c r="S736" s="5"/>
      <c r="T736" s="6"/>
      <c r="U736" s="8"/>
      <c r="V736" s="5"/>
      <c r="W736" s="6"/>
      <c r="X736" s="5"/>
      <c r="Y736" s="8"/>
      <c r="Z736" s="6"/>
      <c r="AA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5"/>
      <c r="O737" s="5"/>
      <c r="P737" s="8"/>
      <c r="Q737" s="5"/>
      <c r="R737" s="8"/>
      <c r="S737" s="5"/>
      <c r="T737" s="6"/>
      <c r="U737" s="8"/>
      <c r="V737" s="5"/>
      <c r="W737" s="6"/>
      <c r="X737" s="5"/>
      <c r="Y737" s="8"/>
      <c r="Z737" s="6"/>
      <c r="AA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5"/>
      <c r="O738" s="5"/>
      <c r="P738" s="8"/>
      <c r="Q738" s="5"/>
      <c r="R738" s="8"/>
      <c r="S738" s="5"/>
      <c r="T738" s="6"/>
      <c r="U738" s="8"/>
      <c r="V738" s="5"/>
      <c r="W738" s="6"/>
      <c r="X738" s="5"/>
      <c r="Y738" s="8"/>
      <c r="Z738" s="6"/>
      <c r="AA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5"/>
      <c r="O739" s="5"/>
      <c r="P739" s="8"/>
      <c r="Q739" s="5"/>
      <c r="R739" s="8"/>
      <c r="S739" s="5"/>
      <c r="T739" s="6"/>
      <c r="U739" s="8"/>
      <c r="V739" s="5"/>
      <c r="W739" s="6"/>
      <c r="X739" s="5"/>
      <c r="Y739" s="8"/>
      <c r="Z739" s="6"/>
      <c r="AA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5"/>
      <c r="O740" s="5"/>
      <c r="P740" s="8"/>
      <c r="Q740" s="5"/>
      <c r="R740" s="8"/>
      <c r="S740" s="5"/>
      <c r="T740" s="6"/>
      <c r="U740" s="8"/>
      <c r="V740" s="5"/>
      <c r="W740" s="6"/>
      <c r="X740" s="5"/>
      <c r="Y740" s="8"/>
      <c r="Z740" s="6"/>
      <c r="AA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5"/>
      <c r="O741" s="5"/>
      <c r="P741" s="8"/>
      <c r="Q741" s="5"/>
      <c r="R741" s="8"/>
      <c r="S741" s="5"/>
      <c r="T741" s="6"/>
      <c r="U741" s="8"/>
      <c r="V741" s="5"/>
      <c r="W741" s="6"/>
      <c r="X741" s="5"/>
      <c r="Y741" s="8"/>
      <c r="Z741" s="6"/>
      <c r="AA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5"/>
      <c r="O742" s="5"/>
      <c r="P742" s="8"/>
      <c r="Q742" s="5"/>
      <c r="R742" s="8"/>
      <c r="S742" s="5"/>
      <c r="T742" s="6"/>
      <c r="U742" s="8"/>
      <c r="V742" s="5"/>
      <c r="W742" s="6"/>
      <c r="X742" s="5"/>
      <c r="Y742" s="8"/>
      <c r="Z742" s="6"/>
      <c r="AA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5"/>
      <c r="O743" s="5"/>
      <c r="P743" s="8"/>
      <c r="Q743" s="5"/>
      <c r="R743" s="8"/>
      <c r="S743" s="5"/>
      <c r="T743" s="6"/>
      <c r="U743" s="8"/>
      <c r="V743" s="5"/>
      <c r="W743" s="6"/>
      <c r="X743" s="5"/>
      <c r="Y743" s="8"/>
      <c r="Z743" s="6"/>
      <c r="AA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5"/>
      <c r="O744" s="5"/>
      <c r="P744" s="8"/>
      <c r="Q744" s="5"/>
      <c r="R744" s="8"/>
      <c r="S744" s="5"/>
      <c r="T744" s="6"/>
      <c r="U744" s="8"/>
      <c r="V744" s="5"/>
      <c r="W744" s="6"/>
      <c r="X744" s="5"/>
      <c r="Y744" s="8"/>
      <c r="Z744" s="6"/>
      <c r="AA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5"/>
      <c r="O745" s="5"/>
      <c r="P745" s="8"/>
      <c r="Q745" s="5"/>
      <c r="R745" s="8"/>
      <c r="S745" s="5"/>
      <c r="T745" s="6"/>
      <c r="U745" s="8"/>
      <c r="V745" s="5"/>
      <c r="W745" s="6"/>
      <c r="X745" s="5"/>
      <c r="Y745" s="8"/>
      <c r="Z745" s="6"/>
      <c r="AA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5"/>
      <c r="O746" s="5"/>
      <c r="P746" s="8"/>
      <c r="Q746" s="5"/>
      <c r="R746" s="8"/>
      <c r="S746" s="5"/>
      <c r="T746" s="6"/>
      <c r="U746" s="8"/>
      <c r="V746" s="5"/>
      <c r="W746" s="6"/>
      <c r="X746" s="5"/>
      <c r="Y746" s="8"/>
      <c r="Z746" s="6"/>
      <c r="AA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5"/>
      <c r="O747" s="5"/>
      <c r="P747" s="8"/>
      <c r="Q747" s="5"/>
      <c r="R747" s="8"/>
      <c r="S747" s="5"/>
      <c r="T747" s="6"/>
      <c r="U747" s="8"/>
      <c r="V747" s="5"/>
      <c r="W747" s="6"/>
      <c r="X747" s="5"/>
      <c r="Y747" s="8"/>
      <c r="Z747" s="6"/>
      <c r="AA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5"/>
      <c r="O748" s="5"/>
      <c r="P748" s="8"/>
      <c r="Q748" s="5"/>
      <c r="R748" s="8"/>
      <c r="S748" s="5"/>
      <c r="T748" s="6"/>
      <c r="U748" s="8"/>
      <c r="V748" s="5"/>
      <c r="W748" s="6"/>
      <c r="X748" s="5"/>
      <c r="Y748" s="8"/>
      <c r="Z748" s="6"/>
      <c r="AA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5"/>
      <c r="O749" s="5"/>
      <c r="P749" s="8"/>
      <c r="Q749" s="5"/>
      <c r="R749" s="8"/>
      <c r="S749" s="5"/>
      <c r="T749" s="6"/>
      <c r="U749" s="8"/>
      <c r="V749" s="5"/>
      <c r="W749" s="6"/>
      <c r="X749" s="5"/>
      <c r="Y749" s="8"/>
      <c r="Z749" s="6"/>
      <c r="AA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5"/>
      <c r="O750" s="5"/>
      <c r="P750" s="8"/>
      <c r="Q750" s="5"/>
      <c r="R750" s="8"/>
      <c r="S750" s="5"/>
      <c r="T750" s="6"/>
      <c r="U750" s="8"/>
      <c r="V750" s="5"/>
      <c r="W750" s="6"/>
      <c r="X750" s="5"/>
      <c r="Y750" s="8"/>
      <c r="Z750" s="6"/>
      <c r="AA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5"/>
      <c r="O751" s="5"/>
      <c r="P751" s="8"/>
      <c r="Q751" s="5"/>
      <c r="R751" s="8"/>
      <c r="S751" s="5"/>
      <c r="T751" s="6"/>
      <c r="U751" s="8"/>
      <c r="V751" s="5"/>
      <c r="W751" s="6"/>
      <c r="X751" s="5"/>
      <c r="Y751" s="8"/>
      <c r="Z751" s="6"/>
      <c r="AA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5"/>
      <c r="O752" s="5"/>
      <c r="P752" s="8"/>
      <c r="Q752" s="5"/>
      <c r="R752" s="8"/>
      <c r="S752" s="5"/>
      <c r="T752" s="6"/>
      <c r="U752" s="8"/>
      <c r="V752" s="5"/>
      <c r="W752" s="6"/>
      <c r="X752" s="5"/>
      <c r="Y752" s="8"/>
      <c r="Z752" s="6"/>
      <c r="AA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5"/>
      <c r="O753" s="5"/>
      <c r="P753" s="8"/>
      <c r="Q753" s="5"/>
      <c r="R753" s="8"/>
      <c r="S753" s="5"/>
      <c r="T753" s="6"/>
      <c r="U753" s="8"/>
      <c r="V753" s="5"/>
      <c r="W753" s="6"/>
      <c r="X753" s="5"/>
      <c r="Y753" s="8"/>
      <c r="Z753" s="6"/>
      <c r="AA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5"/>
      <c r="O754" s="5"/>
      <c r="P754" s="8"/>
      <c r="Q754" s="5"/>
      <c r="R754" s="8"/>
      <c r="S754" s="5"/>
      <c r="T754" s="6"/>
      <c r="U754" s="8"/>
      <c r="V754" s="5"/>
      <c r="W754" s="6"/>
      <c r="X754" s="5"/>
      <c r="Y754" s="8"/>
      <c r="Z754" s="6"/>
      <c r="AA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5"/>
      <c r="O755" s="5"/>
      <c r="P755" s="8"/>
      <c r="Q755" s="5"/>
      <c r="R755" s="8"/>
      <c r="S755" s="5"/>
      <c r="T755" s="6"/>
      <c r="U755" s="8"/>
      <c r="V755" s="5"/>
      <c r="W755" s="6"/>
      <c r="X755" s="5"/>
      <c r="Y755" s="8"/>
      <c r="Z755" s="6"/>
      <c r="AA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5"/>
      <c r="O756" s="5"/>
      <c r="P756" s="8"/>
      <c r="Q756" s="5"/>
      <c r="R756" s="8"/>
      <c r="S756" s="5"/>
      <c r="T756" s="6"/>
      <c r="U756" s="8"/>
      <c r="V756" s="5"/>
      <c r="W756" s="6"/>
      <c r="X756" s="5"/>
      <c r="Y756" s="8"/>
      <c r="Z756" s="6"/>
      <c r="AA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5"/>
      <c r="O757" s="5"/>
      <c r="P757" s="8"/>
      <c r="Q757" s="5"/>
      <c r="R757" s="8"/>
      <c r="S757" s="5"/>
      <c r="T757" s="6"/>
      <c r="U757" s="8"/>
      <c r="V757" s="5"/>
      <c r="W757" s="6"/>
      <c r="X757" s="5"/>
      <c r="Y757" s="8"/>
      <c r="Z757" s="6"/>
      <c r="AA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5"/>
      <c r="O758" s="5"/>
      <c r="P758" s="8"/>
      <c r="Q758" s="5"/>
      <c r="R758" s="8"/>
      <c r="S758" s="5"/>
      <c r="T758" s="6"/>
      <c r="U758" s="8"/>
      <c r="V758" s="5"/>
      <c r="W758" s="6"/>
      <c r="X758" s="5"/>
      <c r="Y758" s="8"/>
      <c r="Z758" s="6"/>
      <c r="AA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5"/>
      <c r="O759" s="5"/>
      <c r="P759" s="8"/>
      <c r="Q759" s="5"/>
      <c r="R759" s="8"/>
      <c r="S759" s="5"/>
      <c r="T759" s="6"/>
      <c r="U759" s="8"/>
      <c r="V759" s="5"/>
      <c r="W759" s="6"/>
      <c r="X759" s="5"/>
      <c r="Y759" s="8"/>
      <c r="Z759" s="6"/>
      <c r="AA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5"/>
      <c r="O760" s="5"/>
      <c r="P760" s="8"/>
      <c r="Q760" s="5"/>
      <c r="R760" s="8"/>
      <c r="S760" s="5"/>
      <c r="T760" s="6"/>
      <c r="U760" s="8"/>
      <c r="V760" s="5"/>
      <c r="W760" s="6"/>
      <c r="X760" s="5"/>
      <c r="Y760" s="8"/>
      <c r="Z760" s="6"/>
      <c r="AA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5"/>
      <c r="O761" s="5"/>
      <c r="P761" s="8"/>
      <c r="Q761" s="5"/>
      <c r="R761" s="8"/>
      <c r="S761" s="5"/>
      <c r="T761" s="6"/>
      <c r="U761" s="8"/>
      <c r="V761" s="5"/>
      <c r="W761" s="6"/>
      <c r="X761" s="5"/>
      <c r="Y761" s="8"/>
      <c r="Z761" s="6"/>
      <c r="AA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5"/>
      <c r="O762" s="5"/>
      <c r="P762" s="8"/>
      <c r="Q762" s="5"/>
      <c r="R762" s="8"/>
      <c r="S762" s="5"/>
      <c r="T762" s="6"/>
      <c r="U762" s="8"/>
      <c r="V762" s="5"/>
      <c r="W762" s="6"/>
      <c r="X762" s="5"/>
      <c r="Y762" s="8"/>
      <c r="Z762" s="6"/>
      <c r="AA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5"/>
      <c r="O763" s="5"/>
      <c r="P763" s="8"/>
      <c r="Q763" s="5"/>
      <c r="R763" s="8"/>
      <c r="S763" s="5"/>
      <c r="T763" s="6"/>
      <c r="U763" s="8"/>
      <c r="V763" s="5"/>
      <c r="W763" s="6"/>
      <c r="X763" s="5"/>
      <c r="Y763" s="8"/>
      <c r="Z763" s="6"/>
      <c r="AA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5"/>
      <c r="O764" s="5"/>
      <c r="P764" s="8"/>
      <c r="Q764" s="5"/>
      <c r="R764" s="8"/>
      <c r="S764" s="5"/>
      <c r="T764" s="6"/>
      <c r="U764" s="8"/>
      <c r="V764" s="5"/>
      <c r="W764" s="6"/>
      <c r="X764" s="5"/>
      <c r="Y764" s="8"/>
      <c r="Z764" s="6"/>
      <c r="AA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5"/>
      <c r="O765" s="5"/>
      <c r="P765" s="8"/>
      <c r="Q765" s="5"/>
      <c r="R765" s="8"/>
      <c r="S765" s="5"/>
      <c r="T765" s="6"/>
      <c r="U765" s="8"/>
      <c r="V765" s="5"/>
      <c r="W765" s="6"/>
      <c r="X765" s="5"/>
      <c r="Y765" s="8"/>
      <c r="Z765" s="6"/>
      <c r="AA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5"/>
      <c r="O766" s="5"/>
      <c r="P766" s="8"/>
      <c r="Q766" s="5"/>
      <c r="R766" s="8"/>
      <c r="S766" s="5"/>
      <c r="T766" s="6"/>
      <c r="U766" s="8"/>
      <c r="V766" s="5"/>
      <c r="W766" s="6"/>
      <c r="X766" s="5"/>
      <c r="Y766" s="8"/>
      <c r="Z766" s="6"/>
      <c r="AA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5"/>
      <c r="O767" s="5"/>
      <c r="P767" s="8"/>
      <c r="Q767" s="5"/>
      <c r="R767" s="8"/>
      <c r="S767" s="5"/>
      <c r="T767" s="6"/>
      <c r="U767" s="8"/>
      <c r="V767" s="5"/>
      <c r="W767" s="6"/>
      <c r="X767" s="5"/>
      <c r="Y767" s="8"/>
      <c r="Z767" s="6"/>
      <c r="AA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5"/>
      <c r="O768" s="5"/>
      <c r="P768" s="8"/>
      <c r="Q768" s="5"/>
      <c r="R768" s="8"/>
      <c r="S768" s="5"/>
      <c r="T768" s="6"/>
      <c r="U768" s="8"/>
      <c r="V768" s="5"/>
      <c r="W768" s="6"/>
      <c r="X768" s="5"/>
      <c r="Y768" s="8"/>
      <c r="Z768" s="6"/>
      <c r="AA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5"/>
      <c r="O769" s="5"/>
      <c r="P769" s="8"/>
      <c r="Q769" s="5"/>
      <c r="R769" s="8"/>
      <c r="S769" s="5"/>
      <c r="T769" s="6"/>
      <c r="U769" s="8"/>
      <c r="V769" s="5"/>
      <c r="W769" s="6"/>
      <c r="X769" s="5"/>
      <c r="Y769" s="8"/>
      <c r="Z769" s="6"/>
      <c r="AA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5"/>
      <c r="O770" s="5"/>
      <c r="P770" s="8"/>
      <c r="Q770" s="5"/>
      <c r="R770" s="8"/>
      <c r="S770" s="5"/>
      <c r="T770" s="6"/>
      <c r="U770" s="8"/>
      <c r="V770" s="5"/>
      <c r="W770" s="6"/>
      <c r="X770" s="5"/>
      <c r="Y770" s="8"/>
      <c r="Z770" s="6"/>
      <c r="AA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5"/>
      <c r="O771" s="5"/>
      <c r="P771" s="8"/>
      <c r="Q771" s="5"/>
      <c r="R771" s="8"/>
      <c r="S771" s="5"/>
      <c r="T771" s="6"/>
      <c r="U771" s="8"/>
      <c r="V771" s="5"/>
      <c r="W771" s="6"/>
      <c r="X771" s="5"/>
      <c r="Y771" s="8"/>
      <c r="Z771" s="6"/>
      <c r="AA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5"/>
      <c r="O772" s="5"/>
      <c r="P772" s="8"/>
      <c r="Q772" s="5"/>
      <c r="R772" s="8"/>
      <c r="S772" s="5"/>
      <c r="T772" s="6"/>
      <c r="U772" s="8"/>
      <c r="V772" s="5"/>
      <c r="W772" s="6"/>
      <c r="X772" s="5"/>
      <c r="Y772" s="8"/>
      <c r="Z772" s="6"/>
      <c r="AA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5"/>
      <c r="O773" s="5"/>
      <c r="P773" s="8"/>
      <c r="Q773" s="5"/>
      <c r="R773" s="8"/>
      <c r="S773" s="5"/>
      <c r="T773" s="6"/>
      <c r="U773" s="8"/>
      <c r="V773" s="5"/>
      <c r="W773" s="6"/>
      <c r="X773" s="5"/>
      <c r="Y773" s="8"/>
      <c r="Z773" s="6"/>
      <c r="AA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5"/>
      <c r="O774" s="5"/>
      <c r="P774" s="8"/>
      <c r="Q774" s="5"/>
      <c r="R774" s="8"/>
      <c r="S774" s="5"/>
      <c r="T774" s="6"/>
      <c r="U774" s="8"/>
      <c r="V774" s="5"/>
      <c r="W774" s="6"/>
      <c r="X774" s="5"/>
      <c r="Y774" s="8"/>
      <c r="Z774" s="6"/>
      <c r="AA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5"/>
      <c r="O775" s="5"/>
      <c r="P775" s="8"/>
      <c r="Q775" s="5"/>
      <c r="R775" s="8"/>
      <c r="S775" s="5"/>
      <c r="T775" s="6"/>
      <c r="U775" s="8"/>
      <c r="V775" s="5"/>
      <c r="W775" s="6"/>
      <c r="X775" s="5"/>
      <c r="Y775" s="8"/>
      <c r="Z775" s="6"/>
      <c r="AA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5"/>
      <c r="O776" s="5"/>
      <c r="P776" s="8"/>
      <c r="Q776" s="5"/>
      <c r="R776" s="8"/>
      <c r="S776" s="5"/>
      <c r="T776" s="6"/>
      <c r="U776" s="8"/>
      <c r="V776" s="5"/>
      <c r="W776" s="6"/>
      <c r="X776" s="5"/>
      <c r="Y776" s="8"/>
      <c r="Z776" s="6"/>
      <c r="AA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5"/>
      <c r="O777" s="5"/>
      <c r="P777" s="8"/>
      <c r="Q777" s="5"/>
      <c r="R777" s="8"/>
      <c r="S777" s="5"/>
      <c r="T777" s="6"/>
      <c r="U777" s="8"/>
      <c r="V777" s="5"/>
      <c r="W777" s="6"/>
      <c r="X777" s="5"/>
      <c r="Y777" s="8"/>
      <c r="Z777" s="6"/>
      <c r="AA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5"/>
      <c r="O778" s="5"/>
      <c r="P778" s="8"/>
      <c r="Q778" s="5"/>
      <c r="R778" s="8"/>
      <c r="S778" s="5"/>
      <c r="T778" s="6"/>
      <c r="U778" s="8"/>
      <c r="V778" s="5"/>
      <c r="W778" s="6"/>
      <c r="X778" s="5"/>
      <c r="Y778" s="8"/>
      <c r="Z778" s="6"/>
      <c r="AA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5"/>
      <c r="O779" s="5"/>
      <c r="P779" s="8"/>
      <c r="Q779" s="5"/>
      <c r="R779" s="8"/>
      <c r="S779" s="5"/>
      <c r="T779" s="6"/>
      <c r="U779" s="8"/>
      <c r="V779" s="5"/>
      <c r="W779" s="6"/>
      <c r="X779" s="5"/>
      <c r="Y779" s="8"/>
      <c r="Z779" s="6"/>
      <c r="AA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5"/>
      <c r="O780" s="5"/>
      <c r="P780" s="8"/>
      <c r="Q780" s="5"/>
      <c r="R780" s="8"/>
      <c r="S780" s="5"/>
      <c r="T780" s="6"/>
      <c r="U780" s="8"/>
      <c r="V780" s="5"/>
      <c r="W780" s="6"/>
      <c r="X780" s="5"/>
      <c r="Y780" s="8"/>
      <c r="Z780" s="6"/>
      <c r="AA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5"/>
      <c r="O781" s="5"/>
      <c r="P781" s="8"/>
      <c r="Q781" s="5"/>
      <c r="R781" s="8"/>
      <c r="S781" s="5"/>
      <c r="T781" s="6"/>
      <c r="U781" s="8"/>
      <c r="V781" s="5"/>
      <c r="W781" s="6"/>
      <c r="X781" s="5"/>
      <c r="Y781" s="8"/>
      <c r="Z781" s="6"/>
      <c r="AA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5"/>
      <c r="O782" s="5"/>
      <c r="P782" s="8"/>
      <c r="Q782" s="5"/>
      <c r="R782" s="8"/>
      <c r="S782" s="5"/>
      <c r="T782" s="6"/>
      <c r="U782" s="8"/>
      <c r="V782" s="5"/>
      <c r="W782" s="6"/>
      <c r="X782" s="5"/>
      <c r="Y782" s="8"/>
      <c r="Z782" s="6"/>
      <c r="AA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5"/>
      <c r="O783" s="5"/>
      <c r="P783" s="8"/>
      <c r="Q783" s="5"/>
      <c r="R783" s="8"/>
      <c r="S783" s="5"/>
      <c r="T783" s="6"/>
      <c r="U783" s="8"/>
      <c r="V783" s="5"/>
      <c r="W783" s="6"/>
      <c r="X783" s="5"/>
      <c r="Y783" s="8"/>
      <c r="Z783" s="6"/>
      <c r="AA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5"/>
      <c r="O784" s="5"/>
      <c r="P784" s="8"/>
      <c r="Q784" s="5"/>
      <c r="R784" s="8"/>
      <c r="S784" s="5"/>
      <c r="T784" s="6"/>
      <c r="U784" s="8"/>
      <c r="V784" s="5"/>
      <c r="W784" s="6"/>
      <c r="X784" s="5"/>
      <c r="Y784" s="8"/>
      <c r="Z784" s="6"/>
      <c r="AA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5"/>
      <c r="O785" s="5"/>
      <c r="P785" s="8"/>
      <c r="Q785" s="5"/>
      <c r="R785" s="8"/>
      <c r="S785" s="5"/>
      <c r="T785" s="6"/>
      <c r="U785" s="8"/>
      <c r="V785" s="5"/>
      <c r="W785" s="6"/>
      <c r="X785" s="5"/>
      <c r="Y785" s="8"/>
      <c r="Z785" s="6"/>
      <c r="AA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5"/>
      <c r="O786" s="5"/>
      <c r="P786" s="8"/>
      <c r="Q786" s="5"/>
      <c r="R786" s="8"/>
      <c r="S786" s="5"/>
      <c r="T786" s="6"/>
      <c r="U786" s="8"/>
      <c r="V786" s="5"/>
      <c r="W786" s="6"/>
      <c r="X786" s="5"/>
      <c r="Y786" s="8"/>
      <c r="Z786" s="6"/>
      <c r="AA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5"/>
      <c r="O787" s="5"/>
      <c r="P787" s="8"/>
      <c r="Q787" s="5"/>
      <c r="R787" s="8"/>
      <c r="S787" s="5"/>
      <c r="T787" s="6"/>
      <c r="U787" s="8"/>
      <c r="V787" s="5"/>
      <c r="W787" s="6"/>
      <c r="X787" s="5"/>
      <c r="Y787" s="8"/>
      <c r="Z787" s="6"/>
      <c r="AA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5"/>
      <c r="O788" s="5"/>
      <c r="P788" s="8"/>
      <c r="Q788" s="5"/>
      <c r="R788" s="8"/>
      <c r="S788" s="5"/>
      <c r="T788" s="6"/>
      <c r="U788" s="8"/>
      <c r="V788" s="5"/>
      <c r="W788" s="6"/>
      <c r="X788" s="5"/>
      <c r="Y788" s="8"/>
      <c r="Z788" s="6"/>
      <c r="AA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5"/>
      <c r="O789" s="5"/>
      <c r="P789" s="8"/>
      <c r="Q789" s="5"/>
      <c r="R789" s="8"/>
      <c r="S789" s="5"/>
      <c r="T789" s="6"/>
      <c r="U789" s="8"/>
      <c r="V789" s="5"/>
      <c r="W789" s="6"/>
      <c r="X789" s="5"/>
      <c r="Y789" s="8"/>
      <c r="Z789" s="6"/>
      <c r="AA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5"/>
      <c r="O790" s="5"/>
      <c r="P790" s="8"/>
      <c r="Q790" s="5"/>
      <c r="R790" s="8"/>
      <c r="S790" s="5"/>
      <c r="T790" s="6"/>
      <c r="U790" s="8"/>
      <c r="V790" s="5"/>
      <c r="W790" s="6"/>
      <c r="X790" s="5"/>
      <c r="Y790" s="8"/>
      <c r="Z790" s="6"/>
      <c r="AA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5"/>
      <c r="O791" s="5"/>
      <c r="P791" s="8"/>
      <c r="Q791" s="5"/>
      <c r="R791" s="8"/>
      <c r="S791" s="5"/>
      <c r="T791" s="6"/>
      <c r="U791" s="8"/>
      <c r="V791" s="5"/>
      <c r="W791" s="6"/>
      <c r="X791" s="5"/>
      <c r="Y791" s="8"/>
      <c r="Z791" s="6"/>
      <c r="AA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5"/>
      <c r="O792" s="5"/>
      <c r="P792" s="8"/>
      <c r="Q792" s="5"/>
      <c r="R792" s="8"/>
      <c r="S792" s="5"/>
      <c r="T792" s="6"/>
      <c r="U792" s="8"/>
      <c r="V792" s="5"/>
      <c r="W792" s="6"/>
      <c r="X792" s="5"/>
      <c r="Y792" s="8"/>
      <c r="Z792" s="6"/>
      <c r="AA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5"/>
      <c r="O793" s="5"/>
      <c r="P793" s="8"/>
      <c r="Q793" s="5"/>
      <c r="R793" s="8"/>
      <c r="S793" s="5"/>
      <c r="T793" s="6"/>
      <c r="U793" s="8"/>
      <c r="V793" s="5"/>
      <c r="W793" s="6"/>
      <c r="X793" s="5"/>
      <c r="Y793" s="8"/>
      <c r="Z793" s="6"/>
      <c r="AA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5"/>
      <c r="O794" s="5"/>
      <c r="P794" s="8"/>
      <c r="Q794" s="5"/>
      <c r="R794" s="8"/>
      <c r="S794" s="5"/>
      <c r="T794" s="6"/>
      <c r="U794" s="8"/>
      <c r="V794" s="5"/>
      <c r="W794" s="6"/>
      <c r="X794" s="5"/>
      <c r="Y794" s="8"/>
      <c r="Z794" s="6"/>
      <c r="AA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5"/>
      <c r="O795" s="5"/>
      <c r="P795" s="8"/>
      <c r="Q795" s="5"/>
      <c r="R795" s="8"/>
      <c r="S795" s="5"/>
      <c r="T795" s="6"/>
      <c r="U795" s="8"/>
      <c r="V795" s="5"/>
      <c r="W795" s="6"/>
      <c r="X795" s="5"/>
      <c r="Y795" s="8"/>
      <c r="Z795" s="6"/>
      <c r="AA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5"/>
      <c r="O796" s="5"/>
      <c r="P796" s="8"/>
      <c r="Q796" s="5"/>
      <c r="R796" s="8"/>
      <c r="S796" s="5"/>
      <c r="T796" s="6"/>
      <c r="U796" s="8"/>
      <c r="V796" s="5"/>
      <c r="W796" s="6"/>
      <c r="X796" s="5"/>
      <c r="Y796" s="8"/>
      <c r="Z796" s="6"/>
      <c r="AA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5"/>
      <c r="O797" s="5"/>
      <c r="P797" s="8"/>
      <c r="Q797" s="5"/>
      <c r="R797" s="8"/>
      <c r="S797" s="5"/>
      <c r="T797" s="6"/>
      <c r="U797" s="8"/>
      <c r="V797" s="5"/>
      <c r="W797" s="6"/>
      <c r="X797" s="5"/>
      <c r="Y797" s="8"/>
      <c r="Z797" s="6"/>
      <c r="AA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5"/>
      <c r="O798" s="5"/>
      <c r="P798" s="8"/>
      <c r="Q798" s="5"/>
      <c r="R798" s="8"/>
      <c r="S798" s="5"/>
      <c r="T798" s="6"/>
      <c r="U798" s="8"/>
      <c r="V798" s="5"/>
      <c r="W798" s="6"/>
      <c r="X798" s="5"/>
      <c r="Y798" s="8"/>
      <c r="Z798" s="6"/>
      <c r="AA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5"/>
      <c r="O799" s="5"/>
      <c r="P799" s="8"/>
      <c r="Q799" s="5"/>
      <c r="R799" s="8"/>
      <c r="S799" s="5"/>
      <c r="T799" s="6"/>
      <c r="U799" s="8"/>
      <c r="V799" s="5"/>
      <c r="W799" s="6"/>
      <c r="X799" s="5"/>
      <c r="Y799" s="8"/>
      <c r="Z799" s="6"/>
      <c r="AA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5"/>
      <c r="O800" s="5"/>
      <c r="P800" s="8"/>
      <c r="Q800" s="5"/>
      <c r="R800" s="8"/>
      <c r="S800" s="5"/>
      <c r="T800" s="6"/>
      <c r="U800" s="8"/>
      <c r="V800" s="5"/>
      <c r="W800" s="6"/>
      <c r="X800" s="5"/>
      <c r="Y800" s="8"/>
      <c r="Z800" s="6"/>
      <c r="AA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5"/>
      <c r="O801" s="5"/>
      <c r="P801" s="8"/>
      <c r="Q801" s="5"/>
      <c r="R801" s="8"/>
      <c r="S801" s="5"/>
      <c r="T801" s="6"/>
      <c r="U801" s="8"/>
      <c r="V801" s="5"/>
      <c r="W801" s="6"/>
      <c r="X801" s="5"/>
      <c r="Y801" s="8"/>
      <c r="Z801" s="6"/>
      <c r="AA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5"/>
      <c r="O802" s="5"/>
      <c r="P802" s="8"/>
      <c r="Q802" s="5"/>
      <c r="R802" s="8"/>
      <c r="S802" s="5"/>
      <c r="T802" s="6"/>
      <c r="U802" s="8"/>
      <c r="V802" s="5"/>
      <c r="W802" s="6"/>
      <c r="X802" s="5"/>
      <c r="Y802" s="8"/>
      <c r="Z802" s="6"/>
      <c r="AA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5"/>
      <c r="O803" s="5"/>
      <c r="P803" s="8"/>
      <c r="Q803" s="5"/>
      <c r="R803" s="8"/>
      <c r="S803" s="5"/>
      <c r="T803" s="6"/>
      <c r="U803" s="8"/>
      <c r="V803" s="5"/>
      <c r="W803" s="6"/>
      <c r="X803" s="5"/>
      <c r="Y803" s="8"/>
      <c r="Z803" s="6"/>
      <c r="AA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5"/>
      <c r="O804" s="5"/>
      <c r="P804" s="8"/>
      <c r="Q804" s="5"/>
      <c r="R804" s="8"/>
      <c r="S804" s="5"/>
      <c r="T804" s="6"/>
      <c r="U804" s="8"/>
      <c r="V804" s="5"/>
      <c r="W804" s="6"/>
      <c r="X804" s="5"/>
      <c r="Y804" s="8"/>
      <c r="Z804" s="6"/>
      <c r="AA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5"/>
      <c r="O805" s="5"/>
      <c r="P805" s="8"/>
      <c r="Q805" s="5"/>
      <c r="R805" s="8"/>
      <c r="S805" s="5"/>
      <c r="T805" s="6"/>
      <c r="U805" s="8"/>
      <c r="V805" s="5"/>
      <c r="W805" s="6"/>
      <c r="X805" s="5"/>
      <c r="Y805" s="8"/>
      <c r="Z805" s="6"/>
      <c r="AA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5"/>
      <c r="O806" s="5"/>
      <c r="P806" s="8"/>
      <c r="Q806" s="5"/>
      <c r="R806" s="8"/>
      <c r="S806" s="5"/>
      <c r="T806" s="6"/>
      <c r="U806" s="8"/>
      <c r="V806" s="5"/>
      <c r="W806" s="6"/>
      <c r="X806" s="5"/>
      <c r="Y806" s="8"/>
      <c r="Z806" s="6"/>
      <c r="AA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5"/>
      <c r="O807" s="5"/>
      <c r="P807" s="8"/>
      <c r="Q807" s="5"/>
      <c r="R807" s="8"/>
      <c r="S807" s="5"/>
      <c r="T807" s="6"/>
      <c r="U807" s="8"/>
      <c r="V807" s="5"/>
      <c r="W807" s="6"/>
      <c r="X807" s="5"/>
      <c r="Y807" s="8"/>
      <c r="Z807" s="6"/>
      <c r="AA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5"/>
      <c r="O808" s="5"/>
      <c r="P808" s="8"/>
      <c r="Q808" s="5"/>
      <c r="R808" s="8"/>
      <c r="S808" s="5"/>
      <c r="T808" s="6"/>
      <c r="U808" s="8"/>
      <c r="V808" s="5"/>
      <c r="W808" s="6"/>
      <c r="X808" s="5"/>
      <c r="Y808" s="8"/>
      <c r="Z808" s="6"/>
      <c r="AA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5"/>
      <c r="O809" s="5"/>
      <c r="P809" s="8"/>
      <c r="Q809" s="5"/>
      <c r="R809" s="8"/>
      <c r="S809" s="5"/>
      <c r="T809" s="6"/>
      <c r="U809" s="8"/>
      <c r="V809" s="5"/>
      <c r="W809" s="6"/>
      <c r="X809" s="5"/>
      <c r="Y809" s="8"/>
      <c r="Z809" s="6"/>
      <c r="AA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5"/>
      <c r="O810" s="5"/>
      <c r="P810" s="8"/>
      <c r="Q810" s="5"/>
      <c r="R810" s="8"/>
      <c r="S810" s="5"/>
      <c r="T810" s="6"/>
      <c r="U810" s="8"/>
      <c r="V810" s="5"/>
      <c r="W810" s="6"/>
      <c r="X810" s="5"/>
      <c r="Y810" s="8"/>
      <c r="Z810" s="6"/>
      <c r="AA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5"/>
      <c r="O811" s="5"/>
      <c r="P811" s="8"/>
      <c r="Q811" s="5"/>
      <c r="R811" s="8"/>
      <c r="S811" s="5"/>
      <c r="T811" s="6"/>
      <c r="U811" s="8"/>
      <c r="V811" s="5"/>
      <c r="W811" s="6"/>
      <c r="X811" s="5"/>
      <c r="Y811" s="8"/>
      <c r="Z811" s="6"/>
      <c r="AA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5"/>
      <c r="O812" s="5"/>
      <c r="P812" s="8"/>
      <c r="Q812" s="5"/>
      <c r="R812" s="8"/>
      <c r="S812" s="5"/>
      <c r="T812" s="6"/>
      <c r="U812" s="8"/>
      <c r="V812" s="5"/>
      <c r="W812" s="6"/>
      <c r="X812" s="5"/>
      <c r="Y812" s="8"/>
      <c r="Z812" s="6"/>
      <c r="AA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5"/>
      <c r="O813" s="5"/>
      <c r="P813" s="8"/>
      <c r="Q813" s="5"/>
      <c r="R813" s="8"/>
      <c r="S813" s="5"/>
      <c r="T813" s="6"/>
      <c r="U813" s="8"/>
      <c r="V813" s="5"/>
      <c r="W813" s="6"/>
      <c r="X813" s="5"/>
      <c r="Y813" s="8"/>
      <c r="Z813" s="6"/>
      <c r="AA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5"/>
      <c r="O814" s="5"/>
      <c r="P814" s="8"/>
      <c r="Q814" s="5"/>
      <c r="R814" s="8"/>
      <c r="S814" s="5"/>
      <c r="T814" s="6"/>
      <c r="U814" s="8"/>
      <c r="V814" s="5"/>
      <c r="W814" s="6"/>
      <c r="X814" s="5"/>
      <c r="Y814" s="8"/>
      <c r="Z814" s="6"/>
      <c r="AA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5"/>
      <c r="O815" s="5"/>
      <c r="P815" s="8"/>
      <c r="Q815" s="5"/>
      <c r="R815" s="8"/>
      <c r="S815" s="5"/>
      <c r="T815" s="6"/>
      <c r="U815" s="8"/>
      <c r="V815" s="5"/>
      <c r="W815" s="6"/>
      <c r="X815" s="5"/>
      <c r="Y815" s="8"/>
      <c r="Z815" s="6"/>
      <c r="AA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5"/>
      <c r="O816" s="5"/>
      <c r="P816" s="8"/>
      <c r="Q816" s="5"/>
      <c r="R816" s="8"/>
      <c r="S816" s="5"/>
      <c r="T816" s="6"/>
      <c r="U816" s="8"/>
      <c r="V816" s="5"/>
      <c r="W816" s="6"/>
      <c r="X816" s="5"/>
      <c r="Y816" s="8"/>
      <c r="Z816" s="6"/>
      <c r="AA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5"/>
      <c r="O817" s="5"/>
      <c r="P817" s="8"/>
      <c r="Q817" s="5"/>
      <c r="R817" s="8"/>
      <c r="S817" s="5"/>
      <c r="T817" s="6"/>
      <c r="U817" s="8"/>
      <c r="V817" s="5"/>
      <c r="W817" s="6"/>
      <c r="X817" s="5"/>
      <c r="Y817" s="8"/>
      <c r="Z817" s="6"/>
      <c r="AA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5"/>
      <c r="O818" s="5"/>
      <c r="P818" s="8"/>
      <c r="Q818" s="5"/>
      <c r="R818" s="8"/>
      <c r="S818" s="5"/>
      <c r="T818" s="6"/>
      <c r="U818" s="8"/>
      <c r="V818" s="5"/>
      <c r="W818" s="6"/>
      <c r="X818" s="5"/>
      <c r="Y818" s="8"/>
      <c r="Z818" s="6"/>
      <c r="AA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5"/>
      <c r="O819" s="5"/>
      <c r="P819" s="8"/>
      <c r="Q819" s="5"/>
      <c r="R819" s="8"/>
      <c r="S819" s="5"/>
      <c r="T819" s="6"/>
      <c r="U819" s="8"/>
      <c r="V819" s="5"/>
      <c r="W819" s="6"/>
      <c r="X819" s="5"/>
      <c r="Y819" s="8"/>
      <c r="Z819" s="6"/>
      <c r="AA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5"/>
      <c r="O820" s="5"/>
      <c r="P820" s="8"/>
      <c r="Q820" s="5"/>
      <c r="R820" s="8"/>
      <c r="S820" s="5"/>
      <c r="T820" s="6"/>
      <c r="U820" s="8"/>
      <c r="V820" s="5"/>
      <c r="W820" s="6"/>
      <c r="X820" s="5"/>
      <c r="Y820" s="8"/>
      <c r="Z820" s="6"/>
      <c r="AA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5"/>
      <c r="O821" s="5"/>
      <c r="P821" s="8"/>
      <c r="Q821" s="5"/>
      <c r="R821" s="8"/>
      <c r="S821" s="5"/>
      <c r="T821" s="6"/>
      <c r="U821" s="8"/>
      <c r="V821" s="5"/>
      <c r="W821" s="6"/>
      <c r="X821" s="5"/>
      <c r="Y821" s="8"/>
      <c r="Z821" s="6"/>
      <c r="AA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5"/>
      <c r="O822" s="5"/>
      <c r="P822" s="8"/>
      <c r="Q822" s="5"/>
      <c r="R822" s="8"/>
      <c r="S822" s="5"/>
      <c r="T822" s="6"/>
      <c r="U822" s="8"/>
      <c r="V822" s="5"/>
      <c r="W822" s="6"/>
      <c r="X822" s="5"/>
      <c r="Y822" s="8"/>
      <c r="Z822" s="6"/>
      <c r="AA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5"/>
      <c r="O823" s="5"/>
      <c r="P823" s="8"/>
      <c r="Q823" s="5"/>
      <c r="R823" s="8"/>
      <c r="S823" s="5"/>
      <c r="T823" s="6"/>
      <c r="U823" s="8"/>
      <c r="V823" s="5"/>
      <c r="W823" s="6"/>
      <c r="X823" s="5"/>
      <c r="Y823" s="8"/>
      <c r="Z823" s="6"/>
      <c r="AA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5"/>
      <c r="O824" s="5"/>
      <c r="P824" s="8"/>
      <c r="Q824" s="5"/>
      <c r="R824" s="8"/>
      <c r="S824" s="5"/>
      <c r="T824" s="6"/>
      <c r="U824" s="8"/>
      <c r="V824" s="5"/>
      <c r="W824" s="6"/>
      <c r="X824" s="5"/>
      <c r="Y824" s="8"/>
      <c r="Z824" s="6"/>
      <c r="AA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5"/>
      <c r="O825" s="5"/>
      <c r="P825" s="8"/>
      <c r="Q825" s="5"/>
      <c r="R825" s="8"/>
      <c r="S825" s="5"/>
      <c r="T825" s="6"/>
      <c r="U825" s="8"/>
      <c r="V825" s="5"/>
      <c r="W825" s="6"/>
      <c r="X825" s="5"/>
      <c r="Y825" s="8"/>
      <c r="Z825" s="6"/>
      <c r="AA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5"/>
      <c r="O826" s="5"/>
      <c r="P826" s="8"/>
      <c r="Q826" s="5"/>
      <c r="R826" s="8"/>
      <c r="S826" s="5"/>
      <c r="T826" s="6"/>
      <c r="U826" s="8"/>
      <c r="V826" s="5"/>
      <c r="W826" s="6"/>
      <c r="X826" s="5"/>
      <c r="Y826" s="8"/>
      <c r="Z826" s="6"/>
      <c r="AA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5"/>
      <c r="O827" s="5"/>
      <c r="P827" s="8"/>
      <c r="Q827" s="5"/>
      <c r="R827" s="8"/>
      <c r="S827" s="5"/>
      <c r="T827" s="6"/>
      <c r="U827" s="8"/>
      <c r="V827" s="5"/>
      <c r="W827" s="6"/>
      <c r="X827" s="5"/>
      <c r="Y827" s="8"/>
      <c r="Z827" s="6"/>
      <c r="AA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5"/>
      <c r="O828" s="5"/>
      <c r="P828" s="8"/>
      <c r="Q828" s="5"/>
      <c r="R828" s="8"/>
      <c r="S828" s="5"/>
      <c r="T828" s="6"/>
      <c r="U828" s="8"/>
      <c r="V828" s="5"/>
      <c r="W828" s="6"/>
      <c r="X828" s="5"/>
      <c r="Y828" s="8"/>
      <c r="Z828" s="6"/>
      <c r="AA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5"/>
      <c r="O829" s="5"/>
      <c r="P829" s="8"/>
      <c r="Q829" s="5"/>
      <c r="R829" s="8"/>
      <c r="S829" s="5"/>
      <c r="T829" s="6"/>
      <c r="U829" s="8"/>
      <c r="V829" s="5"/>
      <c r="W829" s="6"/>
      <c r="X829" s="5"/>
      <c r="Y829" s="8"/>
      <c r="Z829" s="6"/>
      <c r="AA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5"/>
      <c r="O830" s="5"/>
      <c r="P830" s="8"/>
      <c r="Q830" s="5"/>
      <c r="R830" s="8"/>
      <c r="S830" s="5"/>
      <c r="T830" s="6"/>
      <c r="U830" s="8"/>
      <c r="V830" s="5"/>
      <c r="W830" s="6"/>
      <c r="X830" s="5"/>
      <c r="Y830" s="8"/>
      <c r="Z830" s="6"/>
      <c r="AA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5"/>
      <c r="O831" s="5"/>
      <c r="P831" s="8"/>
      <c r="Q831" s="5"/>
      <c r="R831" s="8"/>
      <c r="S831" s="5"/>
      <c r="T831" s="6"/>
      <c r="U831" s="8"/>
      <c r="V831" s="5"/>
      <c r="W831" s="6"/>
      <c r="X831" s="5"/>
      <c r="Y831" s="8"/>
      <c r="Z831" s="6"/>
      <c r="AA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5"/>
      <c r="O832" s="5"/>
      <c r="P832" s="8"/>
      <c r="Q832" s="5"/>
      <c r="R832" s="8"/>
      <c r="S832" s="5"/>
      <c r="T832" s="6"/>
      <c r="U832" s="8"/>
      <c r="V832" s="5"/>
      <c r="W832" s="6"/>
      <c r="X832" s="5"/>
      <c r="Y832" s="8"/>
      <c r="Z832" s="6"/>
      <c r="AA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5"/>
      <c r="O833" s="5"/>
      <c r="P833" s="8"/>
      <c r="Q833" s="5"/>
      <c r="R833" s="8"/>
      <c r="S833" s="5"/>
      <c r="T833" s="6"/>
      <c r="U833" s="8"/>
      <c r="V833" s="5"/>
      <c r="W833" s="6"/>
      <c r="X833" s="5"/>
      <c r="Y833" s="8"/>
      <c r="Z833" s="6"/>
      <c r="AA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5"/>
      <c r="O834" s="5"/>
      <c r="P834" s="8"/>
      <c r="Q834" s="5"/>
      <c r="R834" s="8"/>
      <c r="S834" s="5"/>
      <c r="T834" s="6"/>
      <c r="U834" s="8"/>
      <c r="V834" s="5"/>
      <c r="W834" s="6"/>
      <c r="X834" s="5"/>
      <c r="Y834" s="8"/>
      <c r="Z834" s="6"/>
      <c r="AA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5"/>
      <c r="O835" s="5"/>
      <c r="P835" s="8"/>
      <c r="Q835" s="5"/>
      <c r="R835" s="8"/>
      <c r="S835" s="5"/>
      <c r="T835" s="6"/>
      <c r="U835" s="8"/>
      <c r="V835" s="5"/>
      <c r="W835" s="6"/>
      <c r="X835" s="5"/>
      <c r="Y835" s="8"/>
      <c r="Z835" s="6"/>
      <c r="AA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5"/>
      <c r="O836" s="5"/>
      <c r="P836" s="8"/>
      <c r="Q836" s="5"/>
      <c r="R836" s="8"/>
      <c r="S836" s="5"/>
      <c r="T836" s="6"/>
      <c r="U836" s="8"/>
      <c r="V836" s="5"/>
      <c r="W836" s="6"/>
      <c r="X836" s="5"/>
      <c r="Y836" s="8"/>
      <c r="Z836" s="6"/>
      <c r="AA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5"/>
      <c r="O837" s="5"/>
      <c r="P837" s="8"/>
      <c r="Q837" s="5"/>
      <c r="R837" s="8"/>
      <c r="S837" s="5"/>
      <c r="T837" s="6"/>
      <c r="U837" s="8"/>
      <c r="V837" s="5"/>
      <c r="W837" s="6"/>
      <c r="X837" s="5"/>
      <c r="Y837" s="8"/>
      <c r="Z837" s="6"/>
      <c r="AA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5"/>
      <c r="O838" s="5"/>
      <c r="P838" s="8"/>
      <c r="Q838" s="5"/>
      <c r="R838" s="8"/>
      <c r="S838" s="5"/>
      <c r="T838" s="6"/>
      <c r="U838" s="8"/>
      <c r="V838" s="5"/>
      <c r="W838" s="6"/>
      <c r="X838" s="5"/>
      <c r="Y838" s="8"/>
      <c r="Z838" s="6"/>
      <c r="AA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5"/>
      <c r="O839" s="5"/>
      <c r="P839" s="8"/>
      <c r="Q839" s="5"/>
      <c r="R839" s="8"/>
      <c r="S839" s="5"/>
      <c r="T839" s="6"/>
      <c r="U839" s="8"/>
      <c r="V839" s="5"/>
      <c r="W839" s="6"/>
      <c r="X839" s="5"/>
      <c r="Y839" s="8"/>
      <c r="Z839" s="6"/>
      <c r="AA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5"/>
      <c r="O840" s="5"/>
      <c r="P840" s="8"/>
      <c r="Q840" s="5"/>
      <c r="R840" s="8"/>
      <c r="S840" s="5"/>
      <c r="T840" s="6"/>
      <c r="U840" s="8"/>
      <c r="V840" s="5"/>
      <c r="W840" s="6"/>
      <c r="X840" s="5"/>
      <c r="Y840" s="8"/>
      <c r="Z840" s="6"/>
      <c r="AA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5"/>
      <c r="O841" s="5"/>
      <c r="P841" s="8"/>
      <c r="Q841" s="5"/>
      <c r="R841" s="8"/>
      <c r="S841" s="5"/>
      <c r="T841" s="6"/>
      <c r="U841" s="8"/>
      <c r="V841" s="5"/>
      <c r="W841" s="6"/>
      <c r="X841" s="5"/>
      <c r="Y841" s="8"/>
      <c r="Z841" s="6"/>
      <c r="AA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5"/>
      <c r="O842" s="5"/>
      <c r="P842" s="8"/>
      <c r="Q842" s="5"/>
      <c r="R842" s="8"/>
      <c r="S842" s="5"/>
      <c r="T842" s="6"/>
      <c r="U842" s="8"/>
      <c r="V842" s="5"/>
      <c r="W842" s="6"/>
      <c r="X842" s="5"/>
      <c r="Y842" s="8"/>
      <c r="Z842" s="6"/>
      <c r="AA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5"/>
      <c r="O843" s="5"/>
      <c r="P843" s="8"/>
      <c r="Q843" s="5"/>
      <c r="R843" s="8"/>
      <c r="S843" s="5"/>
      <c r="T843" s="6"/>
      <c r="U843" s="8"/>
      <c r="V843" s="5"/>
      <c r="W843" s="6"/>
      <c r="X843" s="5"/>
      <c r="Y843" s="8"/>
      <c r="Z843" s="6"/>
      <c r="AA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5"/>
      <c r="O844" s="5"/>
      <c r="P844" s="8"/>
      <c r="Q844" s="5"/>
      <c r="R844" s="8"/>
      <c r="S844" s="5"/>
      <c r="T844" s="6"/>
      <c r="U844" s="8"/>
      <c r="V844" s="5"/>
      <c r="W844" s="6"/>
      <c r="X844" s="5"/>
      <c r="Y844" s="8"/>
      <c r="Z844" s="6"/>
      <c r="AA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5"/>
      <c r="O845" s="5"/>
      <c r="P845" s="8"/>
      <c r="Q845" s="5"/>
      <c r="R845" s="8"/>
      <c r="S845" s="5"/>
      <c r="T845" s="6"/>
      <c r="U845" s="8"/>
      <c r="V845" s="5"/>
      <c r="W845" s="6"/>
      <c r="X845" s="5"/>
      <c r="Y845" s="8"/>
      <c r="Z845" s="6"/>
      <c r="AA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5"/>
      <c r="O846" s="5"/>
      <c r="P846" s="8"/>
      <c r="Q846" s="5"/>
      <c r="R846" s="8"/>
      <c r="S846" s="5"/>
      <c r="T846" s="6"/>
      <c r="U846" s="8"/>
      <c r="V846" s="5"/>
      <c r="W846" s="6"/>
      <c r="X846" s="5"/>
      <c r="Y846" s="8"/>
      <c r="Z846" s="6"/>
      <c r="AA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5"/>
      <c r="O847" s="5"/>
      <c r="P847" s="8"/>
      <c r="Q847" s="5"/>
      <c r="R847" s="8"/>
      <c r="S847" s="5"/>
      <c r="T847" s="6"/>
      <c r="U847" s="8"/>
      <c r="V847" s="5"/>
      <c r="W847" s="6"/>
      <c r="X847" s="5"/>
      <c r="Y847" s="8"/>
      <c r="Z847" s="6"/>
      <c r="AA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5"/>
      <c r="O848" s="5"/>
      <c r="P848" s="8"/>
      <c r="Q848" s="5"/>
      <c r="R848" s="8"/>
      <c r="S848" s="5"/>
      <c r="T848" s="6"/>
      <c r="U848" s="8"/>
      <c r="V848" s="5"/>
      <c r="W848" s="6"/>
      <c r="X848" s="5"/>
      <c r="Y848" s="8"/>
      <c r="Z848" s="6"/>
      <c r="AA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5"/>
      <c r="O849" s="5"/>
      <c r="P849" s="8"/>
      <c r="Q849" s="5"/>
      <c r="R849" s="8"/>
      <c r="S849" s="5"/>
      <c r="T849" s="6"/>
      <c r="U849" s="8"/>
      <c r="V849" s="5"/>
      <c r="W849" s="6"/>
      <c r="X849" s="5"/>
      <c r="Y849" s="8"/>
      <c r="Z849" s="6"/>
      <c r="AA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5"/>
      <c r="O850" s="5"/>
      <c r="P850" s="8"/>
      <c r="Q850" s="5"/>
      <c r="R850" s="8"/>
      <c r="S850" s="5"/>
      <c r="T850" s="6"/>
      <c r="U850" s="8"/>
      <c r="V850" s="5"/>
      <c r="W850" s="6"/>
      <c r="X850" s="5"/>
      <c r="Y850" s="8"/>
      <c r="Z850" s="6"/>
      <c r="AA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5"/>
      <c r="O851" s="5"/>
      <c r="P851" s="8"/>
      <c r="Q851" s="5"/>
      <c r="R851" s="8"/>
      <c r="S851" s="5"/>
      <c r="T851" s="6"/>
      <c r="U851" s="8"/>
      <c r="V851" s="5"/>
      <c r="W851" s="6"/>
      <c r="X851" s="5"/>
      <c r="Y851" s="8"/>
      <c r="Z851" s="6"/>
      <c r="AA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5"/>
      <c r="O852" s="5"/>
      <c r="P852" s="8"/>
      <c r="Q852" s="5"/>
      <c r="R852" s="8"/>
      <c r="S852" s="5"/>
      <c r="T852" s="6"/>
      <c r="U852" s="8"/>
      <c r="V852" s="5"/>
      <c r="W852" s="6"/>
      <c r="X852" s="5"/>
      <c r="Y852" s="8"/>
      <c r="Z852" s="6"/>
      <c r="AA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5"/>
      <c r="O853" s="5"/>
      <c r="P853" s="8"/>
      <c r="Q853" s="5"/>
      <c r="R853" s="8"/>
      <c r="S853" s="5"/>
      <c r="T853" s="6"/>
      <c r="U853" s="8"/>
      <c r="V853" s="5"/>
      <c r="W853" s="6"/>
      <c r="X853" s="5"/>
      <c r="Y853" s="8"/>
      <c r="Z853" s="6"/>
      <c r="AA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5"/>
      <c r="O854" s="5"/>
      <c r="P854" s="8"/>
      <c r="Q854" s="5"/>
      <c r="R854" s="8"/>
      <c r="S854" s="5"/>
      <c r="T854" s="6"/>
      <c r="U854" s="8"/>
      <c r="V854" s="5"/>
      <c r="W854" s="6"/>
      <c r="X854" s="5"/>
      <c r="Y854" s="8"/>
      <c r="Z854" s="6"/>
      <c r="AA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5"/>
      <c r="O855" s="5"/>
      <c r="P855" s="8"/>
      <c r="Q855" s="5"/>
      <c r="R855" s="8"/>
      <c r="S855" s="5"/>
      <c r="T855" s="6"/>
      <c r="U855" s="8"/>
      <c r="V855" s="5"/>
      <c r="W855" s="6"/>
      <c r="X855" s="5"/>
      <c r="Y855" s="8"/>
      <c r="Z855" s="6"/>
      <c r="AA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5"/>
      <c r="O856" s="5"/>
      <c r="P856" s="8"/>
      <c r="Q856" s="5"/>
      <c r="R856" s="8"/>
      <c r="S856" s="5"/>
      <c r="T856" s="6"/>
      <c r="U856" s="8"/>
      <c r="V856" s="5"/>
      <c r="W856" s="6"/>
      <c r="X856" s="5"/>
      <c r="Y856" s="8"/>
      <c r="Z856" s="6"/>
      <c r="AA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5"/>
      <c r="O857" s="5"/>
      <c r="P857" s="8"/>
      <c r="Q857" s="5"/>
      <c r="R857" s="8"/>
      <c r="S857" s="5"/>
      <c r="T857" s="6"/>
      <c r="U857" s="8"/>
      <c r="V857" s="5"/>
      <c r="W857" s="6"/>
      <c r="X857" s="5"/>
      <c r="Y857" s="8"/>
      <c r="Z857" s="6"/>
      <c r="AA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5"/>
      <c r="O858" s="5"/>
      <c r="P858" s="8"/>
      <c r="Q858" s="5"/>
      <c r="R858" s="8"/>
      <c r="S858" s="5"/>
      <c r="T858" s="6"/>
      <c r="U858" s="8"/>
      <c r="V858" s="5"/>
      <c r="W858" s="6"/>
      <c r="X858" s="5"/>
      <c r="Y858" s="8"/>
      <c r="Z858" s="6"/>
      <c r="AA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5"/>
      <c r="O859" s="5"/>
      <c r="P859" s="8"/>
      <c r="Q859" s="5"/>
      <c r="R859" s="8"/>
      <c r="S859" s="5"/>
      <c r="T859" s="6"/>
      <c r="U859" s="8"/>
      <c r="V859" s="5"/>
      <c r="W859" s="6"/>
      <c r="X859" s="5"/>
      <c r="Y859" s="8"/>
      <c r="Z859" s="6"/>
      <c r="AA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5"/>
      <c r="O860" s="5"/>
      <c r="P860" s="8"/>
      <c r="Q860" s="5"/>
      <c r="R860" s="8"/>
      <c r="S860" s="5"/>
      <c r="T860" s="6"/>
      <c r="U860" s="8"/>
      <c r="V860" s="5"/>
      <c r="W860" s="6"/>
      <c r="X860" s="5"/>
      <c r="Y860" s="8"/>
      <c r="Z860" s="6"/>
      <c r="AA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5"/>
      <c r="O861" s="5"/>
      <c r="P861" s="8"/>
      <c r="Q861" s="5"/>
      <c r="R861" s="8"/>
      <c r="S861" s="5"/>
      <c r="T861" s="6"/>
      <c r="U861" s="8"/>
      <c r="V861" s="5"/>
      <c r="W861" s="6"/>
      <c r="X861" s="5"/>
      <c r="Y861" s="8"/>
      <c r="Z861" s="6"/>
      <c r="AA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5"/>
      <c r="O862" s="5"/>
      <c r="P862" s="8"/>
      <c r="Q862" s="5"/>
      <c r="R862" s="8"/>
      <c r="S862" s="5"/>
      <c r="T862" s="6"/>
      <c r="U862" s="8"/>
      <c r="V862" s="5"/>
      <c r="W862" s="6"/>
      <c r="X862" s="5"/>
      <c r="Y862" s="8"/>
      <c r="Z862" s="6"/>
      <c r="AA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5"/>
      <c r="O863" s="5"/>
      <c r="P863" s="8"/>
      <c r="Q863" s="5"/>
      <c r="R863" s="8"/>
      <c r="S863" s="5"/>
      <c r="T863" s="6"/>
      <c r="U863" s="8"/>
      <c r="V863" s="5"/>
      <c r="W863" s="6"/>
      <c r="X863" s="5"/>
      <c r="Y863" s="8"/>
      <c r="Z863" s="6"/>
      <c r="AA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5"/>
      <c r="O864" s="5"/>
      <c r="P864" s="8"/>
      <c r="Q864" s="5"/>
      <c r="R864" s="8"/>
      <c r="S864" s="5"/>
      <c r="T864" s="6"/>
      <c r="U864" s="8"/>
      <c r="V864" s="5"/>
      <c r="W864" s="6"/>
      <c r="X864" s="5"/>
      <c r="Y864" s="8"/>
      <c r="Z864" s="6"/>
      <c r="AA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5"/>
      <c r="O865" s="5"/>
      <c r="P865" s="8"/>
      <c r="Q865" s="5"/>
      <c r="R865" s="8"/>
      <c r="S865" s="5"/>
      <c r="T865" s="6"/>
      <c r="U865" s="8"/>
      <c r="V865" s="5"/>
      <c r="W865" s="6"/>
      <c r="X865" s="5"/>
      <c r="Y865" s="8"/>
      <c r="Z865" s="6"/>
      <c r="AA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5"/>
      <c r="O866" s="5"/>
      <c r="P866" s="8"/>
      <c r="Q866" s="5"/>
      <c r="R866" s="8"/>
      <c r="S866" s="5"/>
      <c r="T866" s="6"/>
      <c r="U866" s="8"/>
      <c r="V866" s="5"/>
      <c r="W866" s="6"/>
      <c r="X866" s="5"/>
      <c r="Y866" s="8"/>
      <c r="Z866" s="6"/>
      <c r="AA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5"/>
      <c r="O867" s="5"/>
      <c r="P867" s="8"/>
      <c r="Q867" s="5"/>
      <c r="R867" s="8"/>
      <c r="S867" s="5"/>
      <c r="T867" s="6"/>
      <c r="U867" s="8"/>
      <c r="V867" s="5"/>
      <c r="W867" s="6"/>
      <c r="X867" s="5"/>
      <c r="Y867" s="8"/>
      <c r="Z867" s="6"/>
      <c r="AA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5"/>
      <c r="O868" s="5"/>
      <c r="P868" s="8"/>
      <c r="Q868" s="5"/>
      <c r="R868" s="8"/>
      <c r="S868" s="5"/>
      <c r="T868" s="6"/>
      <c r="U868" s="8"/>
      <c r="V868" s="5"/>
      <c r="W868" s="6"/>
      <c r="X868" s="5"/>
      <c r="Y868" s="8"/>
      <c r="Z868" s="6"/>
      <c r="AA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5"/>
      <c r="O869" s="5"/>
      <c r="P869" s="8"/>
      <c r="Q869" s="5"/>
      <c r="R869" s="8"/>
      <c r="S869" s="5"/>
      <c r="T869" s="6"/>
      <c r="U869" s="8"/>
      <c r="V869" s="5"/>
      <c r="W869" s="6"/>
      <c r="X869" s="5"/>
      <c r="Y869" s="8"/>
      <c r="Z869" s="6"/>
      <c r="AA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5"/>
      <c r="O870" s="5"/>
      <c r="P870" s="8"/>
      <c r="Q870" s="5"/>
      <c r="R870" s="8"/>
      <c r="S870" s="5"/>
      <c r="T870" s="6"/>
      <c r="U870" s="8"/>
      <c r="V870" s="5"/>
      <c r="W870" s="6"/>
      <c r="X870" s="5"/>
      <c r="Y870" s="8"/>
      <c r="Z870" s="6"/>
      <c r="AA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5"/>
      <c r="O871" s="5"/>
      <c r="P871" s="8"/>
      <c r="Q871" s="5"/>
      <c r="R871" s="8"/>
      <c r="S871" s="5"/>
      <c r="T871" s="6"/>
      <c r="U871" s="8"/>
      <c r="V871" s="5"/>
      <c r="W871" s="6"/>
      <c r="X871" s="5"/>
      <c r="Y871" s="8"/>
      <c r="Z871" s="6"/>
      <c r="AA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5"/>
      <c r="O872" s="5"/>
      <c r="P872" s="8"/>
      <c r="Q872" s="5"/>
      <c r="R872" s="8"/>
      <c r="S872" s="5"/>
      <c r="T872" s="6"/>
      <c r="U872" s="8"/>
      <c r="V872" s="5"/>
      <c r="W872" s="6"/>
      <c r="X872" s="5"/>
      <c r="Y872" s="8"/>
      <c r="Z872" s="6"/>
      <c r="AA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5"/>
      <c r="O873" s="5"/>
      <c r="P873" s="8"/>
      <c r="Q873" s="5"/>
      <c r="R873" s="8"/>
      <c r="S873" s="5"/>
      <c r="T873" s="6"/>
      <c r="U873" s="8"/>
      <c r="V873" s="5"/>
      <c r="W873" s="6"/>
      <c r="X873" s="5"/>
      <c r="Y873" s="8"/>
      <c r="Z873" s="6"/>
      <c r="AA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5"/>
      <c r="O874" s="5"/>
      <c r="P874" s="8"/>
      <c r="Q874" s="5"/>
      <c r="R874" s="8"/>
      <c r="S874" s="5"/>
      <c r="T874" s="6"/>
      <c r="U874" s="8"/>
      <c r="V874" s="5"/>
      <c r="W874" s="6"/>
      <c r="X874" s="5"/>
      <c r="Y874" s="8"/>
      <c r="Z874" s="6"/>
      <c r="AA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5"/>
      <c r="O875" s="5"/>
      <c r="P875" s="8"/>
      <c r="Q875" s="5"/>
      <c r="R875" s="8"/>
      <c r="S875" s="5"/>
      <c r="T875" s="6"/>
      <c r="U875" s="8"/>
      <c r="V875" s="5"/>
      <c r="W875" s="6"/>
      <c r="X875" s="5"/>
      <c r="Y875" s="8"/>
      <c r="Z875" s="6"/>
      <c r="AA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5"/>
      <c r="O876" s="5"/>
      <c r="P876" s="8"/>
      <c r="Q876" s="5"/>
      <c r="R876" s="8"/>
      <c r="S876" s="5"/>
      <c r="T876" s="6"/>
      <c r="U876" s="8"/>
      <c r="V876" s="5"/>
      <c r="W876" s="6"/>
      <c r="X876" s="5"/>
      <c r="Y876" s="8"/>
      <c r="Z876" s="6"/>
      <c r="AA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5"/>
      <c r="O877" s="5"/>
      <c r="P877" s="8"/>
      <c r="Q877" s="5"/>
      <c r="R877" s="8"/>
      <c r="S877" s="5"/>
      <c r="T877" s="6"/>
      <c r="U877" s="8"/>
      <c r="V877" s="5"/>
      <c r="W877" s="6"/>
      <c r="X877" s="5"/>
      <c r="Y877" s="8"/>
      <c r="Z877" s="6"/>
      <c r="AA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5"/>
      <c r="O878" s="5"/>
      <c r="P878" s="8"/>
      <c r="Q878" s="5"/>
      <c r="R878" s="8"/>
      <c r="S878" s="5"/>
      <c r="T878" s="6"/>
      <c r="U878" s="8"/>
      <c r="V878" s="5"/>
      <c r="W878" s="6"/>
      <c r="X878" s="5"/>
      <c r="Y878" s="8"/>
      <c r="Z878" s="6"/>
      <c r="AA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5"/>
      <c r="O879" s="5"/>
      <c r="P879" s="8"/>
      <c r="Q879" s="5"/>
      <c r="R879" s="8"/>
      <c r="S879" s="5"/>
      <c r="T879" s="6"/>
      <c r="U879" s="8"/>
      <c r="V879" s="5"/>
      <c r="W879" s="6"/>
      <c r="X879" s="5"/>
      <c r="Y879" s="8"/>
      <c r="Z879" s="6"/>
      <c r="AA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5"/>
      <c r="O880" s="5"/>
      <c r="P880" s="8"/>
      <c r="Q880" s="5"/>
      <c r="R880" s="8"/>
      <c r="S880" s="5"/>
      <c r="T880" s="6"/>
      <c r="U880" s="8"/>
      <c r="V880" s="5"/>
      <c r="W880" s="6"/>
      <c r="X880" s="5"/>
      <c r="Y880" s="8"/>
      <c r="Z880" s="6"/>
      <c r="AA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5"/>
      <c r="O881" s="5"/>
      <c r="P881" s="8"/>
      <c r="Q881" s="5"/>
      <c r="R881" s="8"/>
      <c r="S881" s="5"/>
      <c r="T881" s="6"/>
      <c r="U881" s="8"/>
      <c r="V881" s="5"/>
      <c r="W881" s="6"/>
      <c r="X881" s="5"/>
      <c r="Y881" s="8"/>
      <c r="Z881" s="6"/>
      <c r="AA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5"/>
      <c r="O882" s="5"/>
      <c r="P882" s="8"/>
      <c r="Q882" s="5"/>
      <c r="R882" s="8"/>
      <c r="S882" s="5"/>
      <c r="T882" s="6"/>
      <c r="U882" s="8"/>
      <c r="V882" s="5"/>
      <c r="W882" s="6"/>
      <c r="X882" s="5"/>
      <c r="Y882" s="8"/>
      <c r="Z882" s="6"/>
      <c r="AA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5"/>
      <c r="O883" s="5"/>
      <c r="P883" s="8"/>
      <c r="Q883" s="5"/>
      <c r="R883" s="8"/>
      <c r="S883" s="5"/>
      <c r="T883" s="6"/>
      <c r="U883" s="8"/>
      <c r="V883" s="5"/>
      <c r="W883" s="6"/>
      <c r="X883" s="5"/>
      <c r="Y883" s="8"/>
      <c r="Z883" s="6"/>
      <c r="AA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5"/>
      <c r="O884" s="5"/>
      <c r="P884" s="8"/>
      <c r="Q884" s="5"/>
      <c r="R884" s="8"/>
      <c r="S884" s="5"/>
      <c r="T884" s="6"/>
      <c r="U884" s="8"/>
      <c r="V884" s="5"/>
      <c r="W884" s="6"/>
      <c r="X884" s="5"/>
      <c r="Y884" s="8"/>
      <c r="Z884" s="6"/>
      <c r="AA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5"/>
      <c r="O885" s="5"/>
      <c r="P885" s="8"/>
      <c r="Q885" s="5"/>
      <c r="R885" s="8"/>
      <c r="S885" s="5"/>
      <c r="T885" s="6"/>
      <c r="U885" s="8"/>
      <c r="V885" s="5"/>
      <c r="W885" s="6"/>
      <c r="X885" s="5"/>
      <c r="Y885" s="8"/>
      <c r="Z885" s="6"/>
      <c r="AA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5"/>
      <c r="O886" s="5"/>
      <c r="P886" s="8"/>
      <c r="Q886" s="5"/>
      <c r="R886" s="8"/>
      <c r="S886" s="5"/>
      <c r="T886" s="6"/>
      <c r="U886" s="8"/>
      <c r="V886" s="5"/>
      <c r="W886" s="6"/>
      <c r="X886" s="5"/>
      <c r="Y886" s="8"/>
      <c r="Z886" s="6"/>
      <c r="AA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5"/>
      <c r="O887" s="5"/>
      <c r="P887" s="8"/>
      <c r="Q887" s="5"/>
      <c r="R887" s="8"/>
      <c r="S887" s="5"/>
      <c r="T887" s="6"/>
      <c r="U887" s="8"/>
      <c r="V887" s="5"/>
      <c r="W887" s="6"/>
      <c r="X887" s="5"/>
      <c r="Y887" s="8"/>
      <c r="Z887" s="6"/>
      <c r="AA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5"/>
      <c r="O888" s="5"/>
      <c r="P888" s="8"/>
      <c r="Q888" s="5"/>
      <c r="R888" s="8"/>
      <c r="S888" s="5"/>
      <c r="T888" s="6"/>
      <c r="U888" s="8"/>
      <c r="V888" s="5"/>
      <c r="W888" s="6"/>
      <c r="X888" s="5"/>
      <c r="Y888" s="8"/>
      <c r="Z888" s="6"/>
      <c r="AA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5"/>
      <c r="O889" s="5"/>
      <c r="P889" s="8"/>
      <c r="Q889" s="5"/>
      <c r="R889" s="8"/>
      <c r="S889" s="5"/>
      <c r="T889" s="6"/>
      <c r="U889" s="8"/>
      <c r="V889" s="5"/>
      <c r="W889" s="6"/>
      <c r="X889" s="5"/>
      <c r="Y889" s="8"/>
      <c r="Z889" s="6"/>
      <c r="AA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5"/>
      <c r="O890" s="5"/>
      <c r="P890" s="8"/>
      <c r="Q890" s="5"/>
      <c r="R890" s="8"/>
      <c r="S890" s="5"/>
      <c r="T890" s="6"/>
      <c r="U890" s="8"/>
      <c r="V890" s="5"/>
      <c r="W890" s="6"/>
      <c r="X890" s="5"/>
      <c r="Y890" s="8"/>
      <c r="Z890" s="6"/>
      <c r="AA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5"/>
      <c r="O891" s="5"/>
      <c r="P891" s="8"/>
      <c r="Q891" s="5"/>
      <c r="R891" s="8"/>
      <c r="S891" s="5"/>
      <c r="T891" s="6"/>
      <c r="U891" s="8"/>
      <c r="V891" s="5"/>
      <c r="W891" s="6"/>
      <c r="X891" s="5"/>
      <c r="Y891" s="8"/>
      <c r="Z891" s="6"/>
      <c r="AA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5"/>
      <c r="O892" s="5"/>
      <c r="P892" s="8"/>
      <c r="Q892" s="5"/>
      <c r="R892" s="8"/>
      <c r="S892" s="5"/>
      <c r="T892" s="6"/>
      <c r="U892" s="8"/>
      <c r="V892" s="5"/>
      <c r="W892" s="6"/>
      <c r="X892" s="5"/>
      <c r="Y892" s="8"/>
      <c r="Z892" s="6"/>
      <c r="AA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5"/>
      <c r="O893" s="5"/>
      <c r="P893" s="8"/>
      <c r="Q893" s="5"/>
      <c r="R893" s="8"/>
      <c r="S893" s="5"/>
      <c r="T893" s="6"/>
      <c r="U893" s="8"/>
      <c r="V893" s="5"/>
      <c r="W893" s="6"/>
      <c r="X893" s="5"/>
      <c r="Y893" s="8"/>
      <c r="Z893" s="6"/>
      <c r="AA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5"/>
      <c r="O894" s="5"/>
      <c r="P894" s="8"/>
      <c r="Q894" s="5"/>
      <c r="R894" s="8"/>
      <c r="S894" s="5"/>
      <c r="T894" s="6"/>
      <c r="U894" s="8"/>
      <c r="V894" s="5"/>
      <c r="W894" s="6"/>
      <c r="X894" s="5"/>
      <c r="Y894" s="8"/>
      <c r="Z894" s="6"/>
      <c r="AA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5"/>
      <c r="O895" s="5"/>
      <c r="P895" s="8"/>
      <c r="Q895" s="5"/>
      <c r="R895" s="8"/>
      <c r="S895" s="5"/>
      <c r="T895" s="6"/>
      <c r="U895" s="8"/>
      <c r="V895" s="5"/>
      <c r="W895" s="6"/>
      <c r="X895" s="5"/>
      <c r="Y895" s="8"/>
      <c r="Z895" s="6"/>
      <c r="AA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5"/>
      <c r="O896" s="5"/>
      <c r="P896" s="8"/>
      <c r="Q896" s="5"/>
      <c r="R896" s="8"/>
      <c r="S896" s="5"/>
      <c r="T896" s="6"/>
      <c r="U896" s="8"/>
      <c r="V896" s="5"/>
      <c r="W896" s="6"/>
      <c r="X896" s="5"/>
      <c r="Y896" s="8"/>
      <c r="Z896" s="6"/>
      <c r="AA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5"/>
      <c r="O897" s="5"/>
      <c r="P897" s="8"/>
      <c r="Q897" s="5"/>
      <c r="R897" s="8"/>
      <c r="S897" s="5"/>
      <c r="T897" s="6"/>
      <c r="U897" s="8"/>
      <c r="V897" s="5"/>
      <c r="W897" s="6"/>
      <c r="X897" s="5"/>
      <c r="Y897" s="8"/>
      <c r="Z897" s="6"/>
      <c r="AA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5"/>
      <c r="O898" s="5"/>
      <c r="P898" s="8"/>
      <c r="Q898" s="5"/>
      <c r="R898" s="8"/>
      <c r="S898" s="5"/>
      <c r="T898" s="6"/>
      <c r="U898" s="8"/>
      <c r="V898" s="5"/>
      <c r="W898" s="6"/>
      <c r="X898" s="5"/>
      <c r="Y898" s="8"/>
      <c r="Z898" s="6"/>
      <c r="AA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5"/>
      <c r="O899" s="5"/>
      <c r="P899" s="8"/>
      <c r="Q899" s="5"/>
      <c r="R899" s="8"/>
      <c r="S899" s="5"/>
      <c r="T899" s="6"/>
      <c r="U899" s="8"/>
      <c r="V899" s="5"/>
      <c r="W899" s="6"/>
      <c r="X899" s="5"/>
      <c r="Y899" s="8"/>
      <c r="Z899" s="6"/>
      <c r="AA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5"/>
      <c r="O900" s="5"/>
      <c r="P900" s="8"/>
      <c r="Q900" s="5"/>
      <c r="R900" s="8"/>
      <c r="S900" s="5"/>
      <c r="T900" s="6"/>
      <c r="U900" s="8"/>
      <c r="V900" s="5"/>
      <c r="W900" s="6"/>
      <c r="X900" s="5"/>
      <c r="Y900" s="8"/>
      <c r="Z900" s="6"/>
      <c r="AA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5"/>
      <c r="O901" s="5"/>
      <c r="P901" s="8"/>
      <c r="Q901" s="5"/>
      <c r="R901" s="8"/>
      <c r="S901" s="5"/>
      <c r="T901" s="6"/>
      <c r="U901" s="8"/>
      <c r="V901" s="5"/>
      <c r="W901" s="6"/>
      <c r="X901" s="5"/>
      <c r="Y901" s="8"/>
      <c r="Z901" s="6"/>
      <c r="AA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5"/>
      <c r="O902" s="5"/>
      <c r="P902" s="8"/>
      <c r="Q902" s="5"/>
      <c r="R902" s="8"/>
      <c r="S902" s="5"/>
      <c r="T902" s="6"/>
      <c r="U902" s="8"/>
      <c r="V902" s="5"/>
      <c r="W902" s="6"/>
      <c r="X902" s="5"/>
      <c r="Y902" s="8"/>
      <c r="Z902" s="6"/>
      <c r="AA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5"/>
      <c r="O903" s="5"/>
      <c r="P903" s="8"/>
      <c r="Q903" s="5"/>
      <c r="R903" s="8"/>
      <c r="S903" s="5"/>
      <c r="T903" s="6"/>
      <c r="U903" s="8"/>
      <c r="V903" s="5"/>
      <c r="W903" s="6"/>
      <c r="X903" s="5"/>
      <c r="Y903" s="8"/>
      <c r="Z903" s="6"/>
      <c r="AA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5"/>
      <c r="O904" s="5"/>
      <c r="P904" s="8"/>
      <c r="Q904" s="5"/>
      <c r="R904" s="8"/>
      <c r="S904" s="5"/>
      <c r="T904" s="6"/>
      <c r="U904" s="8"/>
      <c r="V904" s="5"/>
      <c r="W904" s="6"/>
      <c r="X904" s="5"/>
      <c r="Y904" s="8"/>
      <c r="Z904" s="6"/>
      <c r="AA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5"/>
      <c r="O905" s="5"/>
      <c r="P905" s="8"/>
      <c r="Q905" s="5"/>
      <c r="R905" s="8"/>
      <c r="S905" s="5"/>
      <c r="T905" s="6"/>
      <c r="U905" s="8"/>
      <c r="V905" s="5"/>
      <c r="W905" s="6"/>
      <c r="X905" s="5"/>
      <c r="Y905" s="8"/>
      <c r="Z905" s="6"/>
      <c r="AA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5"/>
      <c r="O906" s="5"/>
      <c r="P906" s="8"/>
      <c r="Q906" s="5"/>
      <c r="R906" s="8"/>
      <c r="S906" s="5"/>
      <c r="T906" s="6"/>
      <c r="U906" s="8"/>
      <c r="V906" s="5"/>
      <c r="W906" s="6"/>
      <c r="X906" s="5"/>
      <c r="Y906" s="8"/>
      <c r="Z906" s="6"/>
      <c r="AA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5"/>
      <c r="O907" s="5"/>
      <c r="P907" s="8"/>
      <c r="Q907" s="5"/>
      <c r="R907" s="8"/>
      <c r="S907" s="5"/>
      <c r="T907" s="6"/>
      <c r="U907" s="8"/>
      <c r="V907" s="5"/>
      <c r="W907" s="6"/>
      <c r="X907" s="5"/>
      <c r="Y907" s="8"/>
      <c r="Z907" s="6"/>
      <c r="AA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5"/>
      <c r="O908" s="5"/>
      <c r="P908" s="8"/>
      <c r="Q908" s="5"/>
      <c r="R908" s="8"/>
      <c r="S908" s="5"/>
      <c r="T908" s="6"/>
      <c r="U908" s="8"/>
      <c r="V908" s="5"/>
      <c r="W908" s="6"/>
      <c r="X908" s="5"/>
      <c r="Y908" s="8"/>
      <c r="Z908" s="6"/>
      <c r="AA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5"/>
      <c r="O909" s="5"/>
      <c r="P909" s="8"/>
      <c r="Q909" s="5"/>
      <c r="R909" s="8"/>
      <c r="S909" s="5"/>
      <c r="T909" s="6"/>
      <c r="U909" s="8"/>
      <c r="V909" s="5"/>
      <c r="W909" s="6"/>
      <c r="X909" s="5"/>
      <c r="Y909" s="8"/>
      <c r="Z909" s="6"/>
      <c r="AA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5"/>
      <c r="O910" s="5"/>
      <c r="P910" s="8"/>
      <c r="Q910" s="5"/>
      <c r="R910" s="8"/>
      <c r="S910" s="5"/>
      <c r="T910" s="6"/>
      <c r="U910" s="8"/>
      <c r="V910" s="5"/>
      <c r="W910" s="6"/>
      <c r="X910" s="5"/>
      <c r="Y910" s="8"/>
      <c r="Z910" s="6"/>
      <c r="AA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5"/>
      <c r="O911" s="5"/>
      <c r="P911" s="8"/>
      <c r="Q911" s="5"/>
      <c r="R911" s="8"/>
      <c r="S911" s="5"/>
      <c r="T911" s="6"/>
      <c r="U911" s="8"/>
      <c r="V911" s="5"/>
      <c r="W911" s="6"/>
      <c r="X911" s="5"/>
      <c r="Y911" s="8"/>
      <c r="Z911" s="6"/>
      <c r="AA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5"/>
      <c r="O912" s="5"/>
      <c r="P912" s="8"/>
      <c r="Q912" s="5"/>
      <c r="R912" s="8"/>
      <c r="S912" s="5"/>
      <c r="T912" s="6"/>
      <c r="U912" s="8"/>
      <c r="V912" s="5"/>
      <c r="W912" s="6"/>
      <c r="X912" s="5"/>
      <c r="Y912" s="8"/>
      <c r="Z912" s="6"/>
      <c r="AA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5"/>
      <c r="O913" s="5"/>
      <c r="P913" s="8"/>
      <c r="Q913" s="5"/>
      <c r="R913" s="8"/>
      <c r="S913" s="5"/>
      <c r="T913" s="6"/>
      <c r="U913" s="8"/>
      <c r="V913" s="5"/>
      <c r="W913" s="6"/>
      <c r="X913" s="5"/>
      <c r="Y913" s="8"/>
      <c r="Z913" s="6"/>
      <c r="AA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5"/>
      <c r="O914" s="5"/>
      <c r="P914" s="8"/>
      <c r="Q914" s="5"/>
      <c r="R914" s="8"/>
      <c r="S914" s="5"/>
      <c r="T914" s="6"/>
      <c r="U914" s="8"/>
      <c r="V914" s="5"/>
      <c r="W914" s="6"/>
      <c r="X914" s="5"/>
      <c r="Y914" s="8"/>
      <c r="Z914" s="6"/>
      <c r="AA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5"/>
      <c r="O915" s="5"/>
      <c r="P915" s="8"/>
      <c r="Q915" s="5"/>
      <c r="R915" s="8"/>
      <c r="S915" s="5"/>
      <c r="T915" s="6"/>
      <c r="U915" s="8"/>
      <c r="V915" s="5"/>
      <c r="W915" s="6"/>
      <c r="X915" s="5"/>
      <c r="Y915" s="8"/>
      <c r="Z915" s="6"/>
      <c r="AA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5"/>
      <c r="O916" s="5"/>
      <c r="P916" s="8"/>
      <c r="Q916" s="5"/>
      <c r="R916" s="8"/>
      <c r="S916" s="5"/>
      <c r="T916" s="6"/>
      <c r="U916" s="8"/>
      <c r="V916" s="5"/>
      <c r="W916" s="6"/>
      <c r="X916" s="5"/>
      <c r="Y916" s="8"/>
      <c r="Z916" s="6"/>
      <c r="AA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5"/>
      <c r="O917" s="5"/>
      <c r="P917" s="8"/>
      <c r="Q917" s="5"/>
      <c r="R917" s="8"/>
      <c r="S917" s="5"/>
      <c r="T917" s="6"/>
      <c r="U917" s="8"/>
      <c r="V917" s="5"/>
      <c r="W917" s="6"/>
      <c r="X917" s="5"/>
      <c r="Y917" s="8"/>
      <c r="Z917" s="6"/>
      <c r="AA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5"/>
      <c r="O918" s="5"/>
      <c r="P918" s="8"/>
      <c r="Q918" s="5"/>
      <c r="R918" s="8"/>
      <c r="S918" s="5"/>
      <c r="T918" s="6"/>
      <c r="U918" s="8"/>
      <c r="V918" s="5"/>
      <c r="W918" s="6"/>
      <c r="X918" s="5"/>
      <c r="Y918" s="8"/>
      <c r="Z918" s="6"/>
      <c r="AA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5"/>
      <c r="O919" s="5"/>
      <c r="P919" s="8"/>
      <c r="Q919" s="5"/>
      <c r="R919" s="8"/>
      <c r="S919" s="5"/>
      <c r="T919" s="6"/>
      <c r="U919" s="8"/>
      <c r="V919" s="5"/>
      <c r="W919" s="6"/>
      <c r="X919" s="5"/>
      <c r="Y919" s="8"/>
      <c r="Z919" s="6"/>
      <c r="AA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5"/>
      <c r="O920" s="5"/>
      <c r="P920" s="8"/>
      <c r="Q920" s="5"/>
      <c r="R920" s="8"/>
      <c r="S920" s="5"/>
      <c r="T920" s="6"/>
      <c r="U920" s="8"/>
      <c r="V920" s="5"/>
      <c r="W920" s="6"/>
      <c r="X920" s="5"/>
      <c r="Y920" s="8"/>
      <c r="Z920" s="6"/>
      <c r="AA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5"/>
      <c r="O921" s="5"/>
      <c r="P921" s="8"/>
      <c r="Q921" s="5"/>
      <c r="R921" s="8"/>
      <c r="S921" s="5"/>
      <c r="T921" s="6"/>
      <c r="U921" s="8"/>
      <c r="V921" s="5"/>
      <c r="W921" s="6"/>
      <c r="X921" s="5"/>
      <c r="Y921" s="8"/>
      <c r="Z921" s="6"/>
      <c r="AA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5"/>
      <c r="O922" s="5"/>
      <c r="P922" s="8"/>
      <c r="Q922" s="5"/>
      <c r="R922" s="8"/>
      <c r="S922" s="5"/>
      <c r="T922" s="6"/>
      <c r="U922" s="8"/>
      <c r="V922" s="5"/>
      <c r="W922" s="6"/>
      <c r="X922" s="5"/>
      <c r="Y922" s="8"/>
      <c r="Z922" s="6"/>
      <c r="AA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5"/>
      <c r="O923" s="5"/>
      <c r="P923" s="8"/>
      <c r="Q923" s="5"/>
      <c r="R923" s="8"/>
      <c r="S923" s="5"/>
      <c r="T923" s="6"/>
      <c r="U923" s="8"/>
      <c r="V923" s="5"/>
      <c r="W923" s="6"/>
      <c r="X923" s="5"/>
      <c r="Y923" s="8"/>
      <c r="Z923" s="6"/>
      <c r="AA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5"/>
      <c r="O924" s="5"/>
      <c r="P924" s="8"/>
      <c r="Q924" s="5"/>
      <c r="R924" s="8"/>
      <c r="S924" s="5"/>
      <c r="T924" s="6"/>
      <c r="U924" s="8"/>
      <c r="V924" s="5"/>
      <c r="W924" s="6"/>
      <c r="X924" s="5"/>
      <c r="Y924" s="8"/>
      <c r="Z924" s="6"/>
      <c r="AA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5"/>
      <c r="O925" s="5"/>
      <c r="P925" s="8"/>
      <c r="Q925" s="5"/>
      <c r="R925" s="8"/>
      <c r="S925" s="5"/>
      <c r="T925" s="6"/>
      <c r="U925" s="8"/>
      <c r="V925" s="5"/>
      <c r="W925" s="6"/>
      <c r="X925" s="5"/>
      <c r="Y925" s="8"/>
      <c r="Z925" s="6"/>
      <c r="AA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5"/>
      <c r="O926" s="5"/>
      <c r="P926" s="8"/>
      <c r="Q926" s="5"/>
      <c r="R926" s="8"/>
      <c r="S926" s="5"/>
      <c r="T926" s="6"/>
      <c r="U926" s="8"/>
      <c r="V926" s="5"/>
      <c r="W926" s="6"/>
      <c r="X926" s="5"/>
      <c r="Y926" s="8"/>
      <c r="Z926" s="6"/>
      <c r="AA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5"/>
      <c r="O927" s="5"/>
      <c r="P927" s="8"/>
      <c r="Q927" s="5"/>
      <c r="R927" s="8"/>
      <c r="S927" s="5"/>
      <c r="T927" s="6"/>
      <c r="U927" s="8"/>
      <c r="V927" s="5"/>
      <c r="W927" s="6"/>
      <c r="X927" s="5"/>
      <c r="Y927" s="8"/>
      <c r="Z927" s="6"/>
      <c r="AA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5"/>
      <c r="O928" s="5"/>
      <c r="P928" s="8"/>
      <c r="Q928" s="5"/>
      <c r="R928" s="8"/>
      <c r="S928" s="5"/>
      <c r="T928" s="6"/>
      <c r="U928" s="8"/>
      <c r="V928" s="5"/>
      <c r="W928" s="6"/>
      <c r="X928" s="5"/>
      <c r="Y928" s="8"/>
      <c r="Z928" s="6"/>
      <c r="AA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5"/>
      <c r="O929" s="5"/>
      <c r="P929" s="8"/>
      <c r="Q929" s="5"/>
      <c r="R929" s="8"/>
      <c r="S929" s="5"/>
      <c r="T929" s="6"/>
      <c r="U929" s="8"/>
      <c r="V929" s="5"/>
      <c r="W929" s="6"/>
      <c r="X929" s="5"/>
      <c r="Y929" s="8"/>
      <c r="Z929" s="6"/>
      <c r="AA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5"/>
      <c r="O930" s="5"/>
      <c r="P930" s="8"/>
      <c r="Q930" s="5"/>
      <c r="R930" s="8"/>
      <c r="S930" s="5"/>
      <c r="T930" s="6"/>
      <c r="U930" s="8"/>
      <c r="V930" s="5"/>
      <c r="W930" s="6"/>
      <c r="X930" s="5"/>
      <c r="Y930" s="8"/>
      <c r="Z930" s="6"/>
      <c r="AA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5"/>
      <c r="O931" s="5"/>
      <c r="P931" s="8"/>
      <c r="Q931" s="5"/>
      <c r="R931" s="8"/>
      <c r="S931" s="5"/>
      <c r="T931" s="6"/>
      <c r="U931" s="8"/>
      <c r="V931" s="5"/>
      <c r="W931" s="6"/>
      <c r="X931" s="5"/>
      <c r="Y931" s="8"/>
      <c r="Z931" s="6"/>
      <c r="AA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5"/>
      <c r="O932" s="5"/>
      <c r="P932" s="8"/>
      <c r="Q932" s="5"/>
      <c r="R932" s="8"/>
      <c r="S932" s="5"/>
      <c r="T932" s="6"/>
      <c r="U932" s="8"/>
      <c r="V932" s="5"/>
      <c r="W932" s="6"/>
      <c r="X932" s="5"/>
      <c r="Y932" s="8"/>
      <c r="Z932" s="6"/>
      <c r="AA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5"/>
      <c r="O933" s="5"/>
      <c r="P933" s="8"/>
      <c r="Q933" s="5"/>
      <c r="R933" s="8"/>
      <c r="S933" s="5"/>
      <c r="T933" s="6"/>
      <c r="U933" s="8"/>
      <c r="V933" s="5"/>
      <c r="W933" s="6"/>
      <c r="X933" s="5"/>
      <c r="Y933" s="8"/>
      <c r="Z933" s="6"/>
      <c r="AA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5"/>
      <c r="O934" s="5"/>
      <c r="P934" s="8"/>
      <c r="Q934" s="5"/>
      <c r="R934" s="8"/>
      <c r="S934" s="5"/>
      <c r="T934" s="6"/>
      <c r="U934" s="8"/>
      <c r="V934" s="5"/>
      <c r="W934" s="6"/>
      <c r="X934" s="5"/>
      <c r="Y934" s="8"/>
      <c r="Z934" s="6"/>
      <c r="AA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5"/>
      <c r="O935" s="5"/>
      <c r="P935" s="8"/>
      <c r="Q935" s="5"/>
      <c r="R935" s="8"/>
      <c r="S935" s="5"/>
      <c r="T935" s="6"/>
      <c r="U935" s="8"/>
      <c r="V935" s="5"/>
      <c r="W935" s="6"/>
      <c r="X935" s="5"/>
      <c r="Y935" s="8"/>
      <c r="Z935" s="6"/>
      <c r="AA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5"/>
      <c r="O936" s="5"/>
      <c r="P936" s="8"/>
      <c r="Q936" s="5"/>
      <c r="R936" s="8"/>
      <c r="S936" s="5"/>
      <c r="T936" s="6"/>
      <c r="U936" s="8"/>
      <c r="V936" s="5"/>
      <c r="W936" s="6"/>
      <c r="X936" s="5"/>
      <c r="Y936" s="8"/>
      <c r="Z936" s="6"/>
      <c r="AA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5"/>
      <c r="O937" s="5"/>
      <c r="P937" s="8"/>
      <c r="Q937" s="5"/>
      <c r="R937" s="8"/>
      <c r="S937" s="5"/>
      <c r="T937" s="6"/>
      <c r="U937" s="8"/>
      <c r="V937" s="5"/>
      <c r="W937" s="6"/>
      <c r="X937" s="5"/>
      <c r="Y937" s="8"/>
      <c r="Z937" s="6"/>
      <c r="AA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5"/>
      <c r="O938" s="5"/>
      <c r="P938" s="8"/>
      <c r="Q938" s="5"/>
      <c r="R938" s="8"/>
      <c r="S938" s="5"/>
      <c r="T938" s="6"/>
      <c r="U938" s="8"/>
      <c r="V938" s="5"/>
      <c r="W938" s="6"/>
      <c r="X938" s="5"/>
      <c r="Y938" s="8"/>
      <c r="Z938" s="6"/>
      <c r="AA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5"/>
      <c r="O939" s="5"/>
      <c r="P939" s="8"/>
      <c r="Q939" s="5"/>
      <c r="R939" s="8"/>
      <c r="S939" s="5"/>
      <c r="T939" s="6"/>
      <c r="U939" s="8"/>
      <c r="V939" s="5"/>
      <c r="W939" s="6"/>
      <c r="X939" s="5"/>
      <c r="Y939" s="8"/>
      <c r="Z939" s="6"/>
      <c r="AA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5"/>
      <c r="O940" s="5"/>
      <c r="P940" s="8"/>
      <c r="Q940" s="5"/>
      <c r="R940" s="8"/>
      <c r="S940" s="5"/>
      <c r="T940" s="6"/>
      <c r="U940" s="8"/>
      <c r="V940" s="5"/>
      <c r="W940" s="6"/>
      <c r="X940" s="5"/>
      <c r="Y940" s="8"/>
      <c r="Z940" s="6"/>
      <c r="AA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5"/>
      <c r="O941" s="5"/>
      <c r="P941" s="8"/>
      <c r="Q941" s="5"/>
      <c r="R941" s="8"/>
      <c r="S941" s="5"/>
      <c r="T941" s="6"/>
      <c r="U941" s="8"/>
      <c r="V941" s="5"/>
      <c r="W941" s="6"/>
      <c r="X941" s="5"/>
      <c r="Y941" s="8"/>
      <c r="Z941" s="6"/>
      <c r="AA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5"/>
      <c r="O942" s="5"/>
      <c r="P942" s="8"/>
      <c r="Q942" s="5"/>
      <c r="R942" s="8"/>
      <c r="S942" s="5"/>
      <c r="T942" s="6"/>
      <c r="U942" s="8"/>
      <c r="V942" s="5"/>
      <c r="W942" s="6"/>
      <c r="X942" s="5"/>
      <c r="Y942" s="8"/>
      <c r="Z942" s="6"/>
      <c r="AA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5"/>
      <c r="O943" s="5"/>
      <c r="P943" s="8"/>
      <c r="Q943" s="5"/>
      <c r="R943" s="8"/>
      <c r="S943" s="5"/>
      <c r="T943" s="6"/>
      <c r="U943" s="8"/>
      <c r="V943" s="5"/>
      <c r="W943" s="6"/>
      <c r="X943" s="5"/>
      <c r="Y943" s="8"/>
      <c r="Z943" s="6"/>
      <c r="AA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5"/>
      <c r="O944" s="5"/>
      <c r="P944" s="8"/>
      <c r="Q944" s="5"/>
      <c r="R944" s="8"/>
      <c r="S944" s="5"/>
      <c r="T944" s="6"/>
      <c r="U944" s="8"/>
      <c r="V944" s="5"/>
      <c r="W944" s="6"/>
      <c r="X944" s="5"/>
      <c r="Y944" s="8"/>
      <c r="Z944" s="6"/>
      <c r="AA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5"/>
      <c r="O945" s="5"/>
      <c r="P945" s="8"/>
      <c r="Q945" s="5"/>
      <c r="R945" s="8"/>
      <c r="S945" s="5"/>
      <c r="T945" s="6"/>
      <c r="U945" s="8"/>
      <c r="V945" s="5"/>
      <c r="W945" s="6"/>
      <c r="X945" s="5"/>
      <c r="Y945" s="8"/>
      <c r="Z945" s="6"/>
      <c r="AA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5"/>
      <c r="O946" s="5"/>
      <c r="P946" s="8"/>
      <c r="Q946" s="5"/>
      <c r="R946" s="8"/>
      <c r="S946" s="5"/>
      <c r="T946" s="6"/>
      <c r="U946" s="8"/>
      <c r="V946" s="5"/>
      <c r="W946" s="6"/>
      <c r="X946" s="5"/>
      <c r="Y946" s="8"/>
      <c r="Z946" s="6"/>
      <c r="AA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5"/>
      <c r="O947" s="5"/>
      <c r="P947" s="8"/>
      <c r="Q947" s="5"/>
      <c r="R947" s="8"/>
      <c r="S947" s="5"/>
      <c r="T947" s="6"/>
      <c r="U947" s="8"/>
      <c r="V947" s="5"/>
      <c r="W947" s="6"/>
      <c r="X947" s="5"/>
      <c r="Y947" s="8"/>
      <c r="Z947" s="6"/>
      <c r="AA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5"/>
      <c r="O948" s="5"/>
      <c r="P948" s="8"/>
      <c r="Q948" s="5"/>
      <c r="R948" s="8"/>
      <c r="S948" s="5"/>
      <c r="T948" s="6"/>
      <c r="U948" s="8"/>
      <c r="V948" s="5"/>
      <c r="W948" s="6"/>
      <c r="X948" s="5"/>
      <c r="Y948" s="8"/>
      <c r="Z948" s="6"/>
      <c r="AA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5"/>
      <c r="O949" s="5"/>
      <c r="P949" s="8"/>
      <c r="Q949" s="5"/>
      <c r="R949" s="8"/>
      <c r="S949" s="5"/>
      <c r="T949" s="6"/>
      <c r="U949" s="8"/>
      <c r="V949" s="5"/>
      <c r="W949" s="6"/>
      <c r="X949" s="5"/>
      <c r="Y949" s="8"/>
      <c r="Z949" s="6"/>
      <c r="AA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5"/>
      <c r="O950" s="5"/>
      <c r="P950" s="8"/>
      <c r="Q950" s="5"/>
      <c r="R950" s="8"/>
      <c r="S950" s="5"/>
      <c r="T950" s="6"/>
      <c r="U950" s="8"/>
      <c r="V950" s="5"/>
      <c r="W950" s="6"/>
      <c r="X950" s="5"/>
      <c r="Y950" s="8"/>
      <c r="Z950" s="6"/>
      <c r="AA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5"/>
      <c r="O951" s="5"/>
      <c r="P951" s="8"/>
      <c r="Q951" s="5"/>
      <c r="R951" s="8"/>
      <c r="S951" s="5"/>
      <c r="T951" s="6"/>
      <c r="U951" s="8"/>
      <c r="V951" s="5"/>
      <c r="W951" s="6"/>
      <c r="X951" s="5"/>
      <c r="Y951" s="8"/>
      <c r="Z951" s="6"/>
      <c r="AA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5"/>
      <c r="O952" s="5"/>
      <c r="P952" s="8"/>
      <c r="Q952" s="5"/>
      <c r="R952" s="8"/>
      <c r="S952" s="5"/>
      <c r="T952" s="6"/>
      <c r="U952" s="8"/>
      <c r="V952" s="5"/>
      <c r="W952" s="6"/>
      <c r="X952" s="5"/>
      <c r="Y952" s="8"/>
      <c r="Z952" s="6"/>
      <c r="AA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5"/>
      <c r="O953" s="5"/>
      <c r="P953" s="8"/>
      <c r="Q953" s="5"/>
      <c r="R953" s="8"/>
      <c r="S953" s="5"/>
      <c r="T953" s="6"/>
      <c r="U953" s="8"/>
      <c r="V953" s="5"/>
      <c r="W953" s="6"/>
      <c r="X953" s="5"/>
      <c r="Y953" s="8"/>
      <c r="Z953" s="6"/>
      <c r="AA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5"/>
      <c r="O954" s="5"/>
      <c r="P954" s="8"/>
      <c r="Q954" s="5"/>
      <c r="R954" s="8"/>
      <c r="S954" s="5"/>
      <c r="T954" s="6"/>
      <c r="U954" s="8"/>
      <c r="V954" s="5"/>
      <c r="W954" s="6"/>
      <c r="X954" s="5"/>
      <c r="Y954" s="8"/>
      <c r="Z954" s="6"/>
      <c r="AA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5"/>
      <c r="O955" s="5"/>
      <c r="P955" s="8"/>
      <c r="Q955" s="5"/>
      <c r="R955" s="8"/>
      <c r="S955" s="5"/>
      <c r="T955" s="6"/>
      <c r="U955" s="8"/>
      <c r="V955" s="5"/>
      <c r="W955" s="6"/>
      <c r="X955" s="5"/>
      <c r="Y955" s="8"/>
      <c r="Z955" s="6"/>
      <c r="AA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5"/>
      <c r="O956" s="5"/>
      <c r="P956" s="8"/>
      <c r="Q956" s="5"/>
      <c r="R956" s="8"/>
      <c r="S956" s="5"/>
      <c r="T956" s="6"/>
      <c r="U956" s="8"/>
      <c r="V956" s="5"/>
      <c r="W956" s="6"/>
      <c r="X956" s="5"/>
      <c r="Y956" s="8"/>
      <c r="Z956" s="6"/>
      <c r="AA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5"/>
      <c r="O957" s="5"/>
      <c r="P957" s="8"/>
      <c r="Q957" s="5"/>
      <c r="R957" s="8"/>
      <c r="S957" s="5"/>
      <c r="T957" s="6"/>
      <c r="U957" s="8"/>
      <c r="V957" s="5"/>
      <c r="W957" s="6"/>
      <c r="X957" s="5"/>
      <c r="Y957" s="8"/>
      <c r="Z957" s="6"/>
      <c r="AA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5"/>
      <c r="O958" s="5"/>
      <c r="P958" s="8"/>
      <c r="Q958" s="5"/>
      <c r="R958" s="8"/>
      <c r="S958" s="5"/>
      <c r="T958" s="6"/>
      <c r="U958" s="8"/>
      <c r="V958" s="5"/>
      <c r="W958" s="6"/>
      <c r="X958" s="5"/>
      <c r="Y958" s="8"/>
      <c r="Z958" s="6"/>
      <c r="AA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5"/>
      <c r="O959" s="5"/>
      <c r="P959" s="8"/>
      <c r="Q959" s="5"/>
      <c r="R959" s="8"/>
      <c r="S959" s="5"/>
      <c r="T959" s="6"/>
      <c r="U959" s="8"/>
      <c r="V959" s="5"/>
      <c r="W959" s="6"/>
      <c r="X959" s="5"/>
      <c r="Y959" s="8"/>
      <c r="Z959" s="6"/>
      <c r="AA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5"/>
      <c r="O960" s="5"/>
      <c r="P960" s="8"/>
      <c r="Q960" s="5"/>
      <c r="R960" s="8"/>
      <c r="S960" s="5"/>
      <c r="T960" s="6"/>
      <c r="U960" s="8"/>
      <c r="V960" s="5"/>
      <c r="W960" s="6"/>
      <c r="X960" s="5"/>
      <c r="Y960" s="8"/>
      <c r="Z960" s="6"/>
      <c r="AA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5"/>
      <c r="O961" s="5"/>
      <c r="P961" s="8"/>
      <c r="Q961" s="5"/>
      <c r="R961" s="8"/>
      <c r="S961" s="5"/>
      <c r="T961" s="6"/>
      <c r="U961" s="8"/>
      <c r="V961" s="5"/>
      <c r="W961" s="6"/>
      <c r="X961" s="5"/>
      <c r="Y961" s="8"/>
      <c r="Z961" s="6"/>
      <c r="AA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5"/>
      <c r="O962" s="5"/>
      <c r="P962" s="8"/>
      <c r="Q962" s="5"/>
      <c r="R962" s="8"/>
      <c r="S962" s="5"/>
      <c r="T962" s="6"/>
      <c r="U962" s="8"/>
      <c r="V962" s="5"/>
      <c r="W962" s="6"/>
      <c r="X962" s="5"/>
      <c r="Y962" s="8"/>
      <c r="Z962" s="6"/>
      <c r="AA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5"/>
      <c r="O963" s="5"/>
      <c r="P963" s="8"/>
      <c r="Q963" s="5"/>
      <c r="R963" s="8"/>
      <c r="S963" s="5"/>
      <c r="T963" s="6"/>
      <c r="U963" s="8"/>
      <c r="V963" s="5"/>
      <c r="W963" s="6"/>
      <c r="X963" s="5"/>
      <c r="Y963" s="8"/>
      <c r="Z963" s="6"/>
      <c r="AA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5"/>
      <c r="O964" s="5"/>
      <c r="P964" s="8"/>
      <c r="Q964" s="5"/>
      <c r="R964" s="8"/>
      <c r="S964" s="5"/>
      <c r="T964" s="6"/>
      <c r="U964" s="8"/>
      <c r="V964" s="5"/>
      <c r="W964" s="6"/>
      <c r="X964" s="5"/>
      <c r="Y964" s="8"/>
      <c r="Z964" s="6"/>
      <c r="AA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5"/>
      <c r="O965" s="5"/>
      <c r="P965" s="8"/>
      <c r="Q965" s="5"/>
      <c r="R965" s="8"/>
      <c r="S965" s="5"/>
      <c r="T965" s="6"/>
      <c r="U965" s="8"/>
      <c r="V965" s="5"/>
      <c r="W965" s="6"/>
      <c r="X965" s="5"/>
      <c r="Y965" s="8"/>
      <c r="Z965" s="6"/>
      <c r="AA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5"/>
      <c r="O966" s="5"/>
      <c r="P966" s="8"/>
      <c r="Q966" s="5"/>
      <c r="R966" s="8"/>
      <c r="S966" s="5"/>
      <c r="T966" s="6"/>
      <c r="U966" s="8"/>
      <c r="V966" s="5"/>
      <c r="W966" s="6"/>
      <c r="X966" s="5"/>
      <c r="Y966" s="8"/>
      <c r="Z966" s="6"/>
      <c r="AA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5"/>
      <c r="O967" s="5"/>
      <c r="P967" s="8"/>
      <c r="Q967" s="5"/>
      <c r="R967" s="8"/>
      <c r="S967" s="5"/>
      <c r="T967" s="6"/>
      <c r="U967" s="8"/>
      <c r="V967" s="5"/>
      <c r="W967" s="6"/>
      <c r="X967" s="5"/>
      <c r="Y967" s="8"/>
      <c r="Z967" s="6"/>
      <c r="AA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5"/>
      <c r="O968" s="5"/>
      <c r="P968" s="8"/>
      <c r="Q968" s="5"/>
      <c r="R968" s="8"/>
      <c r="S968" s="5"/>
      <c r="T968" s="6"/>
      <c r="U968" s="8"/>
      <c r="V968" s="5"/>
      <c r="W968" s="6"/>
      <c r="X968" s="5"/>
      <c r="Y968" s="8"/>
      <c r="Z968" s="6"/>
      <c r="AA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5"/>
      <c r="O969" s="5"/>
      <c r="P969" s="8"/>
      <c r="Q969" s="5"/>
      <c r="R969" s="8"/>
      <c r="S969" s="5"/>
      <c r="T969" s="6"/>
      <c r="U969" s="8"/>
      <c r="V969" s="5"/>
      <c r="W969" s="6"/>
      <c r="X969" s="5"/>
      <c r="Y969" s="8"/>
      <c r="Z969" s="6"/>
      <c r="AA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5"/>
      <c r="O970" s="5"/>
      <c r="P970" s="8"/>
      <c r="Q970" s="5"/>
      <c r="R970" s="8"/>
      <c r="S970" s="5"/>
      <c r="T970" s="6"/>
      <c r="U970" s="8"/>
      <c r="V970" s="5"/>
      <c r="W970" s="6"/>
      <c r="X970" s="5"/>
      <c r="Y970" s="8"/>
      <c r="Z970" s="6"/>
      <c r="AA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5"/>
      <c r="O971" s="5"/>
      <c r="P971" s="8"/>
      <c r="Q971" s="5"/>
      <c r="R971" s="8"/>
      <c r="S971" s="5"/>
      <c r="T971" s="6"/>
      <c r="U971" s="8"/>
      <c r="V971" s="5"/>
      <c r="W971" s="6"/>
      <c r="X971" s="5"/>
      <c r="Y971" s="8"/>
      <c r="Z971" s="6"/>
      <c r="AA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5"/>
      <c r="O972" s="5"/>
      <c r="P972" s="8"/>
      <c r="Q972" s="5"/>
      <c r="R972" s="8"/>
      <c r="S972" s="5"/>
      <c r="T972" s="6"/>
      <c r="U972" s="8"/>
      <c r="V972" s="5"/>
      <c r="W972" s="6"/>
      <c r="X972" s="5"/>
      <c r="Y972" s="8"/>
      <c r="Z972" s="6"/>
      <c r="AA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5"/>
      <c r="O973" s="5"/>
      <c r="P973" s="8"/>
      <c r="Q973" s="5"/>
      <c r="R973" s="8"/>
      <c r="S973" s="5"/>
      <c r="T973" s="6"/>
      <c r="U973" s="8"/>
      <c r="V973" s="5"/>
      <c r="W973" s="6"/>
      <c r="X973" s="5"/>
      <c r="Y973" s="8"/>
      <c r="Z973" s="6"/>
      <c r="AA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5"/>
      <c r="O974" s="5"/>
      <c r="P974" s="8"/>
      <c r="Q974" s="5"/>
      <c r="R974" s="8"/>
      <c r="S974" s="5"/>
      <c r="T974" s="6"/>
      <c r="U974" s="8"/>
      <c r="V974" s="5"/>
      <c r="W974" s="6"/>
      <c r="X974" s="5"/>
      <c r="Y974" s="8"/>
      <c r="Z974" s="6"/>
      <c r="AA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5"/>
      <c r="O975" s="5"/>
      <c r="P975" s="8"/>
      <c r="Q975" s="5"/>
      <c r="R975" s="8"/>
      <c r="S975" s="5"/>
      <c r="T975" s="6"/>
      <c r="U975" s="8"/>
      <c r="V975" s="5"/>
      <c r="W975" s="6"/>
      <c r="X975" s="5"/>
      <c r="Y975" s="8"/>
      <c r="Z975" s="6"/>
      <c r="AA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5"/>
      <c r="O976" s="5"/>
      <c r="P976" s="8"/>
      <c r="Q976" s="5"/>
      <c r="R976" s="8"/>
      <c r="S976" s="5"/>
      <c r="T976" s="6"/>
      <c r="U976" s="8"/>
      <c r="V976" s="5"/>
      <c r="W976" s="6"/>
      <c r="X976" s="5"/>
      <c r="Y976" s="8"/>
      <c r="Z976" s="6"/>
      <c r="AA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5"/>
      <c r="O977" s="5"/>
      <c r="P977" s="8"/>
      <c r="Q977" s="5"/>
      <c r="R977" s="8"/>
      <c r="S977" s="5"/>
      <c r="T977" s="6"/>
      <c r="U977" s="8"/>
      <c r="V977" s="5"/>
      <c r="W977" s="6"/>
      <c r="X977" s="5"/>
      <c r="Y977" s="8"/>
      <c r="Z977" s="6"/>
      <c r="AA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5"/>
      <c r="O978" s="5"/>
      <c r="P978" s="8"/>
      <c r="Q978" s="5"/>
      <c r="R978" s="8"/>
      <c r="S978" s="5"/>
      <c r="T978" s="6"/>
      <c r="U978" s="8"/>
      <c r="V978" s="5"/>
      <c r="W978" s="6"/>
      <c r="X978" s="5"/>
      <c r="Y978" s="8"/>
      <c r="Z978" s="6"/>
      <c r="AA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5"/>
      <c r="O979" s="5"/>
      <c r="P979" s="8"/>
      <c r="Q979" s="5"/>
      <c r="R979" s="8"/>
      <c r="S979" s="5"/>
      <c r="T979" s="6"/>
      <c r="U979" s="8"/>
      <c r="V979" s="5"/>
      <c r="W979" s="6"/>
      <c r="X979" s="5"/>
      <c r="Y979" s="8"/>
      <c r="Z979" s="6"/>
      <c r="AA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5"/>
      <c r="O980" s="5"/>
      <c r="P980" s="8"/>
      <c r="Q980" s="5"/>
      <c r="R980" s="8"/>
      <c r="S980" s="5"/>
      <c r="T980" s="6"/>
      <c r="U980" s="8"/>
      <c r="V980" s="5"/>
      <c r="W980" s="6"/>
      <c r="X980" s="5"/>
      <c r="Y980" s="8"/>
      <c r="Z980" s="6"/>
      <c r="AA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5"/>
      <c r="O981" s="5"/>
      <c r="P981" s="8"/>
      <c r="Q981" s="5"/>
      <c r="R981" s="8"/>
      <c r="S981" s="5"/>
      <c r="T981" s="6"/>
      <c r="U981" s="8"/>
      <c r="V981" s="5"/>
      <c r="W981" s="6"/>
      <c r="X981" s="5"/>
      <c r="Y981" s="8"/>
      <c r="Z981" s="6"/>
      <c r="AA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5"/>
      <c r="O982" s="5"/>
      <c r="P982" s="8"/>
      <c r="Q982" s="5"/>
      <c r="R982" s="8"/>
      <c r="S982" s="5"/>
      <c r="T982" s="6"/>
      <c r="U982" s="8"/>
      <c r="V982" s="5"/>
      <c r="W982" s="6"/>
      <c r="X982" s="5"/>
      <c r="Y982" s="8"/>
      <c r="Z982" s="6"/>
      <c r="AA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5"/>
      <c r="O983" s="5"/>
      <c r="P983" s="8"/>
      <c r="Q983" s="5"/>
      <c r="R983" s="8"/>
      <c r="S983" s="5"/>
      <c r="T983" s="6"/>
      <c r="U983" s="8"/>
      <c r="V983" s="5"/>
      <c r="W983" s="6"/>
      <c r="X983" s="5"/>
      <c r="Y983" s="8"/>
      <c r="Z983" s="6"/>
      <c r="AA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5"/>
      <c r="O984" s="5"/>
      <c r="P984" s="8"/>
      <c r="Q984" s="5"/>
      <c r="R984" s="8"/>
      <c r="S984" s="5"/>
      <c r="T984" s="6"/>
      <c r="U984" s="8"/>
      <c r="V984" s="5"/>
      <c r="W984" s="6"/>
      <c r="X984" s="5"/>
      <c r="Y984" s="8"/>
      <c r="Z984" s="6"/>
      <c r="AA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5"/>
      <c r="O985" s="5"/>
      <c r="P985" s="8"/>
      <c r="Q985" s="5"/>
      <c r="R985" s="8"/>
      <c r="S985" s="5"/>
      <c r="T985" s="6"/>
      <c r="U985" s="8"/>
      <c r="V985" s="5"/>
      <c r="W985" s="6"/>
      <c r="X985" s="5"/>
      <c r="Y985" s="8"/>
      <c r="Z985" s="6"/>
      <c r="AA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5"/>
      <c r="O986" s="5"/>
      <c r="P986" s="8"/>
      <c r="Q986" s="5"/>
      <c r="R986" s="8"/>
      <c r="S986" s="5"/>
      <c r="T986" s="6"/>
      <c r="U986" s="8"/>
      <c r="V986" s="5"/>
      <c r="W986" s="6"/>
      <c r="X986" s="5"/>
      <c r="Y986" s="8"/>
      <c r="Z986" s="6"/>
      <c r="AA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5"/>
      <c r="O987" s="5"/>
      <c r="P987" s="8"/>
      <c r="Q987" s="5"/>
      <c r="R987" s="8"/>
      <c r="S987" s="5"/>
      <c r="T987" s="6"/>
      <c r="U987" s="8"/>
      <c r="V987" s="5"/>
      <c r="W987" s="6"/>
      <c r="X987" s="5"/>
      <c r="Y987" s="8"/>
      <c r="Z987" s="6"/>
      <c r="AA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5"/>
      <c r="O988" s="5"/>
      <c r="P988" s="8"/>
      <c r="Q988" s="5"/>
      <c r="R988" s="8"/>
      <c r="S988" s="5"/>
      <c r="T988" s="6"/>
      <c r="U988" s="8"/>
      <c r="V988" s="5"/>
      <c r="W988" s="6"/>
      <c r="X988" s="5"/>
      <c r="Y988" s="8"/>
      <c r="Z988" s="6"/>
      <c r="AA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5"/>
      <c r="O989" s="5"/>
      <c r="P989" s="8"/>
      <c r="Q989" s="5"/>
      <c r="R989" s="8"/>
      <c r="S989" s="5"/>
      <c r="T989" s="6"/>
      <c r="U989" s="8"/>
      <c r="V989" s="5"/>
      <c r="W989" s="6"/>
      <c r="X989" s="5"/>
      <c r="Y989" s="8"/>
      <c r="Z989" s="6"/>
      <c r="AA989" s="6"/>
    </row>
    <row r="990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5"/>
      <c r="O990" s="5"/>
      <c r="P990" s="8"/>
      <c r="Q990" s="5"/>
      <c r="R990" s="8"/>
      <c r="S990" s="5"/>
      <c r="T990" s="6"/>
      <c r="U990" s="8"/>
      <c r="V990" s="5"/>
      <c r="W990" s="6"/>
      <c r="X990" s="5"/>
      <c r="Y990" s="8"/>
      <c r="Z990" s="6"/>
      <c r="AA990" s="6"/>
    </row>
    <row r="99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5"/>
      <c r="O991" s="5"/>
      <c r="P991" s="8"/>
      <c r="Q991" s="5"/>
      <c r="R991" s="8"/>
      <c r="S991" s="5"/>
      <c r="T991" s="6"/>
      <c r="U991" s="8"/>
      <c r="V991" s="5"/>
      <c r="W991" s="6"/>
      <c r="X991" s="5"/>
      <c r="Y991" s="8"/>
      <c r="Z991" s="6"/>
      <c r="AA991" s="6"/>
    </row>
    <row r="992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5"/>
      <c r="O992" s="5"/>
      <c r="P992" s="8"/>
      <c r="Q992" s="5"/>
      <c r="R992" s="8"/>
      <c r="S992" s="5"/>
      <c r="T992" s="6"/>
      <c r="U992" s="8"/>
      <c r="V992" s="5"/>
      <c r="W992" s="6"/>
      <c r="X992" s="5"/>
      <c r="Y992" s="8"/>
      <c r="Z992" s="6"/>
      <c r="AA992" s="6"/>
    </row>
    <row r="993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5"/>
      <c r="O993" s="5"/>
      <c r="P993" s="8"/>
      <c r="Q993" s="5"/>
      <c r="R993" s="8"/>
      <c r="S993" s="5"/>
      <c r="T993" s="6"/>
      <c r="U993" s="8"/>
      <c r="V993" s="5"/>
      <c r="W993" s="6"/>
      <c r="X993" s="5"/>
      <c r="Y993" s="8"/>
      <c r="Z993" s="6"/>
      <c r="AA993" s="6"/>
    </row>
    <row r="994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5"/>
      <c r="O994" s="5"/>
      <c r="P994" s="8"/>
      <c r="Q994" s="5"/>
      <c r="R994" s="8"/>
      <c r="S994" s="5"/>
      <c r="T994" s="6"/>
      <c r="U994" s="8"/>
      <c r="V994" s="5"/>
      <c r="W994" s="6"/>
      <c r="X994" s="5"/>
      <c r="Y994" s="8"/>
      <c r="Z994" s="6"/>
      <c r="AA994" s="6"/>
    </row>
    <row r="995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5"/>
      <c r="O995" s="5"/>
      <c r="P995" s="8"/>
      <c r="Q995" s="5"/>
      <c r="R995" s="8"/>
      <c r="S995" s="5"/>
      <c r="T995" s="6"/>
      <c r="U995" s="8"/>
      <c r="V995" s="5"/>
      <c r="W995" s="6"/>
      <c r="X995" s="5"/>
      <c r="Y995" s="8"/>
      <c r="Z995" s="6"/>
      <c r="AA995" s="6"/>
    </row>
    <row r="996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5"/>
      <c r="O996" s="5"/>
      <c r="P996" s="8"/>
      <c r="Q996" s="5"/>
      <c r="R996" s="8"/>
      <c r="S996" s="5"/>
      <c r="T996" s="6"/>
      <c r="U996" s="8"/>
      <c r="V996" s="5"/>
      <c r="W996" s="6"/>
      <c r="X996" s="5"/>
      <c r="Y996" s="8"/>
      <c r="Z996" s="6"/>
      <c r="AA996" s="6"/>
    </row>
    <row r="997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5"/>
      <c r="O997" s="5"/>
      <c r="P997" s="8"/>
      <c r="Q997" s="5"/>
      <c r="R997" s="8"/>
      <c r="S997" s="5"/>
      <c r="T997" s="6"/>
      <c r="U997" s="8"/>
      <c r="V997" s="5"/>
      <c r="W997" s="6"/>
      <c r="X997" s="5"/>
      <c r="Y997" s="8"/>
      <c r="Z997" s="6"/>
      <c r="AA997" s="6"/>
    </row>
    <row r="998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5"/>
      <c r="O998" s="5"/>
      <c r="P998" s="8"/>
      <c r="Q998" s="5"/>
      <c r="R998" s="8"/>
      <c r="S998" s="5"/>
      <c r="T998" s="6"/>
      <c r="U998" s="8"/>
      <c r="V998" s="5"/>
      <c r="W998" s="6"/>
      <c r="X998" s="5"/>
      <c r="Y998" s="8"/>
      <c r="Z998" s="6"/>
      <c r="AA998" s="6"/>
    </row>
    <row r="999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5"/>
      <c r="O999" s="5"/>
      <c r="P999" s="8"/>
      <c r="Q999" s="5"/>
      <c r="R999" s="8"/>
      <c r="S999" s="5"/>
      <c r="T999" s="6"/>
      <c r="U999" s="8"/>
      <c r="V999" s="5"/>
      <c r="W999" s="6"/>
      <c r="X999" s="5"/>
      <c r="Y999" s="8"/>
      <c r="Z999" s="6"/>
      <c r="AA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78"/>
    <col customWidth="1" min="2" max="7" width="10.78"/>
    <col customWidth="1" min="8" max="26" width="10.56"/>
  </cols>
  <sheetData>
    <row r="1" ht="15.75" customHeight="1">
      <c r="A1" s="6" t="s">
        <v>35</v>
      </c>
    </row>
    <row r="2" ht="48.0" customHeight="1">
      <c r="A2" s="9"/>
      <c r="B2" s="10" t="s">
        <v>36</v>
      </c>
      <c r="C2" s="11" t="s">
        <v>37</v>
      </c>
      <c r="D2" s="6" t="s">
        <v>38</v>
      </c>
      <c r="E2" s="11" t="s">
        <v>39</v>
      </c>
      <c r="F2" s="6" t="s">
        <v>40</v>
      </c>
      <c r="G2" s="12" t="s">
        <v>41</v>
      </c>
      <c r="H2" s="9" t="s">
        <v>42</v>
      </c>
      <c r="I2" s="9" t="s">
        <v>43</v>
      </c>
      <c r="J2" s="9" t="s">
        <v>44</v>
      </c>
      <c r="K2" s="9" t="s">
        <v>45</v>
      </c>
      <c r="L2" s="9" t="s">
        <v>46</v>
      </c>
      <c r="M2" s="9" t="s">
        <v>47</v>
      </c>
      <c r="N2" s="9" t="s">
        <v>48</v>
      </c>
      <c r="O2" s="9" t="s">
        <v>49</v>
      </c>
      <c r="P2" s="9" t="s">
        <v>50</v>
      </c>
      <c r="Q2" s="9" t="s">
        <v>51</v>
      </c>
    </row>
    <row r="3" ht="15.75" customHeight="1">
      <c r="A3" s="13" t="s">
        <v>52</v>
      </c>
      <c r="B3" s="14">
        <f t="shared" ref="B3:B13" si="1">AVERAGE(H3:Q3)</f>
        <v>37317.9</v>
      </c>
      <c r="C3" s="11">
        <f t="shared" ref="C3:C14" si="2">B3/$B$15</f>
        <v>0.04101652404</v>
      </c>
      <c r="D3" s="15">
        <f t="shared" ref="D3:D13" si="3">AVERAGE(H3,L3,P3)</f>
        <v>38937.66667</v>
      </c>
      <c r="E3" s="11">
        <f t="shared" ref="E3:E13" si="4">D3/$D$15</f>
        <v>0.04124369806</v>
      </c>
      <c r="F3" s="15">
        <f t="shared" ref="F3:F13" si="5">AVERAGE(I3,J3,K3,N3,O3)</f>
        <v>36856.8</v>
      </c>
      <c r="G3" s="12">
        <f t="shared" ref="G3:G13" si="6">F3/$F$15</f>
        <v>0.03924458163</v>
      </c>
      <c r="H3" s="15">
        <v>23974.0</v>
      </c>
      <c r="I3" s="15">
        <v>46591.0</v>
      </c>
      <c r="J3" s="15">
        <v>47084.0</v>
      </c>
      <c r="K3" s="15">
        <v>43820.0</v>
      </c>
      <c r="L3" s="15">
        <v>43429.0</v>
      </c>
      <c r="M3" s="15">
        <v>44286.0</v>
      </c>
      <c r="N3" s="15">
        <v>21953.0</v>
      </c>
      <c r="O3" s="15">
        <v>24836.0</v>
      </c>
      <c r="P3" s="15">
        <v>49410.0</v>
      </c>
      <c r="Q3" s="15">
        <v>27796.0</v>
      </c>
    </row>
    <row r="4" ht="15.75" customHeight="1">
      <c r="A4" s="13" t="s">
        <v>53</v>
      </c>
      <c r="B4" s="14">
        <f t="shared" si="1"/>
        <v>590085.6</v>
      </c>
      <c r="C4" s="11">
        <f t="shared" si="2"/>
        <v>0.6485697265</v>
      </c>
      <c r="D4" s="15">
        <f t="shared" si="3"/>
        <v>615154</v>
      </c>
      <c r="E4" s="11">
        <f t="shared" si="4"/>
        <v>0.6515856755</v>
      </c>
      <c r="F4" s="15">
        <f t="shared" si="5"/>
        <v>613318</v>
      </c>
      <c r="G4" s="12">
        <f t="shared" si="6"/>
        <v>0.6530520369</v>
      </c>
      <c r="H4" s="15">
        <v>377019.0</v>
      </c>
      <c r="I4" s="15">
        <v>764324.0</v>
      </c>
      <c r="J4" s="15">
        <v>783769.0</v>
      </c>
      <c r="K4" s="15">
        <v>728857.0</v>
      </c>
      <c r="L4" s="15">
        <v>595521.0</v>
      </c>
      <c r="M4" s="15">
        <v>631429.0</v>
      </c>
      <c r="N4" s="15">
        <v>399427.0</v>
      </c>
      <c r="O4" s="15">
        <v>390213.0</v>
      </c>
      <c r="P4" s="15">
        <v>872922.0</v>
      </c>
      <c r="Q4" s="15">
        <v>357375.0</v>
      </c>
    </row>
    <row r="5" ht="15.75" customHeight="1">
      <c r="A5" s="13" t="s">
        <v>54</v>
      </c>
      <c r="B5" s="14">
        <f t="shared" si="1"/>
        <v>41810.6</v>
      </c>
      <c r="C5" s="11">
        <f t="shared" si="2"/>
        <v>0.04595450119</v>
      </c>
      <c r="D5" s="15">
        <f t="shared" si="3"/>
        <v>42197.66667</v>
      </c>
      <c r="E5" s="11">
        <f t="shared" si="4"/>
        <v>0.04469676721</v>
      </c>
      <c r="F5" s="15">
        <f t="shared" si="5"/>
        <v>44182.4</v>
      </c>
      <c r="G5" s="12">
        <f t="shared" si="6"/>
        <v>0.04704477337</v>
      </c>
      <c r="H5" s="15">
        <v>27782.0</v>
      </c>
      <c r="I5" s="15">
        <v>52990.0</v>
      </c>
      <c r="J5" s="15">
        <v>53821.0</v>
      </c>
      <c r="K5" s="15">
        <v>49967.0</v>
      </c>
      <c r="L5" s="15">
        <v>40975.0</v>
      </c>
      <c r="M5" s="15">
        <v>42660.0</v>
      </c>
      <c r="N5" s="15">
        <v>29802.0</v>
      </c>
      <c r="O5" s="15">
        <v>34332.0</v>
      </c>
      <c r="P5" s="15">
        <v>57836.0</v>
      </c>
      <c r="Q5" s="15">
        <v>27941.0</v>
      </c>
    </row>
    <row r="6" ht="15.75" customHeight="1">
      <c r="A6" s="6" t="s">
        <v>55</v>
      </c>
      <c r="B6" s="14">
        <f t="shared" si="1"/>
        <v>32634.5</v>
      </c>
      <c r="C6" s="11">
        <f t="shared" si="2"/>
        <v>0.03586894637</v>
      </c>
      <c r="D6" s="15">
        <f t="shared" si="3"/>
        <v>35996.66667</v>
      </c>
      <c r="E6" s="11">
        <f t="shared" si="4"/>
        <v>0.03812852126</v>
      </c>
      <c r="F6" s="15">
        <f t="shared" si="5"/>
        <v>30215.6</v>
      </c>
      <c r="G6" s="12">
        <f t="shared" si="6"/>
        <v>0.03217312899</v>
      </c>
      <c r="H6" s="15">
        <v>24800.0</v>
      </c>
      <c r="I6" s="15">
        <v>41730.0</v>
      </c>
      <c r="J6" s="15">
        <v>42649.0</v>
      </c>
      <c r="K6" s="15">
        <v>38174.0</v>
      </c>
      <c r="L6" s="15">
        <v>41125.0</v>
      </c>
      <c r="M6" s="15">
        <v>40775.0</v>
      </c>
      <c r="N6" s="15">
        <v>12378.0</v>
      </c>
      <c r="O6" s="15">
        <v>16147.0</v>
      </c>
      <c r="P6" s="15">
        <v>42065.0</v>
      </c>
      <c r="Q6" s="15">
        <v>26502.0</v>
      </c>
    </row>
    <row r="7" ht="15.75" customHeight="1">
      <c r="A7" s="13" t="s">
        <v>56</v>
      </c>
      <c r="B7" s="14">
        <f t="shared" si="1"/>
        <v>21146.6</v>
      </c>
      <c r="C7" s="11">
        <f t="shared" si="2"/>
        <v>0.02324246614</v>
      </c>
      <c r="D7" s="15">
        <f t="shared" si="3"/>
        <v>21218.33333</v>
      </c>
      <c r="E7" s="11">
        <f t="shared" si="4"/>
        <v>0.02247496084</v>
      </c>
      <c r="F7" s="15">
        <f t="shared" si="5"/>
        <v>22517.6</v>
      </c>
      <c r="G7" s="12">
        <f t="shared" si="6"/>
        <v>0.02397641117</v>
      </c>
      <c r="H7" s="15">
        <v>12916.0</v>
      </c>
      <c r="I7" s="15">
        <v>28053.0</v>
      </c>
      <c r="J7" s="15">
        <v>28664.0</v>
      </c>
      <c r="K7" s="15">
        <v>25726.0</v>
      </c>
      <c r="L7" s="15">
        <v>20549.0</v>
      </c>
      <c r="M7" s="15">
        <v>21590.0</v>
      </c>
      <c r="N7" s="15">
        <v>12389.0</v>
      </c>
      <c r="O7" s="15">
        <v>17756.0</v>
      </c>
      <c r="P7" s="15">
        <v>30190.0</v>
      </c>
      <c r="Q7" s="15">
        <v>13633.0</v>
      </c>
    </row>
    <row r="8" ht="15.75" customHeight="1">
      <c r="A8" s="6" t="s">
        <v>57</v>
      </c>
      <c r="B8" s="14">
        <f t="shared" si="1"/>
        <v>1154.5</v>
      </c>
      <c r="C8" s="11">
        <f t="shared" si="2"/>
        <v>0.001268923948</v>
      </c>
      <c r="D8" s="15">
        <f t="shared" si="3"/>
        <v>1105</v>
      </c>
      <c r="E8" s="11">
        <f t="shared" si="4"/>
        <v>0.001170442152</v>
      </c>
      <c r="F8" s="15">
        <f t="shared" si="5"/>
        <v>1186.8</v>
      </c>
      <c r="G8" s="12">
        <f t="shared" si="6"/>
        <v>0.001263687284</v>
      </c>
      <c r="H8" s="15">
        <v>720.0</v>
      </c>
      <c r="I8" s="15">
        <v>1421.0</v>
      </c>
      <c r="J8" s="15">
        <v>1432.0</v>
      </c>
      <c r="K8" s="15">
        <v>1316.0</v>
      </c>
      <c r="L8" s="15">
        <v>1241.0</v>
      </c>
      <c r="M8" s="15">
        <v>1417.0</v>
      </c>
      <c r="N8" s="15">
        <v>826.0</v>
      </c>
      <c r="O8" s="15">
        <v>939.0</v>
      </c>
      <c r="P8" s="15">
        <v>1354.0</v>
      </c>
      <c r="Q8" s="15">
        <v>879.0</v>
      </c>
    </row>
    <row r="9" ht="15.75" customHeight="1">
      <c r="A9" s="6" t="s">
        <v>58</v>
      </c>
      <c r="B9" s="14">
        <f t="shared" si="1"/>
        <v>13863.3</v>
      </c>
      <c r="C9" s="11">
        <f t="shared" si="2"/>
        <v>0.01523730911</v>
      </c>
      <c r="D9" s="15">
        <f t="shared" si="3"/>
        <v>14380.33333</v>
      </c>
      <c r="E9" s="11">
        <f t="shared" si="4"/>
        <v>0.0152319894</v>
      </c>
      <c r="F9" s="15">
        <f t="shared" si="5"/>
        <v>13115.8</v>
      </c>
      <c r="G9" s="12">
        <f t="shared" si="6"/>
        <v>0.01396551203</v>
      </c>
      <c r="H9" s="15">
        <v>10307.0</v>
      </c>
      <c r="I9" s="15">
        <v>16894.0</v>
      </c>
      <c r="J9" s="15">
        <v>17117.0</v>
      </c>
      <c r="K9" s="15">
        <v>15943.0</v>
      </c>
      <c r="L9" s="15">
        <v>17048.0</v>
      </c>
      <c r="M9" s="15">
        <v>17973.0</v>
      </c>
      <c r="N9" s="15">
        <v>6928.0</v>
      </c>
      <c r="O9" s="15">
        <v>8697.0</v>
      </c>
      <c r="P9" s="15">
        <v>15786.0</v>
      </c>
      <c r="Q9" s="15">
        <v>11940.0</v>
      </c>
    </row>
    <row r="10" ht="15.75" customHeight="1">
      <c r="A10" s="6" t="s">
        <v>59</v>
      </c>
      <c r="B10" s="14">
        <f t="shared" si="1"/>
        <v>25363</v>
      </c>
      <c r="C10" s="11">
        <f t="shared" si="2"/>
        <v>0.02787675885</v>
      </c>
      <c r="D10" s="15">
        <f t="shared" si="3"/>
        <v>25508</v>
      </c>
      <c r="E10" s="11">
        <f t="shared" si="4"/>
        <v>0.02701867729</v>
      </c>
      <c r="F10" s="15">
        <f t="shared" si="5"/>
        <v>25274</v>
      </c>
      <c r="G10" s="12">
        <f t="shared" si="6"/>
        <v>0.02691138558</v>
      </c>
      <c r="H10" s="15">
        <v>17263.0</v>
      </c>
      <c r="I10" s="15">
        <v>32365.0</v>
      </c>
      <c r="J10" s="15">
        <v>32895.0</v>
      </c>
      <c r="K10" s="15">
        <v>29948.0</v>
      </c>
      <c r="L10" s="15">
        <v>28697.0</v>
      </c>
      <c r="M10" s="15">
        <v>29771.0</v>
      </c>
      <c r="N10" s="15">
        <v>13846.0</v>
      </c>
      <c r="O10" s="15">
        <v>17316.0</v>
      </c>
      <c r="P10" s="15">
        <v>30564.0</v>
      </c>
      <c r="Q10" s="15">
        <v>20965.0</v>
      </c>
    </row>
    <row r="11" ht="15.75" customHeight="1">
      <c r="A11" s="13" t="s">
        <v>60</v>
      </c>
      <c r="B11" s="14">
        <f t="shared" si="1"/>
        <v>61151.8</v>
      </c>
      <c r="C11" s="11">
        <f t="shared" si="2"/>
        <v>0.06721263187</v>
      </c>
      <c r="D11" s="15">
        <f t="shared" si="3"/>
        <v>61384.66667</v>
      </c>
      <c r="E11" s="11">
        <f t="shared" si="4"/>
        <v>0.06502009171</v>
      </c>
      <c r="F11" s="15">
        <f t="shared" si="5"/>
        <v>65036</v>
      </c>
      <c r="G11" s="12">
        <f t="shared" si="6"/>
        <v>0.06924938168</v>
      </c>
      <c r="H11" s="15">
        <v>40273.0</v>
      </c>
      <c r="I11" s="15">
        <v>81205.0</v>
      </c>
      <c r="J11" s="15">
        <v>82200.0</v>
      </c>
      <c r="K11" s="15">
        <v>77359.0</v>
      </c>
      <c r="L11" s="15">
        <v>63504.0</v>
      </c>
      <c r="M11" s="15">
        <v>66062.0</v>
      </c>
      <c r="N11" s="15">
        <v>41899.0</v>
      </c>
      <c r="O11" s="15">
        <v>42517.0</v>
      </c>
      <c r="P11" s="15">
        <v>80377.0</v>
      </c>
      <c r="Q11" s="15">
        <v>36122.0</v>
      </c>
    </row>
    <row r="12" ht="15.75" customHeight="1">
      <c r="A12" s="13" t="s">
        <v>61</v>
      </c>
      <c r="B12" s="14">
        <f t="shared" si="1"/>
        <v>63581.2</v>
      </c>
      <c r="C12" s="11">
        <f t="shared" si="2"/>
        <v>0.06988281276</v>
      </c>
      <c r="D12" s="15">
        <f t="shared" si="3"/>
        <v>65245.66667</v>
      </c>
      <c r="E12" s="11">
        <f t="shared" si="4"/>
        <v>0.06910975428</v>
      </c>
      <c r="F12" s="15">
        <f t="shared" si="5"/>
        <v>64216.4</v>
      </c>
      <c r="G12" s="12">
        <f t="shared" si="6"/>
        <v>0.06837668359</v>
      </c>
      <c r="H12" s="15">
        <v>38773.0</v>
      </c>
      <c r="I12" s="15">
        <v>82812.0</v>
      </c>
      <c r="J12" s="15">
        <v>84500.0</v>
      </c>
      <c r="K12" s="15">
        <v>77765.0</v>
      </c>
      <c r="L12" s="15">
        <v>73003.0</v>
      </c>
      <c r="M12" s="15">
        <v>73952.0</v>
      </c>
      <c r="N12" s="15">
        <v>35776.0</v>
      </c>
      <c r="O12" s="15">
        <v>40229.0</v>
      </c>
      <c r="P12" s="15">
        <v>83961.0</v>
      </c>
      <c r="Q12" s="15">
        <v>45041.0</v>
      </c>
    </row>
    <row r="13" ht="15.75" customHeight="1">
      <c r="A13" s="6" t="s">
        <v>62</v>
      </c>
      <c r="B13" s="14">
        <f t="shared" si="1"/>
        <v>21717</v>
      </c>
      <c r="C13" s="11">
        <f t="shared" si="2"/>
        <v>0.0238693992</v>
      </c>
      <c r="D13" s="15">
        <f t="shared" si="3"/>
        <v>22959.66667</v>
      </c>
      <c r="E13" s="11">
        <f t="shared" si="4"/>
        <v>0.02431942231</v>
      </c>
      <c r="F13" s="15">
        <f t="shared" si="5"/>
        <v>23237</v>
      </c>
      <c r="G13" s="12">
        <f t="shared" si="6"/>
        <v>0.02474241777</v>
      </c>
      <c r="H13" s="15">
        <v>15120.0</v>
      </c>
      <c r="I13" s="15">
        <v>30240.0</v>
      </c>
      <c r="J13" s="15">
        <v>30611.0</v>
      </c>
      <c r="K13" s="15">
        <v>27792.0</v>
      </c>
      <c r="L13" s="15">
        <v>22260.0</v>
      </c>
      <c r="M13" s="15">
        <v>22640.0</v>
      </c>
      <c r="N13" s="15">
        <v>13083.0</v>
      </c>
      <c r="O13" s="15">
        <v>14459.0</v>
      </c>
      <c r="P13" s="15">
        <v>31499.0</v>
      </c>
      <c r="Q13" s="15">
        <v>9466.0</v>
      </c>
    </row>
    <row r="14" ht="15.75" customHeight="1">
      <c r="B14" s="10"/>
      <c r="C14" s="11">
        <f t="shared" si="2"/>
        <v>0</v>
      </c>
      <c r="E14" s="11"/>
      <c r="G14" s="12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ht="15.75" customHeight="1">
      <c r="A15" s="6" t="s">
        <v>63</v>
      </c>
      <c r="B15" s="14">
        <f t="shared" ref="B15:Q15" si="7">SUM(B3:B13)</f>
        <v>909826</v>
      </c>
      <c r="C15" s="11">
        <f t="shared" si="7"/>
        <v>1</v>
      </c>
      <c r="D15" s="15">
        <f t="shared" si="7"/>
        <v>944087.6667</v>
      </c>
      <c r="E15" s="11">
        <f t="shared" si="7"/>
        <v>1</v>
      </c>
      <c r="F15" s="15">
        <f t="shared" si="7"/>
        <v>939156.4</v>
      </c>
      <c r="G15" s="12">
        <f t="shared" si="7"/>
        <v>1</v>
      </c>
      <c r="H15" s="15">
        <f t="shared" si="7"/>
        <v>588947</v>
      </c>
      <c r="I15" s="15">
        <f t="shared" si="7"/>
        <v>1178625</v>
      </c>
      <c r="J15" s="15">
        <f t="shared" si="7"/>
        <v>1204742</v>
      </c>
      <c r="K15" s="15">
        <f t="shared" si="7"/>
        <v>1116667</v>
      </c>
      <c r="L15" s="15">
        <f t="shared" si="7"/>
        <v>947352</v>
      </c>
      <c r="M15" s="15">
        <f t="shared" si="7"/>
        <v>992555</v>
      </c>
      <c r="N15" s="15">
        <f t="shared" si="7"/>
        <v>588307</v>
      </c>
      <c r="O15" s="15">
        <f t="shared" si="7"/>
        <v>607441</v>
      </c>
      <c r="P15" s="15">
        <f t="shared" si="7"/>
        <v>1295964</v>
      </c>
      <c r="Q15" s="15">
        <f t="shared" si="7"/>
        <v>577660</v>
      </c>
    </row>
    <row r="16" ht="15.75" customHeight="1"/>
    <row r="17" ht="15.75" customHeight="1"/>
    <row r="18" ht="15.75" customHeight="1"/>
    <row r="19" ht="15.75" customHeight="1">
      <c r="A19" s="6" t="s">
        <v>64</v>
      </c>
    </row>
    <row r="20" ht="15.75" customHeight="1">
      <c r="B20" s="6" t="s">
        <v>65</v>
      </c>
      <c r="D20" s="6" t="s">
        <v>66</v>
      </c>
      <c r="F20" s="6" t="s">
        <v>67</v>
      </c>
    </row>
    <row r="21" ht="15.75" customHeight="1">
      <c r="A21" s="6" t="s">
        <v>68</v>
      </c>
      <c r="B21" s="15">
        <v>37527.200000000004</v>
      </c>
      <c r="C21" s="11">
        <f t="shared" ref="C21:C32" si="8">B21/$B$34</f>
        <v>0.04124656803</v>
      </c>
      <c r="D21" s="15">
        <v>34880.799999999996</v>
      </c>
      <c r="E21" s="11">
        <f t="shared" ref="E21:E32" si="9">D21/$D$34</f>
        <v>0.0396149623</v>
      </c>
      <c r="F21" s="15">
        <v>40173.6</v>
      </c>
      <c r="G21" s="11">
        <f t="shared" ref="G21:G32" si="10">F21/$F$34</f>
        <v>0.04277626176</v>
      </c>
    </row>
    <row r="22" ht="15.75" customHeight="1">
      <c r="A22" s="6" t="s">
        <v>69</v>
      </c>
      <c r="B22" s="15">
        <v>29353.7</v>
      </c>
      <c r="C22" s="11">
        <f t="shared" si="8"/>
        <v>0.03226298215</v>
      </c>
      <c r="D22" s="15">
        <v>27827.6</v>
      </c>
      <c r="E22" s="11">
        <f t="shared" si="9"/>
        <v>0.03160447366</v>
      </c>
      <c r="F22" s="15">
        <v>30879.8</v>
      </c>
      <c r="G22" s="11">
        <f t="shared" si="10"/>
        <v>0.03288035944</v>
      </c>
    </row>
    <row r="23" ht="15.75" customHeight="1">
      <c r="A23" s="6" t="s">
        <v>70</v>
      </c>
      <c r="B23" s="15">
        <v>48244.799999999996</v>
      </c>
      <c r="C23" s="11">
        <f t="shared" si="8"/>
        <v>0.05302640285</v>
      </c>
      <c r="D23" s="15">
        <v>45572.399999999994</v>
      </c>
      <c r="E23" s="11">
        <f t="shared" si="9"/>
        <v>0.0517576692</v>
      </c>
      <c r="F23" s="15">
        <v>50917.2</v>
      </c>
      <c r="G23" s="11">
        <f t="shared" si="10"/>
        <v>0.05421588992</v>
      </c>
    </row>
    <row r="24" ht="15.75" customHeight="1">
      <c r="A24" s="6" t="s">
        <v>71</v>
      </c>
      <c r="B24" s="15">
        <v>15420.0</v>
      </c>
      <c r="C24" s="11">
        <f t="shared" si="8"/>
        <v>0.01694829561</v>
      </c>
      <c r="D24" s="15">
        <v>14210.6</v>
      </c>
      <c r="E24" s="11">
        <f t="shared" si="9"/>
        <v>0.01613931972</v>
      </c>
      <c r="F24" s="15">
        <v>16629.4</v>
      </c>
      <c r="G24" s="11">
        <f t="shared" si="10"/>
        <v>0.01770674192</v>
      </c>
    </row>
    <row r="25" ht="15.75" customHeight="1">
      <c r="A25" s="6" t="s">
        <v>72</v>
      </c>
      <c r="B25" s="15">
        <v>170444.7</v>
      </c>
      <c r="C25" s="11">
        <f t="shared" si="8"/>
        <v>0.1873376887</v>
      </c>
      <c r="D25" s="15">
        <v>162896.0</v>
      </c>
      <c r="E25" s="11">
        <f t="shared" si="9"/>
        <v>0.1850048995</v>
      </c>
      <c r="F25" s="15">
        <v>177993.4</v>
      </c>
      <c r="G25" s="11">
        <f t="shared" si="10"/>
        <v>0.1895247693</v>
      </c>
    </row>
    <row r="26" ht="15.75" customHeight="1">
      <c r="A26" s="6" t="s">
        <v>73</v>
      </c>
      <c r="B26" s="15">
        <v>39936.6</v>
      </c>
      <c r="C26" s="11">
        <f t="shared" si="8"/>
        <v>0.04389476669</v>
      </c>
      <c r="D26" s="15">
        <v>37339.6</v>
      </c>
      <c r="E26" s="11">
        <f t="shared" si="9"/>
        <v>0.04240748051</v>
      </c>
      <c r="F26" s="15">
        <v>42533.6</v>
      </c>
      <c r="G26" s="11">
        <f t="shared" si="10"/>
        <v>0.04528915525</v>
      </c>
    </row>
    <row r="27" ht="15.75" customHeight="1">
      <c r="A27" s="6" t="s">
        <v>74</v>
      </c>
      <c r="B27" s="15">
        <v>196661.90000000002</v>
      </c>
      <c r="C27" s="11">
        <f t="shared" si="8"/>
        <v>0.2161533084</v>
      </c>
      <c r="D27" s="15">
        <v>183546.6</v>
      </c>
      <c r="E27" s="11">
        <f t="shared" si="9"/>
        <v>0.2084582819</v>
      </c>
      <c r="F27" s="15">
        <v>209777.2</v>
      </c>
      <c r="G27" s="11">
        <f t="shared" si="10"/>
        <v>0.2233676947</v>
      </c>
    </row>
    <row r="28" ht="15.75" customHeight="1">
      <c r="A28" s="6" t="s">
        <v>75</v>
      </c>
      <c r="B28" s="15">
        <v>94936.59999999999</v>
      </c>
      <c r="C28" s="11">
        <f t="shared" si="8"/>
        <v>0.1043458859</v>
      </c>
      <c r="D28" s="15">
        <v>92615.19999999998</v>
      </c>
      <c r="E28" s="11">
        <f t="shared" si="9"/>
        <v>0.105185307</v>
      </c>
      <c r="F28" s="15">
        <v>97257.99999999999</v>
      </c>
      <c r="G28" s="11">
        <f t="shared" si="10"/>
        <v>0.103558896</v>
      </c>
    </row>
    <row r="29" ht="15.75" customHeight="1">
      <c r="A29" s="6" t="s">
        <v>76</v>
      </c>
      <c r="B29" s="15">
        <v>90844.69999999998</v>
      </c>
      <c r="C29" s="11">
        <f t="shared" si="8"/>
        <v>0.09984843256</v>
      </c>
      <c r="D29" s="15">
        <v>90278.59999999998</v>
      </c>
      <c r="E29" s="11">
        <f t="shared" si="9"/>
        <v>0.1025315743</v>
      </c>
      <c r="F29" s="15">
        <v>91410.79999999999</v>
      </c>
      <c r="G29" s="11">
        <f t="shared" si="10"/>
        <v>0.097332883</v>
      </c>
    </row>
    <row r="30" ht="15.75" customHeight="1">
      <c r="A30" s="6" t="s">
        <v>77</v>
      </c>
      <c r="B30" s="15">
        <v>65899.3</v>
      </c>
      <c r="C30" s="11">
        <f t="shared" si="8"/>
        <v>0.07243066257</v>
      </c>
      <c r="D30" s="15">
        <v>69235.40000000001</v>
      </c>
      <c r="E30" s="11">
        <f t="shared" si="9"/>
        <v>0.07863230662</v>
      </c>
      <c r="F30" s="15">
        <v>62563.200000000004</v>
      </c>
      <c r="G30" s="11">
        <f t="shared" si="10"/>
        <v>0.0666163804</v>
      </c>
    </row>
    <row r="31" ht="15.75" customHeight="1">
      <c r="A31" s="6" t="s">
        <v>78</v>
      </c>
      <c r="B31" s="15">
        <v>110452.3</v>
      </c>
      <c r="C31" s="11">
        <f t="shared" si="8"/>
        <v>0.1213993665</v>
      </c>
      <c r="D31" s="15">
        <v>111444.59999999999</v>
      </c>
      <c r="E31" s="11">
        <f t="shared" si="9"/>
        <v>0.1265703088</v>
      </c>
      <c r="F31" s="15">
        <v>109460.00000000001</v>
      </c>
      <c r="G31" s="11">
        <f t="shared" si="10"/>
        <v>0.1165514072</v>
      </c>
    </row>
    <row r="32" ht="15.75" customHeight="1">
      <c r="A32" s="6" t="s">
        <v>79</v>
      </c>
      <c r="B32" s="15">
        <v>10104.2</v>
      </c>
      <c r="C32" s="11">
        <f t="shared" si="8"/>
        <v>0.01110563998</v>
      </c>
      <c r="D32" s="15">
        <v>10648.2</v>
      </c>
      <c r="E32" s="11">
        <f t="shared" si="9"/>
        <v>0.01209341648</v>
      </c>
      <c r="F32" s="15">
        <v>9560.2</v>
      </c>
      <c r="G32" s="11">
        <f t="shared" si="10"/>
        <v>0.01017956115</v>
      </c>
    </row>
    <row r="33" ht="15.75" customHeight="1">
      <c r="B33" s="15"/>
      <c r="C33" s="11"/>
      <c r="D33" s="15"/>
      <c r="E33" s="11"/>
      <c r="F33" s="15"/>
      <c r="G33" s="11"/>
    </row>
    <row r="34" ht="15.75" customHeight="1">
      <c r="A34" s="6" t="s">
        <v>80</v>
      </c>
      <c r="B34" s="15">
        <v>909826.0</v>
      </c>
      <c r="C34" s="11">
        <f>B34/$B$34</f>
        <v>1</v>
      </c>
      <c r="D34" s="15">
        <v>880495.5999999999</v>
      </c>
      <c r="E34" s="11">
        <f>D34/$D$34</f>
        <v>1</v>
      </c>
      <c r="F34" s="15">
        <v>939156.3999999999</v>
      </c>
      <c r="G34" s="11">
        <f>F34/$F$34</f>
        <v>1</v>
      </c>
    </row>
    <row r="35" ht="15.75" customHeight="1"/>
    <row r="36" ht="15.75" customHeight="1"/>
    <row r="37" ht="15.75" customHeight="1"/>
    <row r="38" ht="15.75" customHeight="1">
      <c r="A38" s="6" t="s">
        <v>81</v>
      </c>
    </row>
    <row r="39" ht="16.5" customHeight="1">
      <c r="B39" s="6" t="s">
        <v>65</v>
      </c>
      <c r="D39" s="6" t="s">
        <v>66</v>
      </c>
      <c r="F39" s="6" t="s">
        <v>67</v>
      </c>
      <c r="I39" s="6" t="s">
        <v>82</v>
      </c>
      <c r="J39" s="6" t="s">
        <v>83</v>
      </c>
      <c r="L39" s="16" t="s">
        <v>84</v>
      </c>
      <c r="M39" s="6" t="s">
        <v>85</v>
      </c>
      <c r="N39" s="6" t="s">
        <v>86</v>
      </c>
      <c r="O39" s="6" t="s">
        <v>87</v>
      </c>
      <c r="R39" s="5">
        <f>SUM(R40:R44)</f>
        <v>49</v>
      </c>
    </row>
    <row r="40" ht="15.75" customHeight="1">
      <c r="A40" s="6" t="s">
        <v>88</v>
      </c>
      <c r="B40" s="15">
        <v>170050.6</v>
      </c>
      <c r="C40" s="11">
        <f t="shared" ref="C40:C46" si="11">B40/$B$48</f>
        <v>0.186904529</v>
      </c>
      <c r="D40" s="15">
        <v>158307.0</v>
      </c>
      <c r="E40" s="11">
        <f t="shared" ref="E40:E46" si="12">D40/$D$48</f>
        <v>0.179793062</v>
      </c>
      <c r="F40" s="15">
        <v>181794.2</v>
      </c>
      <c r="G40" s="11">
        <f t="shared" ref="G40:G46" si="13">F40/$F$48</f>
        <v>0.1935718055</v>
      </c>
      <c r="I40" s="6">
        <v>3.0</v>
      </c>
      <c r="J40" s="15">
        <v>60598.06666666667</v>
      </c>
      <c r="L40" s="17">
        <v>70032.0</v>
      </c>
      <c r="M40" s="15">
        <v>47011.666666666664</v>
      </c>
      <c r="N40" s="15">
        <v>64074.0</v>
      </c>
      <c r="O40" s="15">
        <v>53953.666666666664</v>
      </c>
      <c r="Q40" s="15">
        <v>3.0</v>
      </c>
      <c r="R40" s="15">
        <v>9.0</v>
      </c>
    </row>
    <row r="41" ht="15.75" customHeight="1">
      <c r="A41" s="6" t="s">
        <v>89</v>
      </c>
      <c r="B41" s="15">
        <v>132533.5</v>
      </c>
      <c r="C41" s="11">
        <f t="shared" si="11"/>
        <v>0.145669062</v>
      </c>
      <c r="D41" s="15">
        <v>123822.8</v>
      </c>
      <c r="E41" s="11">
        <f t="shared" si="12"/>
        <v>0.1406285278</v>
      </c>
      <c r="F41" s="15">
        <v>141244.2</v>
      </c>
      <c r="G41" s="11">
        <f t="shared" si="13"/>
        <v>0.1503947585</v>
      </c>
      <c r="I41" s="6">
        <v>5.0</v>
      </c>
      <c r="J41" s="15">
        <v>28248.840000000004</v>
      </c>
      <c r="L41" s="17">
        <v>34363.0</v>
      </c>
      <c r="M41" s="15">
        <v>22679.0</v>
      </c>
      <c r="N41" s="15">
        <v>30647.4</v>
      </c>
      <c r="O41" s="15">
        <v>25639.0</v>
      </c>
      <c r="Q41" s="15">
        <v>2.0</v>
      </c>
      <c r="R41" s="15">
        <v>10.0</v>
      </c>
    </row>
    <row r="42" ht="15.75" customHeight="1">
      <c r="A42" s="6" t="s">
        <v>90</v>
      </c>
      <c r="B42" s="15">
        <v>86418.6</v>
      </c>
      <c r="C42" s="11">
        <f t="shared" si="11"/>
        <v>0.09498365622</v>
      </c>
      <c r="D42" s="15">
        <v>82500.4</v>
      </c>
      <c r="E42" s="11">
        <f t="shared" si="12"/>
        <v>0.09369768571</v>
      </c>
      <c r="F42" s="15">
        <v>90336.79999999999</v>
      </c>
      <c r="G42" s="11">
        <f t="shared" si="13"/>
        <v>0.09618930351</v>
      </c>
      <c r="I42" s="6">
        <v>5.0</v>
      </c>
      <c r="J42" s="15">
        <v>18067.359999999997</v>
      </c>
      <c r="L42" s="17">
        <v>21368.0</v>
      </c>
      <c r="M42" s="15">
        <v>14085.6</v>
      </c>
      <c r="N42" s="15">
        <v>18828.8</v>
      </c>
      <c r="O42" s="15">
        <v>15212.2</v>
      </c>
      <c r="Q42" s="15">
        <v>2.0</v>
      </c>
      <c r="R42" s="15">
        <v>10.0</v>
      </c>
    </row>
    <row r="43" ht="15.75" customHeight="1">
      <c r="A43" s="6" t="s">
        <v>91</v>
      </c>
      <c r="B43" s="15">
        <v>115941.70000000001</v>
      </c>
      <c r="C43" s="11">
        <f t="shared" si="11"/>
        <v>0.1274328278</v>
      </c>
      <c r="D43" s="15">
        <v>111765.59999999999</v>
      </c>
      <c r="E43" s="11">
        <f t="shared" si="12"/>
        <v>0.1269348762</v>
      </c>
      <c r="F43" s="15">
        <v>120117.80000000002</v>
      </c>
      <c r="G43" s="11">
        <f t="shared" si="13"/>
        <v>0.1278996768</v>
      </c>
      <c r="I43" s="6">
        <v>10.0</v>
      </c>
      <c r="J43" s="15">
        <v>12011.780000000002</v>
      </c>
      <c r="L43" s="17">
        <v>14723.0</v>
      </c>
      <c r="M43" s="15">
        <v>9853.3</v>
      </c>
      <c r="N43" s="15">
        <v>12967.5</v>
      </c>
      <c r="O43" s="15">
        <v>10310.5</v>
      </c>
      <c r="Q43" s="15">
        <v>1.0</v>
      </c>
      <c r="R43" s="15">
        <v>10.0</v>
      </c>
    </row>
    <row r="44" ht="15.75" customHeight="1">
      <c r="A44" s="6" t="s">
        <v>32</v>
      </c>
      <c r="B44" s="15">
        <v>179600.3</v>
      </c>
      <c r="C44" s="11">
        <f t="shared" si="11"/>
        <v>0.1974007118</v>
      </c>
      <c r="D44" s="15">
        <v>178306.40000000002</v>
      </c>
      <c r="E44" s="11">
        <f t="shared" si="12"/>
        <v>0.2025068609</v>
      </c>
      <c r="F44" s="15">
        <v>180894.2</v>
      </c>
      <c r="G44" s="11">
        <f t="shared" si="13"/>
        <v>0.1926134987</v>
      </c>
      <c r="I44" s="6">
        <v>27.0</v>
      </c>
      <c r="J44" s="15">
        <v>6699.785185185186</v>
      </c>
      <c r="L44" s="17">
        <v>8215.0</v>
      </c>
      <c r="M44" s="15">
        <v>5473.925925925926</v>
      </c>
      <c r="N44" s="15">
        <v>7216.851851851852</v>
      </c>
      <c r="O44" s="15">
        <v>5667.592592592592</v>
      </c>
      <c r="R44" s="15">
        <v>10.0</v>
      </c>
    </row>
    <row r="45" ht="15.75" customHeight="1">
      <c r="A45" s="6" t="s">
        <v>33</v>
      </c>
      <c r="B45" s="15">
        <v>209092.60000000003</v>
      </c>
      <c r="C45" s="11">
        <f t="shared" si="11"/>
        <v>0.2298160308</v>
      </c>
      <c r="D45" s="15">
        <v>211002.2000000001</v>
      </c>
      <c r="E45" s="11">
        <f t="shared" si="12"/>
        <v>0.2396402662</v>
      </c>
      <c r="F45" s="15">
        <v>207182.99999999997</v>
      </c>
      <c r="G45" s="11">
        <f t="shared" si="13"/>
        <v>0.2206054284</v>
      </c>
      <c r="I45" s="6">
        <v>80.0</v>
      </c>
      <c r="J45" s="15">
        <v>2589.7874999999995</v>
      </c>
      <c r="L45" s="17">
        <v>3200.0</v>
      </c>
      <c r="M45" s="15">
        <v>2147.525</v>
      </c>
      <c r="N45" s="15">
        <v>2714.9375</v>
      </c>
      <c r="O45" s="15">
        <v>2012.4125</v>
      </c>
    </row>
    <row r="46" ht="15.75" customHeight="1">
      <c r="A46" s="6" t="s">
        <v>34</v>
      </c>
      <c r="B46" s="15">
        <v>16188.699999999997</v>
      </c>
      <c r="C46" s="11">
        <f t="shared" si="11"/>
        <v>0.01779318243</v>
      </c>
      <c r="D46" s="15">
        <v>14791.200000000004</v>
      </c>
      <c r="E46" s="11">
        <f t="shared" si="12"/>
        <v>0.01679872108</v>
      </c>
      <c r="F46" s="15">
        <v>17586.2</v>
      </c>
      <c r="G46" s="11">
        <f t="shared" si="13"/>
        <v>0.01872552857</v>
      </c>
      <c r="I46" s="6">
        <v>29.0</v>
      </c>
      <c r="J46" s="15">
        <v>606.4206896551724</v>
      </c>
      <c r="L46" s="17">
        <v>730.0</v>
      </c>
      <c r="M46" s="15">
        <v>501.0344827586207</v>
      </c>
      <c r="N46" s="15">
        <v>585.5862068965517</v>
      </c>
      <c r="O46" s="15">
        <v>403.0689655172414</v>
      </c>
    </row>
    <row r="47" ht="15.75" customHeight="1">
      <c r="C47" s="11"/>
      <c r="E47" s="11"/>
      <c r="G47" s="11"/>
    </row>
    <row r="48" ht="15.75" customHeight="1">
      <c r="A48" s="6" t="s">
        <v>80</v>
      </c>
      <c r="B48" s="15">
        <v>909826.0</v>
      </c>
      <c r="C48" s="11">
        <f>B48/$B$48</f>
        <v>1</v>
      </c>
      <c r="D48" s="15">
        <v>880495.6000000001</v>
      </c>
      <c r="E48" s="11">
        <f>D48/$D$48</f>
        <v>1</v>
      </c>
      <c r="F48" s="15">
        <v>939156.4000000001</v>
      </c>
      <c r="G48" s="11">
        <f>F48/$F$48</f>
        <v>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1.22" defaultRowHeight="15.0"/>
  <cols>
    <col customWidth="1" min="1" max="2" width="18.33"/>
    <col customWidth="1" min="3" max="3" width="18.78"/>
    <col customWidth="1" min="4" max="4" width="16.0"/>
    <col customWidth="1" min="5" max="13" width="10.78"/>
    <col customWidth="1" min="14" max="31" width="10.56"/>
    <col customWidth="1" min="32" max="33" width="10.78"/>
    <col customWidth="1" min="34" max="37" width="10.56"/>
  </cols>
  <sheetData>
    <row r="1" ht="15.75" customHeight="1">
      <c r="D1" s="4"/>
      <c r="E1" s="18"/>
      <c r="J1" s="4"/>
      <c r="M1" s="18"/>
      <c r="AF1" s="4"/>
      <c r="AG1" s="18"/>
    </row>
    <row r="2" ht="15.75" customHeight="1">
      <c r="D2" s="4"/>
      <c r="E2" s="18"/>
      <c r="J2" s="4"/>
      <c r="M2" s="18"/>
      <c r="AF2" s="4"/>
      <c r="AG2" s="18"/>
    </row>
    <row r="3" ht="15.75" customHeight="1">
      <c r="D3" s="4"/>
      <c r="E3" s="18"/>
      <c r="J3" s="4"/>
      <c r="M3" s="18" t="s">
        <v>92</v>
      </c>
      <c r="O3" s="6" t="s">
        <v>93</v>
      </c>
      <c r="Q3" s="6" t="s">
        <v>94</v>
      </c>
      <c r="S3" s="6" t="s">
        <v>95</v>
      </c>
      <c r="U3" s="6" t="s">
        <v>96</v>
      </c>
      <c r="W3" s="6" t="s">
        <v>97</v>
      </c>
      <c r="Y3" s="6" t="s">
        <v>98</v>
      </c>
      <c r="AA3" s="6" t="s">
        <v>99</v>
      </c>
      <c r="AC3" s="6" t="s">
        <v>100</v>
      </c>
      <c r="AE3" s="6" t="s">
        <v>101</v>
      </c>
      <c r="AF3" s="4"/>
      <c r="AG3" s="18"/>
    </row>
    <row r="4" ht="15.75" customHeight="1">
      <c r="D4" s="4"/>
      <c r="E4" s="19">
        <f t="shared" ref="E4:AF4" si="1">SUM(E6:E164)</f>
        <v>909826</v>
      </c>
      <c r="F4" s="11">
        <f t="shared" si="1"/>
        <v>1</v>
      </c>
      <c r="G4" s="15">
        <f t="shared" si="1"/>
        <v>880495.6</v>
      </c>
      <c r="H4" s="11">
        <f t="shared" si="1"/>
        <v>1</v>
      </c>
      <c r="I4" s="15">
        <f t="shared" si="1"/>
        <v>939156.4</v>
      </c>
      <c r="J4" s="20">
        <f t="shared" si="1"/>
        <v>1</v>
      </c>
      <c r="K4" s="15">
        <f t="shared" si="1"/>
        <v>1166678</v>
      </c>
      <c r="L4" s="11">
        <f t="shared" si="1"/>
        <v>1</v>
      </c>
      <c r="M4" s="19">
        <f t="shared" si="1"/>
        <v>588947</v>
      </c>
      <c r="N4" s="11">
        <f t="shared" si="1"/>
        <v>1</v>
      </c>
      <c r="O4" s="15">
        <f t="shared" si="1"/>
        <v>1178625</v>
      </c>
      <c r="P4" s="11">
        <f t="shared" si="1"/>
        <v>1</v>
      </c>
      <c r="Q4" s="15">
        <f t="shared" si="1"/>
        <v>1204742</v>
      </c>
      <c r="R4" s="11">
        <f t="shared" si="1"/>
        <v>1</v>
      </c>
      <c r="S4" s="15">
        <f t="shared" si="1"/>
        <v>1116667</v>
      </c>
      <c r="T4" s="11">
        <f t="shared" si="1"/>
        <v>1</v>
      </c>
      <c r="U4" s="15">
        <f t="shared" si="1"/>
        <v>947352</v>
      </c>
      <c r="V4" s="11">
        <f t="shared" si="1"/>
        <v>1</v>
      </c>
      <c r="W4" s="15">
        <f t="shared" si="1"/>
        <v>992555</v>
      </c>
      <c r="X4" s="11">
        <f t="shared" si="1"/>
        <v>1</v>
      </c>
      <c r="Y4" s="15">
        <f t="shared" si="1"/>
        <v>588307</v>
      </c>
      <c r="Z4" s="11">
        <f t="shared" si="1"/>
        <v>1</v>
      </c>
      <c r="AA4" s="15">
        <f t="shared" si="1"/>
        <v>607441</v>
      </c>
      <c r="AB4" s="11">
        <f t="shared" si="1"/>
        <v>1</v>
      </c>
      <c r="AC4" s="15">
        <f t="shared" si="1"/>
        <v>1295964</v>
      </c>
      <c r="AD4" s="11">
        <f t="shared" si="1"/>
        <v>1</v>
      </c>
      <c r="AE4" s="15">
        <f t="shared" si="1"/>
        <v>577660</v>
      </c>
      <c r="AF4" s="20">
        <f t="shared" si="1"/>
        <v>1.056591421</v>
      </c>
      <c r="AG4" s="18"/>
      <c r="AH4" s="6" t="s">
        <v>102</v>
      </c>
    </row>
    <row r="5" ht="31.5" customHeight="1">
      <c r="A5" s="21" t="s">
        <v>103</v>
      </c>
      <c r="B5" s="21" t="s">
        <v>104</v>
      </c>
      <c r="C5" s="21" t="s">
        <v>35</v>
      </c>
      <c r="D5" s="22" t="s">
        <v>105</v>
      </c>
      <c r="E5" s="23" t="s">
        <v>36</v>
      </c>
      <c r="F5" s="24" t="s">
        <v>37</v>
      </c>
      <c r="G5" s="21" t="s">
        <v>38</v>
      </c>
      <c r="H5" s="24" t="s">
        <v>39</v>
      </c>
      <c r="I5" s="21" t="s">
        <v>40</v>
      </c>
      <c r="J5" s="25" t="s">
        <v>41</v>
      </c>
      <c r="K5" s="24" t="s">
        <v>106</v>
      </c>
      <c r="L5" s="24" t="s">
        <v>107</v>
      </c>
      <c r="M5" s="23" t="s">
        <v>108</v>
      </c>
      <c r="N5" s="24" t="s">
        <v>109</v>
      </c>
      <c r="O5" s="21" t="s">
        <v>108</v>
      </c>
      <c r="P5" s="24" t="s">
        <v>109</v>
      </c>
      <c r="Q5" s="21" t="s">
        <v>108</v>
      </c>
      <c r="R5" s="24" t="s">
        <v>109</v>
      </c>
      <c r="S5" s="26" t="s">
        <v>108</v>
      </c>
      <c r="T5" s="24" t="s">
        <v>109</v>
      </c>
      <c r="U5" s="21" t="s">
        <v>110</v>
      </c>
      <c r="V5" s="24" t="s">
        <v>109</v>
      </c>
      <c r="W5" s="21" t="s">
        <v>111</v>
      </c>
      <c r="X5" s="24" t="s">
        <v>109</v>
      </c>
      <c r="Y5" s="21" t="s">
        <v>108</v>
      </c>
      <c r="Z5" s="24" t="s">
        <v>109</v>
      </c>
      <c r="AA5" s="21" t="s">
        <v>108</v>
      </c>
      <c r="AB5" s="24" t="s">
        <v>109</v>
      </c>
      <c r="AC5" s="21" t="s">
        <v>108</v>
      </c>
      <c r="AD5" s="24" t="s">
        <v>109</v>
      </c>
      <c r="AE5" s="21" t="s">
        <v>108</v>
      </c>
      <c r="AF5" s="25" t="s">
        <v>109</v>
      </c>
      <c r="AG5" s="27" t="s">
        <v>112</v>
      </c>
      <c r="AH5" s="28" t="s">
        <v>113</v>
      </c>
      <c r="AI5" s="28" t="s">
        <v>114</v>
      </c>
      <c r="AJ5" s="28" t="s">
        <v>87</v>
      </c>
    </row>
    <row r="6" ht="15.75" customHeight="1">
      <c r="A6" s="6" t="s">
        <v>74</v>
      </c>
      <c r="B6" s="6" t="s">
        <v>88</v>
      </c>
      <c r="C6" s="6" t="s">
        <v>53</v>
      </c>
      <c r="D6" s="4" t="s">
        <v>9</v>
      </c>
      <c r="E6" s="19">
        <f t="shared" ref="E6:E164" si="2">AVERAGE(M6,O6,Q6,S6,U6,W6,Y6,AA6,AC6,AE6)</f>
        <v>67850.6</v>
      </c>
      <c r="F6" s="11">
        <f t="shared" ref="F6:F164" si="3">E6/$E$4</f>
        <v>0.07457535837</v>
      </c>
      <c r="G6" s="15">
        <f t="shared" ref="G6:G164" si="4">AVERAGE(M6,U6,W6,AC6,AE6)</f>
        <v>63917</v>
      </c>
      <c r="H6" s="11">
        <f t="shared" ref="H6:H164" si="5">G6/$G$4</f>
        <v>0.07259207201</v>
      </c>
      <c r="I6" s="15">
        <f t="shared" ref="I6:I164" si="6">AVERAGE(O6,Q6,S6,Y6,AA6)</f>
        <v>71784.2</v>
      </c>
      <c r="J6" s="20">
        <f t="shared" ref="J6:J164" si="7">I6/$I$4</f>
        <v>0.07643476635</v>
      </c>
      <c r="K6" s="15">
        <f t="shared" ref="K6:K164" si="8">AVERAGE(O6,Q6,S6)</f>
        <v>89225</v>
      </c>
      <c r="L6" s="11">
        <f t="shared" ref="L6:L164" si="9">K6/$K$4</f>
        <v>0.0764778285</v>
      </c>
      <c r="M6" s="19">
        <v>39947.0</v>
      </c>
      <c r="N6" s="11">
        <f t="shared" ref="N6:N164" si="10">M6/$M$4</f>
        <v>0.0678278351</v>
      </c>
      <c r="O6" s="15">
        <v>90018.0</v>
      </c>
      <c r="P6" s="11">
        <f t="shared" ref="P6:P164" si="11">O6/$O$4</f>
        <v>0.07637543748</v>
      </c>
      <c r="Q6" s="15">
        <v>92923.0</v>
      </c>
      <c r="R6" s="11">
        <f t="shared" ref="R6:R164" si="12">Q6/$Q$4</f>
        <v>0.07713103718</v>
      </c>
      <c r="S6" s="17">
        <v>84734.0</v>
      </c>
      <c r="T6" s="29">
        <f t="shared" ref="T6:T164" si="13">S6/$S$4</f>
        <v>0.07588117138</v>
      </c>
      <c r="U6" s="15">
        <v>63696.0</v>
      </c>
      <c r="V6" s="11">
        <f t="shared" ref="V6:V164" si="14">U6/$U$4</f>
        <v>0.06723583209</v>
      </c>
      <c r="W6" s="15">
        <v>67252.0</v>
      </c>
      <c r="X6" s="11">
        <f t="shared" ref="X6:X164" si="15">W6/$W$4</f>
        <v>0.06775644675</v>
      </c>
      <c r="Y6" s="15">
        <v>49527.0</v>
      </c>
      <c r="Z6" s="11">
        <f t="shared" ref="Z6:Z164" si="16">Y6/$Y$4</f>
        <v>0.08418563777</v>
      </c>
      <c r="AA6" s="15">
        <v>41719.0</v>
      </c>
      <c r="AB6" s="11">
        <f t="shared" ref="AB6:AB164" si="17">AA6/$AA$4</f>
        <v>0.06867992118</v>
      </c>
      <c r="AC6" s="15">
        <v>112197.0</v>
      </c>
      <c r="AD6" s="11">
        <f t="shared" ref="AD6:AD164" si="18">AC6/$AC$4</f>
        <v>0.0865741641</v>
      </c>
      <c r="AE6" s="15">
        <v>36493.0</v>
      </c>
      <c r="AF6" s="20">
        <f t="shared" ref="AF6:AF97" si="19">AE6/$AE$4</f>
        <v>0.06317383928</v>
      </c>
      <c r="AG6" s="19">
        <v>83977.0</v>
      </c>
      <c r="AH6" s="15">
        <v>54927.0</v>
      </c>
      <c r="AI6" s="15">
        <v>76807.0</v>
      </c>
      <c r="AJ6" s="15">
        <v>64497.0</v>
      </c>
    </row>
    <row r="7" ht="15.75" customHeight="1">
      <c r="A7" s="6" t="s">
        <v>74</v>
      </c>
      <c r="B7" s="6" t="s">
        <v>88</v>
      </c>
      <c r="C7" s="6" t="s">
        <v>53</v>
      </c>
      <c r="D7" s="4" t="s">
        <v>10</v>
      </c>
      <c r="E7" s="19">
        <f t="shared" si="2"/>
        <v>54995.7</v>
      </c>
      <c r="F7" s="11">
        <f t="shared" si="3"/>
        <v>0.06044639305</v>
      </c>
      <c r="G7" s="15">
        <f t="shared" si="4"/>
        <v>53770.2</v>
      </c>
      <c r="H7" s="11">
        <f t="shared" si="5"/>
        <v>0.06106810755</v>
      </c>
      <c r="I7" s="15">
        <f t="shared" si="6"/>
        <v>56221.2</v>
      </c>
      <c r="J7" s="20">
        <f t="shared" si="7"/>
        <v>0.05986351155</v>
      </c>
      <c r="K7" s="15">
        <f t="shared" si="8"/>
        <v>68183.66667</v>
      </c>
      <c r="L7" s="11">
        <f t="shared" si="9"/>
        <v>0.05844257513</v>
      </c>
      <c r="M7" s="19">
        <v>29075.0</v>
      </c>
      <c r="N7" s="11">
        <f t="shared" si="10"/>
        <v>0.04936776994</v>
      </c>
      <c r="O7" s="15">
        <v>68504.0</v>
      </c>
      <c r="P7" s="11">
        <f t="shared" si="11"/>
        <v>0.05812196415</v>
      </c>
      <c r="Q7" s="15">
        <v>70227.0</v>
      </c>
      <c r="R7" s="11">
        <f t="shared" si="12"/>
        <v>0.05829214886</v>
      </c>
      <c r="S7" s="17">
        <v>65820.0</v>
      </c>
      <c r="T7" s="29">
        <f t="shared" si="13"/>
        <v>0.05894326599</v>
      </c>
      <c r="U7" s="15">
        <v>57897.0</v>
      </c>
      <c r="V7" s="11">
        <f t="shared" si="14"/>
        <v>0.06111455932</v>
      </c>
      <c r="W7" s="15">
        <v>60783.0</v>
      </c>
      <c r="X7" s="11">
        <f t="shared" si="15"/>
        <v>0.06123892379</v>
      </c>
      <c r="Y7" s="15">
        <v>40312.0</v>
      </c>
      <c r="Z7" s="11">
        <f t="shared" si="16"/>
        <v>0.06852204716</v>
      </c>
      <c r="AA7" s="15">
        <v>36243.0</v>
      </c>
      <c r="AB7" s="11">
        <f t="shared" si="17"/>
        <v>0.05966505389</v>
      </c>
      <c r="AC7" s="15">
        <v>98949.0</v>
      </c>
      <c r="AD7" s="11">
        <f t="shared" si="18"/>
        <v>0.07635165792</v>
      </c>
      <c r="AE7" s="15">
        <v>22147.0</v>
      </c>
      <c r="AF7" s="20">
        <f t="shared" si="19"/>
        <v>0.03833916144</v>
      </c>
      <c r="AG7" s="19">
        <v>61667.0</v>
      </c>
      <c r="AH7" s="15">
        <v>41495.0</v>
      </c>
      <c r="AI7" s="15">
        <v>56484.0</v>
      </c>
      <c r="AJ7" s="15">
        <v>47348.0</v>
      </c>
    </row>
    <row r="8" ht="15.75" customHeight="1">
      <c r="A8" s="6" t="s">
        <v>74</v>
      </c>
      <c r="B8" s="6" t="s">
        <v>88</v>
      </c>
      <c r="C8" s="6" t="s">
        <v>53</v>
      </c>
      <c r="D8" s="4" t="s">
        <v>11</v>
      </c>
      <c r="E8" s="19">
        <f t="shared" si="2"/>
        <v>47204.3</v>
      </c>
      <c r="F8" s="11">
        <f t="shared" si="3"/>
        <v>0.05188277759</v>
      </c>
      <c r="G8" s="15">
        <f t="shared" si="4"/>
        <v>40619.8</v>
      </c>
      <c r="H8" s="11">
        <f t="shared" si="5"/>
        <v>0.04613288244</v>
      </c>
      <c r="I8" s="15">
        <f t="shared" si="6"/>
        <v>53788.8</v>
      </c>
      <c r="J8" s="20">
        <f t="shared" si="7"/>
        <v>0.0572735276</v>
      </c>
      <c r="K8" s="15">
        <f t="shared" si="8"/>
        <v>66236</v>
      </c>
      <c r="L8" s="11">
        <f t="shared" si="9"/>
        <v>0.05677316277</v>
      </c>
      <c r="M8" s="19">
        <v>27400.0</v>
      </c>
      <c r="N8" s="11">
        <f t="shared" si="10"/>
        <v>0.04652371096</v>
      </c>
      <c r="O8" s="15">
        <v>67075.0</v>
      </c>
      <c r="P8" s="11">
        <f t="shared" si="11"/>
        <v>0.05690953442</v>
      </c>
      <c r="Q8" s="15">
        <v>69796.0</v>
      </c>
      <c r="R8" s="11">
        <f t="shared" si="12"/>
        <v>0.05793439591</v>
      </c>
      <c r="S8" s="17">
        <v>61837.0</v>
      </c>
      <c r="T8" s="29">
        <f t="shared" si="13"/>
        <v>0.05537640138</v>
      </c>
      <c r="U8" s="15">
        <v>33861.0</v>
      </c>
      <c r="V8" s="11">
        <f t="shared" si="14"/>
        <v>0.03574278621</v>
      </c>
      <c r="W8" s="15">
        <v>37579.0</v>
      </c>
      <c r="X8" s="11">
        <f t="shared" si="15"/>
        <v>0.03786087421</v>
      </c>
      <c r="Y8" s="15">
        <v>35081.0</v>
      </c>
      <c r="Z8" s="11">
        <f t="shared" si="16"/>
        <v>0.05963043105</v>
      </c>
      <c r="AA8" s="15">
        <v>35155.0</v>
      </c>
      <c r="AB8" s="11">
        <f t="shared" si="17"/>
        <v>0.05787393344</v>
      </c>
      <c r="AC8" s="15">
        <v>84794.0</v>
      </c>
      <c r="AD8" s="11">
        <f t="shared" si="18"/>
        <v>0.06542928662</v>
      </c>
      <c r="AE8" s="15">
        <v>19465.0</v>
      </c>
      <c r="AF8" s="20">
        <f t="shared" si="19"/>
        <v>0.03369629194</v>
      </c>
      <c r="AG8" s="19">
        <v>64451.0</v>
      </c>
      <c r="AH8" s="15">
        <v>44613.0</v>
      </c>
      <c r="AI8" s="15">
        <v>58931.0</v>
      </c>
      <c r="AJ8" s="15">
        <v>50016.0</v>
      </c>
    </row>
    <row r="9" ht="15.75" customHeight="1">
      <c r="A9" s="6" t="s">
        <v>72</v>
      </c>
      <c r="B9" s="6" t="s">
        <v>89</v>
      </c>
      <c r="C9" s="6" t="s">
        <v>53</v>
      </c>
      <c r="D9" s="4" t="s">
        <v>12</v>
      </c>
      <c r="E9" s="19">
        <f t="shared" si="2"/>
        <v>36394.2</v>
      </c>
      <c r="F9" s="11">
        <f t="shared" si="3"/>
        <v>0.04000127497</v>
      </c>
      <c r="G9" s="15">
        <f t="shared" si="4"/>
        <v>34205</v>
      </c>
      <c r="H9" s="11">
        <f t="shared" si="5"/>
        <v>0.03884744001</v>
      </c>
      <c r="I9" s="15">
        <f t="shared" si="6"/>
        <v>38583.4</v>
      </c>
      <c r="J9" s="20">
        <f t="shared" si="7"/>
        <v>0.04108304006</v>
      </c>
      <c r="K9" s="15">
        <f t="shared" si="8"/>
        <v>50427.66667</v>
      </c>
      <c r="L9" s="11">
        <f t="shared" si="9"/>
        <v>0.0432232944</v>
      </c>
      <c r="M9" s="19">
        <v>26317.0</v>
      </c>
      <c r="N9" s="11">
        <f t="shared" si="10"/>
        <v>0.04468483582</v>
      </c>
      <c r="O9" s="15">
        <v>50700.0</v>
      </c>
      <c r="P9" s="11">
        <f t="shared" si="11"/>
        <v>0.04301622654</v>
      </c>
      <c r="Q9" s="15">
        <v>52199.0</v>
      </c>
      <c r="R9" s="11">
        <f t="shared" si="12"/>
        <v>0.04332794905</v>
      </c>
      <c r="S9" s="17">
        <v>48384.0</v>
      </c>
      <c r="T9" s="29">
        <f t="shared" si="13"/>
        <v>0.04332894229</v>
      </c>
      <c r="U9" s="15">
        <v>35457.0</v>
      </c>
      <c r="V9" s="11">
        <f t="shared" si="14"/>
        <v>0.03742748208</v>
      </c>
      <c r="W9" s="15">
        <v>37450.0</v>
      </c>
      <c r="X9" s="11">
        <f t="shared" si="15"/>
        <v>0.0377309066</v>
      </c>
      <c r="Y9" s="15">
        <v>20646.0</v>
      </c>
      <c r="Z9" s="11">
        <f t="shared" si="16"/>
        <v>0.03509392205</v>
      </c>
      <c r="AA9" s="15">
        <v>20988.0</v>
      </c>
      <c r="AB9" s="11">
        <f t="shared" si="17"/>
        <v>0.03455150377</v>
      </c>
      <c r="AC9" s="15">
        <v>50327.0</v>
      </c>
      <c r="AD9" s="11">
        <f t="shared" si="18"/>
        <v>0.03883364044</v>
      </c>
      <c r="AE9" s="15">
        <v>21474.0</v>
      </c>
      <c r="AF9" s="20">
        <f t="shared" si="19"/>
        <v>0.03717411626</v>
      </c>
      <c r="AG9" s="19">
        <v>51300.0</v>
      </c>
      <c r="AH9" s="15">
        <v>33370.0</v>
      </c>
      <c r="AI9" s="15">
        <v>45812.0</v>
      </c>
      <c r="AJ9" s="15">
        <v>39190.0</v>
      </c>
    </row>
    <row r="10" ht="15.75" customHeight="1">
      <c r="A10" s="6" t="s">
        <v>72</v>
      </c>
      <c r="B10" s="6" t="s">
        <v>89</v>
      </c>
      <c r="C10" s="6" t="s">
        <v>53</v>
      </c>
      <c r="D10" s="4" t="s">
        <v>13</v>
      </c>
      <c r="E10" s="19">
        <f t="shared" si="2"/>
        <v>30326.3</v>
      </c>
      <c r="F10" s="11">
        <f t="shared" si="3"/>
        <v>0.03333197776</v>
      </c>
      <c r="G10" s="15">
        <f t="shared" si="4"/>
        <v>28044.6</v>
      </c>
      <c r="H10" s="11">
        <f t="shared" si="5"/>
        <v>0.03185092577</v>
      </c>
      <c r="I10" s="15">
        <f t="shared" si="6"/>
        <v>32608</v>
      </c>
      <c r="J10" s="20">
        <f t="shared" si="7"/>
        <v>0.03472052152</v>
      </c>
      <c r="K10" s="15">
        <f t="shared" si="8"/>
        <v>39320.66667</v>
      </c>
      <c r="L10" s="11">
        <f t="shared" si="9"/>
        <v>0.03370310117</v>
      </c>
      <c r="M10" s="19">
        <v>19736.0</v>
      </c>
      <c r="N10" s="11">
        <f t="shared" si="10"/>
        <v>0.03351065546</v>
      </c>
      <c r="O10" s="15">
        <v>39491.0</v>
      </c>
      <c r="P10" s="11">
        <f t="shared" si="11"/>
        <v>0.03350599215</v>
      </c>
      <c r="Q10" s="15">
        <v>40466.0</v>
      </c>
      <c r="R10" s="11">
        <f t="shared" si="12"/>
        <v>0.03358893439</v>
      </c>
      <c r="S10" s="17">
        <v>38005.0</v>
      </c>
      <c r="T10" s="29">
        <f t="shared" si="13"/>
        <v>0.0340343182</v>
      </c>
      <c r="U10" s="15">
        <v>28848.0</v>
      </c>
      <c r="V10" s="11">
        <f t="shared" si="14"/>
        <v>0.03045119449</v>
      </c>
      <c r="W10" s="15">
        <v>30884.0</v>
      </c>
      <c r="X10" s="11">
        <f t="shared" si="15"/>
        <v>0.03111565606</v>
      </c>
      <c r="Y10" s="15">
        <v>19475.0</v>
      </c>
      <c r="Z10" s="11">
        <f t="shared" si="16"/>
        <v>0.03310346469</v>
      </c>
      <c r="AA10" s="15">
        <v>25603.0</v>
      </c>
      <c r="AB10" s="11">
        <f t="shared" si="17"/>
        <v>0.04214894945</v>
      </c>
      <c r="AC10" s="15">
        <v>42318.0</v>
      </c>
      <c r="AD10" s="11">
        <f t="shared" si="18"/>
        <v>0.03265368482</v>
      </c>
      <c r="AE10" s="15">
        <v>18437.0</v>
      </c>
      <c r="AF10" s="20">
        <f t="shared" si="19"/>
        <v>0.0319166984</v>
      </c>
      <c r="AG10" s="19">
        <v>37710.0</v>
      </c>
      <c r="AH10" s="15">
        <v>24264.0</v>
      </c>
      <c r="AI10" s="15">
        <v>33866.0</v>
      </c>
      <c r="AJ10" s="15">
        <v>29071.0</v>
      </c>
    </row>
    <row r="11" ht="15.75" customHeight="1">
      <c r="A11" s="6" t="s">
        <v>76</v>
      </c>
      <c r="B11" s="6" t="s">
        <v>89</v>
      </c>
      <c r="C11" s="6" t="s">
        <v>53</v>
      </c>
      <c r="D11" s="4" t="s">
        <v>14</v>
      </c>
      <c r="E11" s="19">
        <f t="shared" si="2"/>
        <v>24588.3</v>
      </c>
      <c r="F11" s="11">
        <f t="shared" si="3"/>
        <v>0.02702527736</v>
      </c>
      <c r="G11" s="15">
        <f t="shared" si="4"/>
        <v>22999.6</v>
      </c>
      <c r="H11" s="11">
        <f t="shared" si="5"/>
        <v>0.02612119811</v>
      </c>
      <c r="I11" s="15">
        <f t="shared" si="6"/>
        <v>26177</v>
      </c>
      <c r="J11" s="20">
        <f t="shared" si="7"/>
        <v>0.02787288677</v>
      </c>
      <c r="K11" s="15">
        <f t="shared" si="8"/>
        <v>32187.33333</v>
      </c>
      <c r="L11" s="11">
        <f t="shared" si="9"/>
        <v>0.02758887485</v>
      </c>
      <c r="M11" s="19">
        <v>16864.0</v>
      </c>
      <c r="N11" s="11">
        <f t="shared" si="10"/>
        <v>0.02863415554</v>
      </c>
      <c r="O11" s="15">
        <v>32129.0</v>
      </c>
      <c r="P11" s="11">
        <f t="shared" si="11"/>
        <v>0.02725973062</v>
      </c>
      <c r="Q11" s="15">
        <v>32620.0</v>
      </c>
      <c r="R11" s="11">
        <f t="shared" si="12"/>
        <v>0.02707633668</v>
      </c>
      <c r="S11" s="17">
        <v>31813.0</v>
      </c>
      <c r="T11" s="29">
        <f t="shared" si="13"/>
        <v>0.02848924523</v>
      </c>
      <c r="U11" s="15">
        <v>26186.0</v>
      </c>
      <c r="V11" s="11">
        <f t="shared" si="14"/>
        <v>0.02764125689</v>
      </c>
      <c r="W11" s="15">
        <v>27725.0</v>
      </c>
      <c r="X11" s="11">
        <f t="shared" si="15"/>
        <v>0.02793296089</v>
      </c>
      <c r="Y11" s="15">
        <v>18823.0</v>
      </c>
      <c r="Z11" s="11">
        <f t="shared" si="16"/>
        <v>0.03199519979</v>
      </c>
      <c r="AA11" s="15">
        <v>15500.0</v>
      </c>
      <c r="AB11" s="11">
        <f t="shared" si="17"/>
        <v>0.02551688147</v>
      </c>
      <c r="AC11" s="15">
        <v>32623.0</v>
      </c>
      <c r="AD11" s="11">
        <f t="shared" si="18"/>
        <v>0.02517276714</v>
      </c>
      <c r="AE11" s="15">
        <v>11600.0</v>
      </c>
      <c r="AF11" s="20">
        <f t="shared" si="19"/>
        <v>0.02008101651</v>
      </c>
      <c r="AG11" s="19">
        <v>31654.0</v>
      </c>
      <c r="AH11" s="15">
        <v>20449.0</v>
      </c>
      <c r="AI11" s="15">
        <v>27985.0</v>
      </c>
      <c r="AJ11" s="15">
        <v>23240.0</v>
      </c>
    </row>
    <row r="12" ht="15.75" customHeight="1">
      <c r="A12" s="6" t="s">
        <v>74</v>
      </c>
      <c r="B12" s="6" t="s">
        <v>89</v>
      </c>
      <c r="C12" s="6" t="s">
        <v>53</v>
      </c>
      <c r="D12" s="4" t="s">
        <v>15</v>
      </c>
      <c r="E12" s="19">
        <f t="shared" si="2"/>
        <v>22326.8</v>
      </c>
      <c r="F12" s="11">
        <f t="shared" si="3"/>
        <v>0.02453963725</v>
      </c>
      <c r="G12" s="15">
        <f t="shared" si="4"/>
        <v>20893.8</v>
      </c>
      <c r="H12" s="11">
        <f t="shared" si="5"/>
        <v>0.02372959047</v>
      </c>
      <c r="I12" s="15">
        <f t="shared" si="6"/>
        <v>23759.8</v>
      </c>
      <c r="J12" s="20">
        <f t="shared" si="7"/>
        <v>0.02529908756</v>
      </c>
      <c r="K12" s="15">
        <f t="shared" si="8"/>
        <v>29072</v>
      </c>
      <c r="L12" s="11">
        <f t="shared" si="9"/>
        <v>0.02491861508</v>
      </c>
      <c r="M12" s="19">
        <v>12595.0</v>
      </c>
      <c r="N12" s="11">
        <f t="shared" si="10"/>
        <v>0.02138562553</v>
      </c>
      <c r="O12" s="15">
        <v>29395.0</v>
      </c>
      <c r="P12" s="11">
        <f t="shared" si="11"/>
        <v>0.02494007848</v>
      </c>
      <c r="Q12" s="15">
        <v>30685.0</v>
      </c>
      <c r="R12" s="11">
        <f t="shared" si="12"/>
        <v>0.02547018366</v>
      </c>
      <c r="S12" s="17">
        <v>27136.0</v>
      </c>
      <c r="T12" s="29">
        <f t="shared" si="13"/>
        <v>0.02430088827</v>
      </c>
      <c r="U12" s="15">
        <v>17425.0</v>
      </c>
      <c r="V12" s="11">
        <f t="shared" si="14"/>
        <v>0.01839337437</v>
      </c>
      <c r="W12" s="15">
        <v>18923.0</v>
      </c>
      <c r="X12" s="11">
        <f t="shared" si="15"/>
        <v>0.01906493847</v>
      </c>
      <c r="Y12" s="15">
        <v>16498.0</v>
      </c>
      <c r="Z12" s="11">
        <f t="shared" si="16"/>
        <v>0.02804318154</v>
      </c>
      <c r="AA12" s="15">
        <v>15085.0</v>
      </c>
      <c r="AB12" s="11">
        <f t="shared" si="17"/>
        <v>0.02483368755</v>
      </c>
      <c r="AC12" s="15">
        <v>44450.0</v>
      </c>
      <c r="AD12" s="11">
        <f t="shared" si="18"/>
        <v>0.03429879225</v>
      </c>
      <c r="AE12" s="15">
        <v>11076.0</v>
      </c>
      <c r="AF12" s="20">
        <f t="shared" si="19"/>
        <v>0.01917390853</v>
      </c>
      <c r="AG12" s="19">
        <v>28258.0</v>
      </c>
      <c r="AH12" s="15">
        <v>20438.0</v>
      </c>
      <c r="AI12" s="15">
        <v>26134.0</v>
      </c>
      <c r="AJ12" s="15">
        <v>21407.0</v>
      </c>
    </row>
    <row r="13" ht="15.75" customHeight="1">
      <c r="A13" s="6" t="s">
        <v>69</v>
      </c>
      <c r="B13" s="6" t="s">
        <v>89</v>
      </c>
      <c r="C13" s="6" t="s">
        <v>54</v>
      </c>
      <c r="D13" s="4" t="s">
        <v>16</v>
      </c>
      <c r="E13" s="19">
        <f t="shared" si="2"/>
        <v>18897.9</v>
      </c>
      <c r="F13" s="11">
        <f t="shared" si="3"/>
        <v>0.02077089465</v>
      </c>
      <c r="G13" s="15">
        <f t="shared" si="4"/>
        <v>17679.8</v>
      </c>
      <c r="H13" s="11">
        <f t="shared" si="5"/>
        <v>0.02007937348</v>
      </c>
      <c r="I13" s="15">
        <f t="shared" si="6"/>
        <v>20116</v>
      </c>
      <c r="J13" s="20">
        <f t="shared" si="7"/>
        <v>0.02141922261</v>
      </c>
      <c r="K13" s="15">
        <f t="shared" si="8"/>
        <v>23315.66667</v>
      </c>
      <c r="L13" s="11">
        <f t="shared" si="9"/>
        <v>0.01998466301</v>
      </c>
      <c r="M13" s="19">
        <v>13437.0</v>
      </c>
      <c r="N13" s="11">
        <f t="shared" si="10"/>
        <v>0.02281529577</v>
      </c>
      <c r="O13" s="15">
        <v>23595.0</v>
      </c>
      <c r="P13" s="11">
        <f t="shared" si="11"/>
        <v>0.02001909004</v>
      </c>
      <c r="Q13" s="15">
        <v>24011.0</v>
      </c>
      <c r="R13" s="11">
        <f t="shared" si="12"/>
        <v>0.01993040834</v>
      </c>
      <c r="S13" s="17">
        <v>22341.0</v>
      </c>
      <c r="T13" s="29">
        <f t="shared" si="13"/>
        <v>0.0200068597</v>
      </c>
      <c r="U13" s="15">
        <v>17358.0</v>
      </c>
      <c r="V13" s="11">
        <f t="shared" si="14"/>
        <v>0.01832265093</v>
      </c>
      <c r="W13" s="15">
        <v>18509.0</v>
      </c>
      <c r="X13" s="11">
        <f t="shared" si="15"/>
        <v>0.01864783312</v>
      </c>
      <c r="Y13" s="15">
        <v>15530.0</v>
      </c>
      <c r="Z13" s="11">
        <f t="shared" si="16"/>
        <v>0.02639778211</v>
      </c>
      <c r="AA13" s="15">
        <v>15103.0</v>
      </c>
      <c r="AB13" s="11">
        <f t="shared" si="17"/>
        <v>0.02486332006</v>
      </c>
      <c r="AC13" s="15">
        <v>26505.0</v>
      </c>
      <c r="AD13" s="11">
        <f t="shared" si="18"/>
        <v>0.020451957</v>
      </c>
      <c r="AE13" s="15">
        <v>12590.0</v>
      </c>
      <c r="AF13" s="20">
        <f t="shared" si="19"/>
        <v>0.02179482741</v>
      </c>
      <c r="AG13" s="19">
        <v>22892.0</v>
      </c>
      <c r="AH13" s="15">
        <v>14874.0</v>
      </c>
      <c r="AI13" s="15">
        <v>19440.0</v>
      </c>
      <c r="AJ13" s="15">
        <v>15287.0</v>
      </c>
    </row>
    <row r="14" ht="15.75" customHeight="1">
      <c r="A14" s="6" t="s">
        <v>70</v>
      </c>
      <c r="B14" s="6" t="s">
        <v>90</v>
      </c>
      <c r="C14" s="6" t="s">
        <v>61</v>
      </c>
      <c r="D14" s="4" t="s">
        <v>17</v>
      </c>
      <c r="E14" s="19">
        <f t="shared" si="2"/>
        <v>18257.1</v>
      </c>
      <c r="F14" s="11">
        <f t="shared" si="3"/>
        <v>0.02006658416</v>
      </c>
      <c r="G14" s="15">
        <f t="shared" si="4"/>
        <v>16762.4</v>
      </c>
      <c r="H14" s="11">
        <f t="shared" si="5"/>
        <v>0.01903746027</v>
      </c>
      <c r="I14" s="15">
        <f t="shared" si="6"/>
        <v>19751.8</v>
      </c>
      <c r="J14" s="20">
        <f t="shared" si="7"/>
        <v>0.02103142778</v>
      </c>
      <c r="K14" s="15">
        <f t="shared" si="8"/>
        <v>25138.66667</v>
      </c>
      <c r="L14" s="11">
        <f t="shared" si="9"/>
        <v>0.02154721926</v>
      </c>
      <c r="M14" s="19">
        <v>10055.0</v>
      </c>
      <c r="N14" s="11">
        <f t="shared" si="10"/>
        <v>0.01707284357</v>
      </c>
      <c r="O14" s="15">
        <v>25455.0</v>
      </c>
      <c r="P14" s="11">
        <f t="shared" si="11"/>
        <v>0.02159720013</v>
      </c>
      <c r="Q14" s="15">
        <v>26113.0</v>
      </c>
      <c r="R14" s="11">
        <f t="shared" si="12"/>
        <v>0.02167518025</v>
      </c>
      <c r="S14" s="17">
        <v>23848.0</v>
      </c>
      <c r="T14" s="29">
        <f t="shared" si="13"/>
        <v>0.02135641154</v>
      </c>
      <c r="U14" s="15">
        <v>18680.0</v>
      </c>
      <c r="V14" s="11">
        <f t="shared" si="14"/>
        <v>0.01971811956</v>
      </c>
      <c r="W14" s="15">
        <v>19461.0</v>
      </c>
      <c r="X14" s="11">
        <f t="shared" si="15"/>
        <v>0.01960697392</v>
      </c>
      <c r="Y14" s="15">
        <v>11949.0</v>
      </c>
      <c r="Z14" s="11">
        <f t="shared" si="16"/>
        <v>0.02031082411</v>
      </c>
      <c r="AA14" s="15">
        <v>11394.0</v>
      </c>
      <c r="AB14" s="11">
        <f t="shared" si="17"/>
        <v>0.01875737726</v>
      </c>
      <c r="AC14" s="15">
        <v>30671.0</v>
      </c>
      <c r="AD14" s="11">
        <f t="shared" si="18"/>
        <v>0.02366655247</v>
      </c>
      <c r="AE14" s="15">
        <v>4945.0</v>
      </c>
      <c r="AF14" s="20">
        <f t="shared" si="19"/>
        <v>0.008560398851</v>
      </c>
      <c r="AG14" s="19">
        <v>24415.0</v>
      </c>
      <c r="AH14" s="15">
        <v>16957.0</v>
      </c>
      <c r="AI14" s="15">
        <v>20970.0</v>
      </c>
      <c r="AJ14" s="15">
        <v>16663.0</v>
      </c>
    </row>
    <row r="15" ht="15.75" customHeight="1">
      <c r="A15" s="6" t="s">
        <v>72</v>
      </c>
      <c r="B15" s="6" t="s">
        <v>90</v>
      </c>
      <c r="C15" s="6" t="s">
        <v>53</v>
      </c>
      <c r="D15" s="4" t="s">
        <v>18</v>
      </c>
      <c r="E15" s="19">
        <f t="shared" si="2"/>
        <v>17804.8</v>
      </c>
      <c r="F15" s="11">
        <f t="shared" si="3"/>
        <v>0.01956945614</v>
      </c>
      <c r="G15" s="15">
        <f t="shared" si="4"/>
        <v>16351</v>
      </c>
      <c r="H15" s="11">
        <f t="shared" si="5"/>
        <v>0.01857022341</v>
      </c>
      <c r="I15" s="15">
        <f t="shared" si="6"/>
        <v>19258.6</v>
      </c>
      <c r="J15" s="20">
        <f t="shared" si="7"/>
        <v>0.02050627563</v>
      </c>
      <c r="K15" s="15">
        <f t="shared" si="8"/>
        <v>25115.33333</v>
      </c>
      <c r="L15" s="11">
        <f t="shared" si="9"/>
        <v>0.02152721945</v>
      </c>
      <c r="M15" s="19">
        <v>11288.0</v>
      </c>
      <c r="N15" s="11">
        <f t="shared" si="10"/>
        <v>0.01916641056</v>
      </c>
      <c r="O15" s="15">
        <v>25362.0</v>
      </c>
      <c r="P15" s="11">
        <f t="shared" si="11"/>
        <v>0.02151829462</v>
      </c>
      <c r="Q15" s="15">
        <v>25974.0</v>
      </c>
      <c r="R15" s="11">
        <f t="shared" si="12"/>
        <v>0.02155980285</v>
      </c>
      <c r="S15" s="17">
        <v>24010.0</v>
      </c>
      <c r="T15" s="29">
        <f t="shared" si="13"/>
        <v>0.02150148612</v>
      </c>
      <c r="U15" s="15">
        <v>17274.0</v>
      </c>
      <c r="V15" s="11">
        <f t="shared" si="14"/>
        <v>0.01823398272</v>
      </c>
      <c r="W15" s="15">
        <v>18333.0</v>
      </c>
      <c r="X15" s="11">
        <f t="shared" si="15"/>
        <v>0.01847051297</v>
      </c>
      <c r="Y15" s="15">
        <v>10485.0</v>
      </c>
      <c r="Z15" s="11">
        <f t="shared" si="16"/>
        <v>0.01782232746</v>
      </c>
      <c r="AA15" s="15">
        <v>10462.0</v>
      </c>
      <c r="AB15" s="11">
        <f t="shared" si="17"/>
        <v>0.01722307187</v>
      </c>
      <c r="AC15" s="15">
        <v>25333.0</v>
      </c>
      <c r="AD15" s="11">
        <f t="shared" si="18"/>
        <v>0.01954761089</v>
      </c>
      <c r="AE15" s="15">
        <v>9527.0</v>
      </c>
      <c r="AF15" s="20">
        <f t="shared" si="19"/>
        <v>0.01649240037</v>
      </c>
      <c r="AG15" s="19">
        <v>25132.0</v>
      </c>
      <c r="AH15" s="15">
        <v>15981.0</v>
      </c>
      <c r="AI15" s="15">
        <v>21805.0</v>
      </c>
      <c r="AJ15" s="15">
        <v>17476.0</v>
      </c>
    </row>
    <row r="16" ht="15.75" customHeight="1">
      <c r="A16" s="6" t="s">
        <v>72</v>
      </c>
      <c r="B16" s="6" t="s">
        <v>90</v>
      </c>
      <c r="C16" s="6" t="s">
        <v>53</v>
      </c>
      <c r="D16" s="4" t="s">
        <v>19</v>
      </c>
      <c r="E16" s="19">
        <f t="shared" si="2"/>
        <v>17306.2</v>
      </c>
      <c r="F16" s="11">
        <f t="shared" si="3"/>
        <v>0.01902143926</v>
      </c>
      <c r="G16" s="15">
        <f t="shared" si="4"/>
        <v>17064</v>
      </c>
      <c r="H16" s="11">
        <f t="shared" si="5"/>
        <v>0.01937999463</v>
      </c>
      <c r="I16" s="15">
        <f t="shared" si="6"/>
        <v>17548.4</v>
      </c>
      <c r="J16" s="20">
        <f t="shared" si="7"/>
        <v>0.01868527968</v>
      </c>
      <c r="K16" s="15">
        <f t="shared" si="8"/>
        <v>21474.66667</v>
      </c>
      <c r="L16" s="11">
        <f t="shared" si="9"/>
        <v>0.01840667834</v>
      </c>
      <c r="M16" s="19">
        <v>11562.0</v>
      </c>
      <c r="N16" s="11">
        <f t="shared" si="10"/>
        <v>0.01963164767</v>
      </c>
      <c r="O16" s="15">
        <v>21629.0</v>
      </c>
      <c r="P16" s="11">
        <f t="shared" si="11"/>
        <v>0.01835104465</v>
      </c>
      <c r="Q16" s="15">
        <v>22072.0</v>
      </c>
      <c r="R16" s="11">
        <f t="shared" si="12"/>
        <v>0.0183209351</v>
      </c>
      <c r="S16" s="17">
        <v>20723.0</v>
      </c>
      <c r="T16" s="29">
        <f t="shared" si="13"/>
        <v>0.01855790491</v>
      </c>
      <c r="U16" s="15">
        <v>19958.0</v>
      </c>
      <c r="V16" s="11">
        <f t="shared" si="14"/>
        <v>0.02106714294</v>
      </c>
      <c r="W16" s="15">
        <v>21062.0</v>
      </c>
      <c r="X16" s="11">
        <f t="shared" si="15"/>
        <v>0.02121998277</v>
      </c>
      <c r="Y16" s="15">
        <v>12117.0</v>
      </c>
      <c r="Z16" s="11">
        <f t="shared" si="16"/>
        <v>0.0205963893</v>
      </c>
      <c r="AA16" s="15">
        <v>11201.0</v>
      </c>
      <c r="AB16" s="11">
        <f t="shared" si="17"/>
        <v>0.01843965093</v>
      </c>
      <c r="AC16" s="15">
        <v>24177.0</v>
      </c>
      <c r="AD16" s="11">
        <f t="shared" si="18"/>
        <v>0.0186556108</v>
      </c>
      <c r="AE16" s="15">
        <v>8561.0</v>
      </c>
      <c r="AF16" s="20">
        <f t="shared" si="19"/>
        <v>0.01482013641</v>
      </c>
      <c r="AG16" s="19">
        <v>20367.0</v>
      </c>
      <c r="AH16" s="15">
        <v>13476.0</v>
      </c>
      <c r="AI16" s="15">
        <v>18040.0</v>
      </c>
      <c r="AJ16" s="15">
        <v>15362.0</v>
      </c>
    </row>
    <row r="17" ht="15.75" customHeight="1">
      <c r="A17" s="6" t="s">
        <v>72</v>
      </c>
      <c r="B17" s="6" t="s">
        <v>90</v>
      </c>
      <c r="C17" s="6" t="s">
        <v>53</v>
      </c>
      <c r="D17" s="4" t="s">
        <v>20</v>
      </c>
      <c r="E17" s="19">
        <f t="shared" si="2"/>
        <v>17008.4</v>
      </c>
      <c r="F17" s="11">
        <f t="shared" si="3"/>
        <v>0.01869412393</v>
      </c>
      <c r="G17" s="15">
        <f t="shared" si="4"/>
        <v>16701</v>
      </c>
      <c r="H17" s="11">
        <f t="shared" si="5"/>
        <v>0.01896772681</v>
      </c>
      <c r="I17" s="15">
        <f t="shared" si="6"/>
        <v>17315.8</v>
      </c>
      <c r="J17" s="20">
        <f t="shared" si="7"/>
        <v>0.0184376106</v>
      </c>
      <c r="K17" s="15">
        <f t="shared" si="8"/>
        <v>19646.66667</v>
      </c>
      <c r="L17" s="11">
        <f t="shared" si="9"/>
        <v>0.01683983641</v>
      </c>
      <c r="M17" s="19">
        <v>9196.0</v>
      </c>
      <c r="N17" s="11">
        <f t="shared" si="10"/>
        <v>0.01561430825</v>
      </c>
      <c r="O17" s="15">
        <v>19697.0</v>
      </c>
      <c r="P17" s="11">
        <f t="shared" si="11"/>
        <v>0.01671184643</v>
      </c>
      <c r="Q17" s="15">
        <v>20117.0</v>
      </c>
      <c r="R17" s="11">
        <f t="shared" si="12"/>
        <v>0.01669818102</v>
      </c>
      <c r="S17" s="17">
        <v>19126.0</v>
      </c>
      <c r="T17" s="29">
        <f t="shared" si="13"/>
        <v>0.01712775608</v>
      </c>
      <c r="U17" s="15">
        <v>17417.0</v>
      </c>
      <c r="V17" s="11">
        <f t="shared" si="14"/>
        <v>0.01838492978</v>
      </c>
      <c r="W17" s="15">
        <v>18712.0</v>
      </c>
      <c r="X17" s="11">
        <f t="shared" si="15"/>
        <v>0.01885235579</v>
      </c>
      <c r="Y17" s="15">
        <v>14637.0</v>
      </c>
      <c r="Z17" s="11">
        <f t="shared" si="16"/>
        <v>0.02487986714</v>
      </c>
      <c r="AA17" s="15">
        <v>13002.0</v>
      </c>
      <c r="AB17" s="11">
        <f t="shared" si="17"/>
        <v>0.02140454793</v>
      </c>
      <c r="AC17" s="15">
        <v>28289.0</v>
      </c>
      <c r="AD17" s="11">
        <f t="shared" si="18"/>
        <v>0.02182853845</v>
      </c>
      <c r="AE17" s="15">
        <v>9891.0</v>
      </c>
      <c r="AF17" s="20">
        <f t="shared" si="19"/>
        <v>0.01712252882</v>
      </c>
      <c r="AG17" s="19">
        <v>17423.0</v>
      </c>
      <c r="AH17" s="15">
        <v>11560.0</v>
      </c>
      <c r="AI17" s="15">
        <v>15922.0</v>
      </c>
      <c r="AJ17" s="15">
        <v>12865.0</v>
      </c>
    </row>
    <row r="18" ht="15.75" customHeight="1">
      <c r="A18" s="6" t="s">
        <v>72</v>
      </c>
      <c r="B18" s="6" t="s">
        <v>90</v>
      </c>
      <c r="C18" s="6" t="s">
        <v>53</v>
      </c>
      <c r="D18" s="4" t="s">
        <v>21</v>
      </c>
      <c r="E18" s="19">
        <f t="shared" si="2"/>
        <v>16042.1</v>
      </c>
      <c r="F18" s="11">
        <f t="shared" si="3"/>
        <v>0.01763205272</v>
      </c>
      <c r="G18" s="15">
        <f t="shared" si="4"/>
        <v>15622</v>
      </c>
      <c r="H18" s="11">
        <f t="shared" si="5"/>
        <v>0.0177422806</v>
      </c>
      <c r="I18" s="15">
        <f t="shared" si="6"/>
        <v>16462.2</v>
      </c>
      <c r="J18" s="20">
        <f t="shared" si="7"/>
        <v>0.01752870981</v>
      </c>
      <c r="K18" s="15">
        <f t="shared" si="8"/>
        <v>20317.66667</v>
      </c>
      <c r="L18" s="11">
        <f t="shared" si="9"/>
        <v>0.01741497368</v>
      </c>
      <c r="M18" s="19">
        <v>9880.0</v>
      </c>
      <c r="N18" s="11">
        <f t="shared" si="10"/>
        <v>0.01677570308</v>
      </c>
      <c r="O18" s="15">
        <v>20500.0</v>
      </c>
      <c r="P18" s="11">
        <f t="shared" si="11"/>
        <v>0.0173931488</v>
      </c>
      <c r="Q18" s="15">
        <v>21054.0</v>
      </c>
      <c r="R18" s="11">
        <f t="shared" si="12"/>
        <v>0.01747594091</v>
      </c>
      <c r="S18" s="17">
        <v>19399.0</v>
      </c>
      <c r="T18" s="29">
        <f t="shared" si="13"/>
        <v>0.01737223362</v>
      </c>
      <c r="U18" s="15">
        <v>14697.0</v>
      </c>
      <c r="V18" s="11">
        <f t="shared" si="14"/>
        <v>0.01551376891</v>
      </c>
      <c r="W18" s="15">
        <v>15875.0</v>
      </c>
      <c r="X18" s="11">
        <f t="shared" si="15"/>
        <v>0.0159940759</v>
      </c>
      <c r="Y18" s="15">
        <v>10726.0</v>
      </c>
      <c r="Z18" s="11">
        <f t="shared" si="16"/>
        <v>0.01823197752</v>
      </c>
      <c r="AA18" s="15">
        <v>10632.0</v>
      </c>
      <c r="AB18" s="11">
        <f t="shared" si="17"/>
        <v>0.01750293444</v>
      </c>
      <c r="AC18" s="15">
        <v>24662.0</v>
      </c>
      <c r="AD18" s="11">
        <f t="shared" si="18"/>
        <v>0.01902984959</v>
      </c>
      <c r="AE18" s="15">
        <v>12996.0</v>
      </c>
      <c r="AF18" s="20">
        <f t="shared" si="19"/>
        <v>0.02249766299</v>
      </c>
      <c r="AG18" s="19">
        <v>19504.0</v>
      </c>
      <c r="AH18" s="15">
        <v>12454.0</v>
      </c>
      <c r="AI18" s="15">
        <v>17407.0</v>
      </c>
      <c r="AJ18" s="15">
        <v>13695.0</v>
      </c>
    </row>
    <row r="19" ht="15.75" customHeight="1">
      <c r="A19" s="6" t="s">
        <v>75</v>
      </c>
      <c r="B19" s="6" t="s">
        <v>91</v>
      </c>
      <c r="C19" s="6" t="s">
        <v>53</v>
      </c>
      <c r="D19" s="4" t="s">
        <v>22</v>
      </c>
      <c r="E19" s="19">
        <f t="shared" si="2"/>
        <v>14265.7</v>
      </c>
      <c r="F19" s="11">
        <f t="shared" si="3"/>
        <v>0.01567959148</v>
      </c>
      <c r="G19" s="15">
        <f t="shared" si="4"/>
        <v>13973.6</v>
      </c>
      <c r="H19" s="11">
        <f t="shared" si="5"/>
        <v>0.01587015313</v>
      </c>
      <c r="I19" s="15">
        <f t="shared" si="6"/>
        <v>14557.8</v>
      </c>
      <c r="J19" s="20">
        <f t="shared" si="7"/>
        <v>0.01550093254</v>
      </c>
      <c r="K19" s="15">
        <f t="shared" si="8"/>
        <v>18241.66667</v>
      </c>
      <c r="L19" s="11">
        <f t="shared" si="9"/>
        <v>0.0156355624</v>
      </c>
      <c r="M19" s="19">
        <v>10062.0</v>
      </c>
      <c r="N19" s="11">
        <f t="shared" si="10"/>
        <v>0.01708472919</v>
      </c>
      <c r="O19" s="15">
        <v>18352.0</v>
      </c>
      <c r="P19" s="11">
        <f t="shared" si="11"/>
        <v>0.01557068618</v>
      </c>
      <c r="Q19" s="15">
        <v>18617.0</v>
      </c>
      <c r="R19" s="11">
        <f t="shared" si="12"/>
        <v>0.01545310116</v>
      </c>
      <c r="S19" s="17">
        <v>17756.0</v>
      </c>
      <c r="T19" s="29">
        <f t="shared" si="13"/>
        <v>0.01590089078</v>
      </c>
      <c r="U19" s="15">
        <v>15253.0</v>
      </c>
      <c r="V19" s="11">
        <f t="shared" si="14"/>
        <v>0.01610066797</v>
      </c>
      <c r="W19" s="15">
        <v>15828.0</v>
      </c>
      <c r="X19" s="11">
        <f t="shared" si="15"/>
        <v>0.01594672336</v>
      </c>
      <c r="Y19" s="15">
        <v>9798.0</v>
      </c>
      <c r="Z19" s="11">
        <f t="shared" si="16"/>
        <v>0.01665456981</v>
      </c>
      <c r="AA19" s="15">
        <v>8266.0</v>
      </c>
      <c r="AB19" s="11">
        <f t="shared" si="17"/>
        <v>0.01360790595</v>
      </c>
      <c r="AC19" s="15">
        <v>19052.0</v>
      </c>
      <c r="AD19" s="11">
        <f t="shared" si="18"/>
        <v>0.01470102565</v>
      </c>
      <c r="AE19" s="15">
        <v>9673.0</v>
      </c>
      <c r="AF19" s="20">
        <f t="shared" si="19"/>
        <v>0.0167451442</v>
      </c>
      <c r="AG19" s="19">
        <v>18196.0</v>
      </c>
      <c r="AH19" s="15">
        <v>11583.0</v>
      </c>
      <c r="AI19" s="15">
        <v>16473.0</v>
      </c>
      <c r="AJ19" s="15">
        <v>13622.0</v>
      </c>
    </row>
    <row r="20" ht="15.75" customHeight="1">
      <c r="A20" s="6" t="s">
        <v>72</v>
      </c>
      <c r="B20" s="6" t="s">
        <v>91</v>
      </c>
      <c r="C20" s="6" t="s">
        <v>53</v>
      </c>
      <c r="D20" s="4" t="s">
        <v>23</v>
      </c>
      <c r="E20" s="19">
        <f t="shared" si="2"/>
        <v>13886.1</v>
      </c>
      <c r="F20" s="11">
        <f t="shared" si="3"/>
        <v>0.01526236885</v>
      </c>
      <c r="G20" s="15">
        <f t="shared" si="4"/>
        <v>13331.4</v>
      </c>
      <c r="H20" s="11">
        <f t="shared" si="5"/>
        <v>0.01514079116</v>
      </c>
      <c r="I20" s="15">
        <f t="shared" si="6"/>
        <v>14440.8</v>
      </c>
      <c r="J20" s="20">
        <f t="shared" si="7"/>
        <v>0.01537635265</v>
      </c>
      <c r="K20" s="15">
        <f t="shared" si="8"/>
        <v>17928.66667</v>
      </c>
      <c r="L20" s="11">
        <f t="shared" si="9"/>
        <v>0.01536727929</v>
      </c>
      <c r="M20" s="19">
        <v>9397.0</v>
      </c>
      <c r="N20" s="11">
        <f t="shared" si="10"/>
        <v>0.01595559533</v>
      </c>
      <c r="O20" s="15">
        <v>18084.0</v>
      </c>
      <c r="P20" s="11">
        <f t="shared" si="11"/>
        <v>0.01534330258</v>
      </c>
      <c r="Q20" s="15">
        <v>18383.0</v>
      </c>
      <c r="R20" s="11">
        <f t="shared" si="12"/>
        <v>0.0152588687</v>
      </c>
      <c r="S20" s="17">
        <v>17319.0</v>
      </c>
      <c r="T20" s="29">
        <f t="shared" si="13"/>
        <v>0.01550954761</v>
      </c>
      <c r="U20" s="15">
        <v>15290.0</v>
      </c>
      <c r="V20" s="11">
        <f t="shared" si="14"/>
        <v>0.0161397242</v>
      </c>
      <c r="W20" s="15">
        <v>15959.0</v>
      </c>
      <c r="X20" s="11">
        <f t="shared" si="15"/>
        <v>0.01607870597</v>
      </c>
      <c r="Y20" s="15">
        <v>8590.0</v>
      </c>
      <c r="Z20" s="11">
        <f t="shared" si="16"/>
        <v>0.01460122011</v>
      </c>
      <c r="AA20" s="15">
        <v>9828.0</v>
      </c>
      <c r="AB20" s="11">
        <f t="shared" si="17"/>
        <v>0.01617934911</v>
      </c>
      <c r="AC20" s="15">
        <v>18031.0</v>
      </c>
      <c r="AD20" s="11">
        <f t="shared" si="18"/>
        <v>0.01391319512</v>
      </c>
      <c r="AE20" s="15">
        <v>7980.0</v>
      </c>
      <c r="AF20" s="20">
        <f t="shared" si="19"/>
        <v>0.01381435446</v>
      </c>
      <c r="AG20" s="19">
        <v>18038.0</v>
      </c>
      <c r="AH20" s="15">
        <v>11833.0</v>
      </c>
      <c r="AI20" s="15">
        <v>15819.0</v>
      </c>
      <c r="AJ20" s="15">
        <v>12706.0</v>
      </c>
    </row>
    <row r="21" ht="15.75" customHeight="1">
      <c r="A21" s="6" t="s">
        <v>73</v>
      </c>
      <c r="B21" s="6" t="s">
        <v>91</v>
      </c>
      <c r="C21" s="6" t="s">
        <v>60</v>
      </c>
      <c r="D21" s="4" t="s">
        <v>24</v>
      </c>
      <c r="E21" s="19">
        <f t="shared" si="2"/>
        <v>13347.7</v>
      </c>
      <c r="F21" s="11">
        <f t="shared" si="3"/>
        <v>0.01467060735</v>
      </c>
      <c r="G21" s="15">
        <f t="shared" si="4"/>
        <v>12647.4</v>
      </c>
      <c r="H21" s="11">
        <f t="shared" si="5"/>
        <v>0.01436395594</v>
      </c>
      <c r="I21" s="15">
        <f t="shared" si="6"/>
        <v>14048</v>
      </c>
      <c r="J21" s="20">
        <f t="shared" si="7"/>
        <v>0.01495810495</v>
      </c>
      <c r="K21" s="15">
        <f t="shared" si="8"/>
        <v>17880</v>
      </c>
      <c r="L21" s="11">
        <f t="shared" si="9"/>
        <v>0.01532556541</v>
      </c>
      <c r="M21" s="19">
        <v>8705.0</v>
      </c>
      <c r="N21" s="11">
        <f t="shared" si="10"/>
        <v>0.01478061693</v>
      </c>
      <c r="O21" s="15">
        <v>18074.0</v>
      </c>
      <c r="P21" s="11">
        <f t="shared" si="11"/>
        <v>0.01533481811</v>
      </c>
      <c r="Q21" s="15">
        <v>18309.0</v>
      </c>
      <c r="R21" s="11">
        <f t="shared" si="12"/>
        <v>0.01519744476</v>
      </c>
      <c r="S21" s="17">
        <v>17257.0</v>
      </c>
      <c r="T21" s="29">
        <f t="shared" si="13"/>
        <v>0.01545402524</v>
      </c>
      <c r="U21" s="15">
        <v>14177.0</v>
      </c>
      <c r="V21" s="11">
        <f t="shared" si="14"/>
        <v>0.0149648705</v>
      </c>
      <c r="W21" s="15">
        <v>14996.0</v>
      </c>
      <c r="X21" s="11">
        <f t="shared" si="15"/>
        <v>0.01510848265</v>
      </c>
      <c r="Y21" s="15">
        <v>8466.0</v>
      </c>
      <c r="Z21" s="11">
        <f t="shared" si="16"/>
        <v>0.0143904458</v>
      </c>
      <c r="AA21" s="15">
        <v>8134.0</v>
      </c>
      <c r="AB21" s="11">
        <f t="shared" si="17"/>
        <v>0.0133906009</v>
      </c>
      <c r="AC21" s="15">
        <v>19210.0</v>
      </c>
      <c r="AD21" s="11">
        <f t="shared" si="18"/>
        <v>0.01482294261</v>
      </c>
      <c r="AE21" s="15">
        <v>6149.0</v>
      </c>
      <c r="AF21" s="20">
        <f t="shared" si="19"/>
        <v>0.01064466988</v>
      </c>
      <c r="AG21" s="19">
        <v>17193.0</v>
      </c>
      <c r="AH21" s="15">
        <v>11529.0</v>
      </c>
      <c r="AI21" s="15">
        <v>15039.0</v>
      </c>
      <c r="AJ21" s="15">
        <v>11879.0</v>
      </c>
    </row>
    <row r="22" ht="15.75" customHeight="1">
      <c r="A22" s="6" t="s">
        <v>77</v>
      </c>
      <c r="B22" s="6" t="s">
        <v>91</v>
      </c>
      <c r="C22" s="6" t="s">
        <v>53</v>
      </c>
      <c r="D22" s="4" t="s">
        <v>25</v>
      </c>
      <c r="E22" s="19">
        <f t="shared" si="2"/>
        <v>12705</v>
      </c>
      <c r="F22" s="11">
        <f t="shared" si="3"/>
        <v>0.01396420854</v>
      </c>
      <c r="G22" s="15">
        <f t="shared" si="4"/>
        <v>12963.6</v>
      </c>
      <c r="H22" s="11">
        <f t="shared" si="5"/>
        <v>0.01472307187</v>
      </c>
      <c r="I22" s="15">
        <f t="shared" si="6"/>
        <v>12446.4</v>
      </c>
      <c r="J22" s="20">
        <f t="shared" si="7"/>
        <v>0.0132527447</v>
      </c>
      <c r="K22" s="15">
        <f t="shared" si="8"/>
        <v>15971.66667</v>
      </c>
      <c r="L22" s="11">
        <f t="shared" si="9"/>
        <v>0.01368986701</v>
      </c>
      <c r="M22" s="19">
        <v>8252.0</v>
      </c>
      <c r="N22" s="11">
        <f t="shared" si="10"/>
        <v>0.01401144755</v>
      </c>
      <c r="O22" s="15">
        <v>16057.0</v>
      </c>
      <c r="P22" s="11">
        <f t="shared" si="11"/>
        <v>0.01362350196</v>
      </c>
      <c r="Q22" s="15">
        <v>16396.0</v>
      </c>
      <c r="R22" s="11">
        <f t="shared" si="12"/>
        <v>0.01360955292</v>
      </c>
      <c r="S22" s="17">
        <v>15462.0</v>
      </c>
      <c r="T22" s="29">
        <f t="shared" si="13"/>
        <v>0.01384656303</v>
      </c>
      <c r="U22" s="15">
        <v>14559.0</v>
      </c>
      <c r="V22" s="11">
        <f t="shared" si="14"/>
        <v>0.01536809971</v>
      </c>
      <c r="W22" s="15">
        <v>14762.0</v>
      </c>
      <c r="X22" s="11">
        <f t="shared" si="15"/>
        <v>0.01487272746</v>
      </c>
      <c r="Y22" s="15">
        <v>7504.0</v>
      </c>
      <c r="Z22" s="11">
        <f t="shared" si="16"/>
        <v>0.01275524514</v>
      </c>
      <c r="AA22" s="15">
        <v>6813.0</v>
      </c>
      <c r="AB22" s="11">
        <f t="shared" si="17"/>
        <v>0.0112159041</v>
      </c>
      <c r="AC22" s="15">
        <v>17977.0</v>
      </c>
      <c r="AD22" s="11">
        <f t="shared" si="18"/>
        <v>0.0138715273</v>
      </c>
      <c r="AE22" s="15">
        <v>9268.0</v>
      </c>
      <c r="AF22" s="20">
        <f t="shared" si="19"/>
        <v>0.01604403975</v>
      </c>
      <c r="AG22" s="19">
        <v>16094.0</v>
      </c>
      <c r="AH22" s="15">
        <v>10696.0</v>
      </c>
      <c r="AI22" s="15">
        <v>14150.0</v>
      </c>
      <c r="AJ22" s="15">
        <v>12036.0</v>
      </c>
    </row>
    <row r="23" ht="15.75" customHeight="1">
      <c r="A23" s="6" t="s">
        <v>77</v>
      </c>
      <c r="B23" s="6" t="s">
        <v>91</v>
      </c>
      <c r="C23" s="6" t="s">
        <v>53</v>
      </c>
      <c r="D23" s="4" t="s">
        <v>26</v>
      </c>
      <c r="E23" s="19">
        <f t="shared" si="2"/>
        <v>10914.7</v>
      </c>
      <c r="F23" s="11">
        <f t="shared" si="3"/>
        <v>0.01199646965</v>
      </c>
      <c r="G23" s="15">
        <f t="shared" si="4"/>
        <v>11257.4</v>
      </c>
      <c r="H23" s="11">
        <f t="shared" si="5"/>
        <v>0.01278529955</v>
      </c>
      <c r="I23" s="15">
        <f t="shared" si="6"/>
        <v>10572</v>
      </c>
      <c r="J23" s="20">
        <f t="shared" si="7"/>
        <v>0.01125691099</v>
      </c>
      <c r="K23" s="15">
        <f t="shared" si="8"/>
        <v>13396</v>
      </c>
      <c r="L23" s="11">
        <f t="shared" si="9"/>
        <v>0.01148217417</v>
      </c>
      <c r="M23" s="19">
        <v>7679.0</v>
      </c>
      <c r="N23" s="11">
        <f t="shared" si="10"/>
        <v>0.01303852469</v>
      </c>
      <c r="O23" s="15">
        <v>13538.0</v>
      </c>
      <c r="P23" s="11">
        <f t="shared" si="11"/>
        <v>0.01148626578</v>
      </c>
      <c r="Q23" s="15">
        <v>13875.0</v>
      </c>
      <c r="R23" s="11">
        <f t="shared" si="12"/>
        <v>0.0115169887</v>
      </c>
      <c r="S23" s="17">
        <v>12775.0</v>
      </c>
      <c r="T23" s="29">
        <f t="shared" si="13"/>
        <v>0.01144029509</v>
      </c>
      <c r="U23" s="15">
        <v>13227.0</v>
      </c>
      <c r="V23" s="11">
        <f t="shared" si="14"/>
        <v>0.01396207534</v>
      </c>
      <c r="W23" s="15">
        <v>13722.0</v>
      </c>
      <c r="X23" s="11">
        <f t="shared" si="15"/>
        <v>0.01382492658</v>
      </c>
      <c r="Y23" s="15">
        <v>5552.0</v>
      </c>
      <c r="Z23" s="11">
        <f t="shared" si="16"/>
        <v>0.009437249599</v>
      </c>
      <c r="AA23" s="15">
        <v>7120.0</v>
      </c>
      <c r="AB23" s="11">
        <f t="shared" si="17"/>
        <v>0.01172130297</v>
      </c>
      <c r="AC23" s="15">
        <v>14142.0</v>
      </c>
      <c r="AD23" s="11">
        <f t="shared" si="18"/>
        <v>0.01091234016</v>
      </c>
      <c r="AE23" s="15">
        <v>7517.0</v>
      </c>
      <c r="AF23" s="20">
        <f t="shared" si="19"/>
        <v>0.01301284493</v>
      </c>
      <c r="AG23" s="19">
        <v>13450.0</v>
      </c>
      <c r="AH23" s="15">
        <v>9165.0</v>
      </c>
      <c r="AI23" s="15">
        <v>12085.0</v>
      </c>
      <c r="AJ23" s="15">
        <v>9692.0</v>
      </c>
    </row>
    <row r="24" ht="15.75" customHeight="1">
      <c r="A24" s="6" t="s">
        <v>69</v>
      </c>
      <c r="B24" s="6" t="s">
        <v>91</v>
      </c>
      <c r="C24" s="6" t="s">
        <v>54</v>
      </c>
      <c r="D24" s="4" t="s">
        <v>27</v>
      </c>
      <c r="E24" s="19">
        <f t="shared" si="2"/>
        <v>10455.8</v>
      </c>
      <c r="F24" s="11">
        <f t="shared" si="3"/>
        <v>0.0114920875</v>
      </c>
      <c r="G24" s="15">
        <f t="shared" si="4"/>
        <v>10147.8</v>
      </c>
      <c r="H24" s="11">
        <f t="shared" si="5"/>
        <v>0.01152510018</v>
      </c>
      <c r="I24" s="15">
        <f t="shared" si="6"/>
        <v>10763.8</v>
      </c>
      <c r="J24" s="20">
        <f t="shared" si="7"/>
        <v>0.01146113682</v>
      </c>
      <c r="K24" s="15">
        <f t="shared" si="8"/>
        <v>12298.66667</v>
      </c>
      <c r="L24" s="11">
        <f t="shared" si="9"/>
        <v>0.01054161188</v>
      </c>
      <c r="M24" s="19">
        <v>5371.0</v>
      </c>
      <c r="N24" s="11">
        <f t="shared" si="10"/>
        <v>0.009119666116</v>
      </c>
      <c r="O24" s="15">
        <v>12485.0</v>
      </c>
      <c r="P24" s="11">
        <f t="shared" si="11"/>
        <v>0.01059285184</v>
      </c>
      <c r="Q24" s="15">
        <v>12715.0</v>
      </c>
      <c r="R24" s="11">
        <f t="shared" si="12"/>
        <v>0.01055412694</v>
      </c>
      <c r="S24" s="17">
        <v>11696.0</v>
      </c>
      <c r="T24" s="29">
        <f t="shared" si="13"/>
        <v>0.01047402672</v>
      </c>
      <c r="U24" s="15">
        <v>10678.0</v>
      </c>
      <c r="V24" s="11">
        <f t="shared" si="14"/>
        <v>0.01127141759</v>
      </c>
      <c r="W24" s="15">
        <v>10769.0</v>
      </c>
      <c r="X24" s="11">
        <f t="shared" si="15"/>
        <v>0.01084977659</v>
      </c>
      <c r="Y24" s="15">
        <v>6508.0</v>
      </c>
      <c r="Z24" s="11">
        <f t="shared" si="16"/>
        <v>0.01106225151</v>
      </c>
      <c r="AA24" s="15">
        <v>10415.0</v>
      </c>
      <c r="AB24" s="11">
        <f t="shared" si="17"/>
        <v>0.0171456981</v>
      </c>
      <c r="AC24" s="15">
        <v>15065.0</v>
      </c>
      <c r="AD24" s="11">
        <f t="shared" si="18"/>
        <v>0.0116245513</v>
      </c>
      <c r="AE24" s="15">
        <v>8856.0</v>
      </c>
      <c r="AF24" s="20">
        <f t="shared" si="19"/>
        <v>0.01533081744</v>
      </c>
      <c r="AG24" s="19">
        <v>11457.0</v>
      </c>
      <c r="AH24" s="15">
        <v>8071.0</v>
      </c>
      <c r="AI24" s="15">
        <v>9855.0</v>
      </c>
      <c r="AJ24" s="15">
        <v>7315.0</v>
      </c>
    </row>
    <row r="25" ht="15.75" customHeight="1">
      <c r="A25" s="6" t="s">
        <v>68</v>
      </c>
      <c r="B25" s="6" t="s">
        <v>91</v>
      </c>
      <c r="C25" s="6" t="s">
        <v>53</v>
      </c>
      <c r="D25" s="4" t="s">
        <v>28</v>
      </c>
      <c r="E25" s="19">
        <f t="shared" si="2"/>
        <v>10258.6</v>
      </c>
      <c r="F25" s="11">
        <f t="shared" si="3"/>
        <v>0.01127534276</v>
      </c>
      <c r="G25" s="15">
        <f t="shared" si="4"/>
        <v>9849.4</v>
      </c>
      <c r="H25" s="11">
        <f t="shared" si="5"/>
        <v>0.01118620014</v>
      </c>
      <c r="I25" s="15">
        <f t="shared" si="6"/>
        <v>10667.8</v>
      </c>
      <c r="J25" s="20">
        <f t="shared" si="7"/>
        <v>0.01135891743</v>
      </c>
      <c r="K25" s="15">
        <f t="shared" si="8"/>
        <v>13759.33333</v>
      </c>
      <c r="L25" s="11">
        <f t="shared" si="9"/>
        <v>0.01179359972</v>
      </c>
      <c r="M25" s="19">
        <v>7024.0</v>
      </c>
      <c r="N25" s="11">
        <f t="shared" si="10"/>
        <v>0.01192637028</v>
      </c>
      <c r="O25" s="15">
        <v>13875.0</v>
      </c>
      <c r="P25" s="11">
        <f t="shared" si="11"/>
        <v>0.01177219217</v>
      </c>
      <c r="Q25" s="15">
        <v>14044.0</v>
      </c>
      <c r="R25" s="11">
        <f t="shared" si="12"/>
        <v>0.0116572677</v>
      </c>
      <c r="S25" s="17">
        <v>13359.0</v>
      </c>
      <c r="T25" s="29">
        <f t="shared" si="13"/>
        <v>0.01196328001</v>
      </c>
      <c r="U25" s="15">
        <v>11558.0</v>
      </c>
      <c r="V25" s="11">
        <f t="shared" si="14"/>
        <v>0.01220032258</v>
      </c>
      <c r="W25" s="15">
        <v>12416.0</v>
      </c>
      <c r="X25" s="11">
        <f t="shared" si="15"/>
        <v>0.01250913048</v>
      </c>
      <c r="Y25" s="15">
        <v>6144.0</v>
      </c>
      <c r="Z25" s="11">
        <f t="shared" si="16"/>
        <v>0.01044352693</v>
      </c>
      <c r="AA25" s="15">
        <v>5917.0</v>
      </c>
      <c r="AB25" s="11">
        <f t="shared" si="17"/>
        <v>0.009740863722</v>
      </c>
      <c r="AC25" s="15">
        <v>12791.0</v>
      </c>
      <c r="AD25" s="11">
        <f t="shared" si="18"/>
        <v>0.009869872929</v>
      </c>
      <c r="AE25" s="15">
        <v>5458.0</v>
      </c>
      <c r="AF25" s="20">
        <f t="shared" si="19"/>
        <v>0.009448464495</v>
      </c>
      <c r="AG25" s="19">
        <v>14335.0</v>
      </c>
      <c r="AH25" s="15">
        <v>9237.0</v>
      </c>
      <c r="AI25" s="15">
        <v>12892.0</v>
      </c>
      <c r="AJ25" s="15">
        <v>10774.0</v>
      </c>
    </row>
    <row r="26" ht="15.75" customHeight="1">
      <c r="A26" s="6" t="s">
        <v>73</v>
      </c>
      <c r="B26" s="6" t="s">
        <v>91</v>
      </c>
      <c r="C26" s="6" t="s">
        <v>60</v>
      </c>
      <c r="D26" s="4" t="s">
        <v>29</v>
      </c>
      <c r="E26" s="19">
        <f t="shared" si="2"/>
        <v>10234.8</v>
      </c>
      <c r="F26" s="11">
        <f t="shared" si="3"/>
        <v>0.01124918391</v>
      </c>
      <c r="G26" s="15">
        <f t="shared" si="4"/>
        <v>9112.8</v>
      </c>
      <c r="H26" s="11">
        <f t="shared" si="5"/>
        <v>0.01034962582</v>
      </c>
      <c r="I26" s="15">
        <f t="shared" si="6"/>
        <v>11356.8</v>
      </c>
      <c r="J26" s="20">
        <f t="shared" si="7"/>
        <v>0.01209255455</v>
      </c>
      <c r="K26" s="15">
        <f t="shared" si="8"/>
        <v>13247.66667</v>
      </c>
      <c r="L26" s="11">
        <f t="shared" si="9"/>
        <v>0.01135503255</v>
      </c>
      <c r="M26" s="19">
        <v>5849.0</v>
      </c>
      <c r="N26" s="11">
        <f t="shared" si="10"/>
        <v>0.009931284139</v>
      </c>
      <c r="O26" s="15">
        <v>13403.0</v>
      </c>
      <c r="P26" s="11">
        <f t="shared" si="11"/>
        <v>0.01137172553</v>
      </c>
      <c r="Q26" s="15">
        <v>13624.0</v>
      </c>
      <c r="R26" s="11">
        <f t="shared" si="12"/>
        <v>0.01130864534</v>
      </c>
      <c r="S26" s="17">
        <v>12716.0</v>
      </c>
      <c r="T26" s="29">
        <f t="shared" si="13"/>
        <v>0.01138745929</v>
      </c>
      <c r="U26" s="15">
        <v>11137.0</v>
      </c>
      <c r="V26" s="11">
        <f t="shared" si="14"/>
        <v>0.01175592599</v>
      </c>
      <c r="W26" s="15">
        <v>11479.0</v>
      </c>
      <c r="X26" s="11">
        <f t="shared" si="15"/>
        <v>0.01156510219</v>
      </c>
      <c r="Y26" s="15">
        <v>8486.0</v>
      </c>
      <c r="Z26" s="11">
        <f t="shared" si="16"/>
        <v>0.01442444166</v>
      </c>
      <c r="AA26" s="15">
        <v>8555.0</v>
      </c>
      <c r="AB26" s="11">
        <f t="shared" si="17"/>
        <v>0.01408367232</v>
      </c>
      <c r="AC26" s="15">
        <v>15379.0</v>
      </c>
      <c r="AD26" s="11">
        <f t="shared" si="18"/>
        <v>0.01186684198</v>
      </c>
      <c r="AE26" s="15">
        <v>1720.0</v>
      </c>
      <c r="AF26" s="20">
        <f t="shared" si="19"/>
        <v>0.002977530035</v>
      </c>
      <c r="AG26" s="19">
        <v>12809.0</v>
      </c>
      <c r="AH26" s="15">
        <v>8809.0</v>
      </c>
      <c r="AI26" s="15">
        <v>11116.0</v>
      </c>
      <c r="AJ26" s="15">
        <v>8289.0</v>
      </c>
    </row>
    <row r="27" ht="15.75" customHeight="1">
      <c r="A27" s="6" t="s">
        <v>71</v>
      </c>
      <c r="B27" s="6" t="s">
        <v>91</v>
      </c>
      <c r="C27" s="6" t="s">
        <v>56</v>
      </c>
      <c r="D27" s="4" t="s">
        <v>30</v>
      </c>
      <c r="E27" s="19">
        <f t="shared" si="2"/>
        <v>10030.2</v>
      </c>
      <c r="F27" s="11">
        <f t="shared" si="3"/>
        <v>0.01102430575</v>
      </c>
      <c r="G27" s="15">
        <f t="shared" si="4"/>
        <v>9116.8</v>
      </c>
      <c r="H27" s="11">
        <f t="shared" si="5"/>
        <v>0.01035416872</v>
      </c>
      <c r="I27" s="15">
        <f t="shared" si="6"/>
        <v>10943.6</v>
      </c>
      <c r="J27" s="20">
        <f t="shared" si="7"/>
        <v>0.01165258524</v>
      </c>
      <c r="K27" s="15">
        <f t="shared" si="8"/>
        <v>13159.66667</v>
      </c>
      <c r="L27" s="11">
        <f t="shared" si="9"/>
        <v>0.01127960471</v>
      </c>
      <c r="M27" s="19">
        <v>5337.0</v>
      </c>
      <c r="N27" s="11">
        <f t="shared" si="10"/>
        <v>0.009061935964</v>
      </c>
      <c r="O27" s="15">
        <v>13412.0</v>
      </c>
      <c r="P27" s="11">
        <f t="shared" si="11"/>
        <v>0.01137936154</v>
      </c>
      <c r="Q27" s="15">
        <v>13762.0</v>
      </c>
      <c r="R27" s="11">
        <f t="shared" si="12"/>
        <v>0.01142319268</v>
      </c>
      <c r="S27" s="17">
        <v>12305.0</v>
      </c>
      <c r="T27" s="29">
        <f t="shared" si="13"/>
        <v>0.0110193997</v>
      </c>
      <c r="U27" s="15">
        <v>9287.0</v>
      </c>
      <c r="V27" s="11">
        <f t="shared" si="14"/>
        <v>0.009803114365</v>
      </c>
      <c r="W27" s="15">
        <v>9936.0</v>
      </c>
      <c r="X27" s="11">
        <f t="shared" si="15"/>
        <v>0.01001052838</v>
      </c>
      <c r="Y27" s="15">
        <v>6060.0</v>
      </c>
      <c r="Z27" s="11">
        <f t="shared" si="16"/>
        <v>0.01030074434</v>
      </c>
      <c r="AA27" s="15">
        <v>9179.0</v>
      </c>
      <c r="AB27" s="11">
        <f t="shared" si="17"/>
        <v>0.01511093258</v>
      </c>
      <c r="AC27" s="15">
        <v>15517.0</v>
      </c>
      <c r="AD27" s="11">
        <f t="shared" si="18"/>
        <v>0.01197332642</v>
      </c>
      <c r="AE27" s="15">
        <v>5507.0</v>
      </c>
      <c r="AF27" s="20">
        <f t="shared" si="19"/>
        <v>0.009533289478</v>
      </c>
      <c r="AG27" s="19">
        <v>12896.0</v>
      </c>
      <c r="AH27" s="15">
        <v>8966.0</v>
      </c>
      <c r="AI27" s="15">
        <v>11225.0</v>
      </c>
      <c r="AJ27" s="15">
        <v>8224.0</v>
      </c>
    </row>
    <row r="28" ht="15.75" customHeight="1">
      <c r="A28" s="6" t="s">
        <v>70</v>
      </c>
      <c r="B28" s="6" t="s">
        <v>91</v>
      </c>
      <c r="C28" s="6" t="s">
        <v>59</v>
      </c>
      <c r="D28" s="4" t="s">
        <v>31</v>
      </c>
      <c r="E28" s="19">
        <f t="shared" si="2"/>
        <v>9843.1</v>
      </c>
      <c r="F28" s="11">
        <f t="shared" si="3"/>
        <v>0.01081866203</v>
      </c>
      <c r="G28" s="15">
        <f t="shared" si="4"/>
        <v>9365.4</v>
      </c>
      <c r="H28" s="11">
        <f t="shared" si="5"/>
        <v>0.01063650971</v>
      </c>
      <c r="I28" s="15">
        <f t="shared" si="6"/>
        <v>10320.8</v>
      </c>
      <c r="J28" s="20">
        <f t="shared" si="7"/>
        <v>0.0109894369</v>
      </c>
      <c r="K28" s="15">
        <f t="shared" si="8"/>
        <v>12754.66667</v>
      </c>
      <c r="L28" s="11">
        <f t="shared" si="9"/>
        <v>0.01093246523</v>
      </c>
      <c r="M28" s="19">
        <v>6310.0</v>
      </c>
      <c r="N28" s="11">
        <f t="shared" si="10"/>
        <v>0.01071403709</v>
      </c>
      <c r="O28" s="15">
        <v>13035.0</v>
      </c>
      <c r="P28" s="11">
        <f t="shared" si="11"/>
        <v>0.0110594973</v>
      </c>
      <c r="Q28" s="15">
        <v>13218.0</v>
      </c>
      <c r="R28" s="11">
        <f t="shared" si="12"/>
        <v>0.01097164372</v>
      </c>
      <c r="S28" s="17">
        <v>12011.0</v>
      </c>
      <c r="T28" s="29">
        <f t="shared" si="13"/>
        <v>0.01075611619</v>
      </c>
      <c r="U28" s="15">
        <v>9701.0</v>
      </c>
      <c r="V28" s="11">
        <f t="shared" si="14"/>
        <v>0.01024012194</v>
      </c>
      <c r="W28" s="15">
        <v>10501.0</v>
      </c>
      <c r="X28" s="11">
        <f t="shared" si="15"/>
        <v>0.01057976636</v>
      </c>
      <c r="Y28" s="15">
        <v>6532.0</v>
      </c>
      <c r="Z28" s="11">
        <f t="shared" si="16"/>
        <v>0.01110304654</v>
      </c>
      <c r="AA28" s="15">
        <v>6808.0</v>
      </c>
      <c r="AB28" s="11">
        <f t="shared" si="17"/>
        <v>0.01120767284</v>
      </c>
      <c r="AC28" s="15">
        <v>12642.0</v>
      </c>
      <c r="AD28" s="11">
        <f t="shared" si="18"/>
        <v>0.009754900599</v>
      </c>
      <c r="AE28" s="15">
        <v>7673.0</v>
      </c>
      <c r="AF28" s="20">
        <f t="shared" si="19"/>
        <v>0.01328289998</v>
      </c>
      <c r="AG28" s="19">
        <v>12764.0</v>
      </c>
      <c r="AH28" s="15">
        <v>8644.0</v>
      </c>
      <c r="AI28" s="15">
        <v>11021.0</v>
      </c>
      <c r="AJ28" s="15">
        <v>8568.0</v>
      </c>
    </row>
    <row r="29" ht="15.75" customHeight="1">
      <c r="A29" s="6" t="s">
        <v>77</v>
      </c>
      <c r="B29" s="6" t="s">
        <v>32</v>
      </c>
      <c r="C29" s="6" t="s">
        <v>55</v>
      </c>
      <c r="D29" s="4" t="s">
        <v>115</v>
      </c>
      <c r="E29" s="19">
        <f t="shared" si="2"/>
        <v>9298.4</v>
      </c>
      <c r="F29" s="11">
        <f t="shared" si="3"/>
        <v>0.01021997613</v>
      </c>
      <c r="G29" s="15">
        <f t="shared" si="4"/>
        <v>9979.8</v>
      </c>
      <c r="H29" s="11">
        <f t="shared" si="5"/>
        <v>0.01133429855</v>
      </c>
      <c r="I29" s="15">
        <f t="shared" si="6"/>
        <v>8617</v>
      </c>
      <c r="J29" s="20">
        <f t="shared" si="7"/>
        <v>0.00917525558</v>
      </c>
      <c r="K29" s="15">
        <f t="shared" si="8"/>
        <v>11512.66667</v>
      </c>
      <c r="L29" s="11">
        <f t="shared" si="9"/>
        <v>0.00986790414</v>
      </c>
      <c r="M29" s="19">
        <v>6014.0</v>
      </c>
      <c r="N29" s="11">
        <f t="shared" si="10"/>
        <v>0.01021144517</v>
      </c>
      <c r="O29" s="15">
        <v>11756.0</v>
      </c>
      <c r="P29" s="11">
        <f t="shared" si="11"/>
        <v>0.0099743345</v>
      </c>
      <c r="Q29" s="15">
        <v>12048.0</v>
      </c>
      <c r="R29" s="11">
        <f t="shared" si="12"/>
        <v>0.01000048143</v>
      </c>
      <c r="S29" s="17">
        <v>10734.0</v>
      </c>
      <c r="T29" s="29">
        <f t="shared" si="13"/>
        <v>0.009612534444</v>
      </c>
      <c r="U29" s="15">
        <v>11335.0</v>
      </c>
      <c r="V29" s="11">
        <f t="shared" si="14"/>
        <v>0.01196492961</v>
      </c>
      <c r="W29" s="15">
        <v>11212.0</v>
      </c>
      <c r="X29" s="11">
        <f t="shared" si="15"/>
        <v>0.01129609946</v>
      </c>
      <c r="Y29" s="15">
        <v>4029.0</v>
      </c>
      <c r="Z29" s="11">
        <f t="shared" si="16"/>
        <v>0.006848465172</v>
      </c>
      <c r="AA29" s="15">
        <v>4518.0</v>
      </c>
      <c r="AB29" s="11">
        <f t="shared" si="17"/>
        <v>0.007437759387</v>
      </c>
      <c r="AC29" s="15">
        <v>12778.0</v>
      </c>
      <c r="AD29" s="11">
        <f t="shared" si="18"/>
        <v>0.009859841786</v>
      </c>
      <c r="AE29" s="15">
        <v>8560.0</v>
      </c>
      <c r="AF29" s="20">
        <f t="shared" si="19"/>
        <v>0.01481840529</v>
      </c>
      <c r="AG29" s="19">
        <v>11618.0</v>
      </c>
      <c r="AH29" s="15">
        <v>7851.0</v>
      </c>
      <c r="AI29" s="15">
        <v>9831.0</v>
      </c>
      <c r="AJ29" s="15">
        <v>7501.0</v>
      </c>
    </row>
    <row r="30" ht="15.75" customHeight="1">
      <c r="A30" s="6" t="s">
        <v>72</v>
      </c>
      <c r="B30" s="6" t="s">
        <v>32</v>
      </c>
      <c r="C30" s="6" t="s">
        <v>53</v>
      </c>
      <c r="D30" s="4" t="s">
        <v>116</v>
      </c>
      <c r="E30" s="19">
        <f t="shared" si="2"/>
        <v>9261.5</v>
      </c>
      <c r="F30" s="11">
        <f t="shared" si="3"/>
        <v>0.01017941892</v>
      </c>
      <c r="G30" s="15">
        <f t="shared" si="4"/>
        <v>9497.6</v>
      </c>
      <c r="H30" s="11">
        <f t="shared" si="5"/>
        <v>0.01078665243</v>
      </c>
      <c r="I30" s="15">
        <f t="shared" si="6"/>
        <v>9025.4</v>
      </c>
      <c r="J30" s="20">
        <f t="shared" si="7"/>
        <v>0.009610113928</v>
      </c>
      <c r="K30" s="15">
        <f t="shared" si="8"/>
        <v>10838</v>
      </c>
      <c r="L30" s="11">
        <f t="shared" si="9"/>
        <v>0.009289624044</v>
      </c>
      <c r="M30" s="19">
        <v>5366.0</v>
      </c>
      <c r="N30" s="11">
        <f t="shared" si="10"/>
        <v>0.009111176388</v>
      </c>
      <c r="O30" s="15">
        <v>10878.0</v>
      </c>
      <c r="P30" s="11">
        <f t="shared" si="11"/>
        <v>0.009229398664</v>
      </c>
      <c r="Q30" s="15">
        <v>11091.0</v>
      </c>
      <c r="R30" s="11">
        <f t="shared" si="12"/>
        <v>0.009206120481</v>
      </c>
      <c r="S30" s="17">
        <v>10545.0</v>
      </c>
      <c r="T30" s="29">
        <f t="shared" si="13"/>
        <v>0.009443280763</v>
      </c>
      <c r="U30" s="15">
        <v>8079.0</v>
      </c>
      <c r="V30" s="11">
        <f t="shared" si="14"/>
        <v>0.008527981152</v>
      </c>
      <c r="W30" s="15">
        <v>8440.0</v>
      </c>
      <c r="X30" s="11">
        <f t="shared" si="15"/>
        <v>0.008503307122</v>
      </c>
      <c r="Y30" s="15">
        <v>6520.0</v>
      </c>
      <c r="Z30" s="11">
        <f t="shared" si="16"/>
        <v>0.01108264903</v>
      </c>
      <c r="AA30" s="15">
        <v>6093.0</v>
      </c>
      <c r="AB30" s="11">
        <f t="shared" si="17"/>
        <v>0.0100306038</v>
      </c>
      <c r="AC30" s="15">
        <v>16322.0</v>
      </c>
      <c r="AD30" s="11">
        <f t="shared" si="18"/>
        <v>0.01259448565</v>
      </c>
      <c r="AE30" s="15">
        <v>9281.0</v>
      </c>
      <c r="AF30" s="20">
        <f t="shared" si="19"/>
        <v>0.01606654433</v>
      </c>
      <c r="AG30" s="19">
        <v>9758.0</v>
      </c>
      <c r="AH30" s="15">
        <v>6464.0</v>
      </c>
      <c r="AI30" s="15">
        <v>8828.0</v>
      </c>
      <c r="AJ30" s="15">
        <v>7097.0</v>
      </c>
    </row>
    <row r="31" ht="15.75" customHeight="1">
      <c r="A31" s="6" t="s">
        <v>75</v>
      </c>
      <c r="B31" s="6" t="s">
        <v>32</v>
      </c>
      <c r="C31" s="6" t="s">
        <v>53</v>
      </c>
      <c r="D31" s="4" t="s">
        <v>117</v>
      </c>
      <c r="E31" s="19">
        <f t="shared" si="2"/>
        <v>8713.9</v>
      </c>
      <c r="F31" s="11">
        <f t="shared" si="3"/>
        <v>0.009577545597</v>
      </c>
      <c r="G31" s="15">
        <f t="shared" si="4"/>
        <v>8794.4</v>
      </c>
      <c r="H31" s="11">
        <f t="shared" si="5"/>
        <v>0.009988011297</v>
      </c>
      <c r="I31" s="15">
        <f t="shared" si="6"/>
        <v>8633.4</v>
      </c>
      <c r="J31" s="20">
        <f t="shared" si="7"/>
        <v>0.009192718061</v>
      </c>
      <c r="K31" s="15">
        <f t="shared" si="8"/>
        <v>10260.33333</v>
      </c>
      <c r="L31" s="11">
        <f t="shared" si="9"/>
        <v>0.008794485996</v>
      </c>
      <c r="M31" s="19">
        <v>5251.0</v>
      </c>
      <c r="N31" s="11">
        <f t="shared" si="10"/>
        <v>0.008915912637</v>
      </c>
      <c r="O31" s="15">
        <v>10297.0</v>
      </c>
      <c r="P31" s="11">
        <f t="shared" si="11"/>
        <v>0.008736451373</v>
      </c>
      <c r="Q31" s="15">
        <v>10487.0</v>
      </c>
      <c r="R31" s="11">
        <f t="shared" si="12"/>
        <v>0.008704768324</v>
      </c>
      <c r="S31" s="17">
        <v>9997.0</v>
      </c>
      <c r="T31" s="29">
        <f t="shared" si="13"/>
        <v>0.008952534641</v>
      </c>
      <c r="U31" s="15">
        <v>10069.0</v>
      </c>
      <c r="V31" s="11">
        <f t="shared" si="14"/>
        <v>0.01062857312</v>
      </c>
      <c r="W31" s="15">
        <v>10546.0</v>
      </c>
      <c r="X31" s="11">
        <f t="shared" si="15"/>
        <v>0.0106251039</v>
      </c>
      <c r="Y31" s="15">
        <v>6466.0</v>
      </c>
      <c r="Z31" s="11">
        <f t="shared" si="16"/>
        <v>0.01099086021</v>
      </c>
      <c r="AA31" s="15">
        <v>5920.0</v>
      </c>
      <c r="AB31" s="11">
        <f t="shared" si="17"/>
        <v>0.009745802473</v>
      </c>
      <c r="AC31" s="15">
        <v>12796.0</v>
      </c>
      <c r="AD31" s="11">
        <f t="shared" si="18"/>
        <v>0.00987373106</v>
      </c>
      <c r="AE31" s="15">
        <v>5310.0</v>
      </c>
      <c r="AF31" s="20">
        <f t="shared" si="19"/>
        <v>0.009192258422</v>
      </c>
      <c r="AG31" s="19">
        <v>9717.0</v>
      </c>
      <c r="AH31" s="15">
        <v>6353.0</v>
      </c>
      <c r="AI31" s="15">
        <v>8974.0</v>
      </c>
      <c r="AJ31" s="15">
        <v>7190.0</v>
      </c>
    </row>
    <row r="32" ht="15.75" customHeight="1">
      <c r="A32" s="6" t="s">
        <v>68</v>
      </c>
      <c r="B32" s="6" t="s">
        <v>32</v>
      </c>
      <c r="C32" s="6" t="s">
        <v>53</v>
      </c>
      <c r="D32" s="4" t="s">
        <v>118</v>
      </c>
      <c r="E32" s="19">
        <f t="shared" si="2"/>
        <v>8434.2</v>
      </c>
      <c r="F32" s="11">
        <f t="shared" si="3"/>
        <v>0.009270124178</v>
      </c>
      <c r="G32" s="15">
        <f t="shared" si="4"/>
        <v>7877</v>
      </c>
      <c r="H32" s="11">
        <f t="shared" si="5"/>
        <v>0.008946098084</v>
      </c>
      <c r="I32" s="15">
        <f t="shared" si="6"/>
        <v>8991.4</v>
      </c>
      <c r="J32" s="20">
        <f t="shared" si="7"/>
        <v>0.009573911225</v>
      </c>
      <c r="K32" s="15">
        <f t="shared" si="8"/>
        <v>11414.66667</v>
      </c>
      <c r="L32" s="11">
        <f t="shared" si="9"/>
        <v>0.009783904956</v>
      </c>
      <c r="M32" s="19">
        <v>5444.0</v>
      </c>
      <c r="N32" s="11">
        <f t="shared" si="10"/>
        <v>0.009243616149</v>
      </c>
      <c r="O32" s="15">
        <v>11483.0</v>
      </c>
      <c r="P32" s="11">
        <f t="shared" si="11"/>
        <v>0.009742708665</v>
      </c>
      <c r="Q32" s="15">
        <v>11662.0</v>
      </c>
      <c r="R32" s="11">
        <f t="shared" si="12"/>
        <v>0.00968008088</v>
      </c>
      <c r="S32" s="17">
        <v>11099.0</v>
      </c>
      <c r="T32" s="29">
        <f t="shared" si="13"/>
        <v>0.009939400018</v>
      </c>
      <c r="U32" s="15">
        <v>8476.0</v>
      </c>
      <c r="V32" s="11">
        <f t="shared" si="14"/>
        <v>0.008947043971</v>
      </c>
      <c r="W32" s="15">
        <v>9064.0</v>
      </c>
      <c r="X32" s="11">
        <f t="shared" si="15"/>
        <v>0.009131987648</v>
      </c>
      <c r="Y32" s="15">
        <v>5621.0</v>
      </c>
      <c r="Z32" s="11">
        <f t="shared" si="16"/>
        <v>0.009554535302</v>
      </c>
      <c r="AA32" s="15">
        <v>5092.0</v>
      </c>
      <c r="AB32" s="11">
        <f t="shared" si="17"/>
        <v>0.008382707127</v>
      </c>
      <c r="AC32" s="15">
        <v>11421.0</v>
      </c>
      <c r="AD32" s="11">
        <f t="shared" si="18"/>
        <v>0.008812744798</v>
      </c>
      <c r="AE32" s="15">
        <v>4980.0</v>
      </c>
      <c r="AF32" s="20">
        <f t="shared" si="19"/>
        <v>0.008620988125</v>
      </c>
      <c r="AG32" s="19">
        <v>11319.0</v>
      </c>
      <c r="AH32" s="15">
        <v>7489.0</v>
      </c>
      <c r="AI32" s="15">
        <v>10248.0</v>
      </c>
      <c r="AJ32" s="15">
        <v>8696.0</v>
      </c>
    </row>
    <row r="33" ht="15.75" customHeight="1">
      <c r="A33" s="6" t="s">
        <v>77</v>
      </c>
      <c r="B33" s="6" t="s">
        <v>32</v>
      </c>
      <c r="C33" s="6" t="s">
        <v>55</v>
      </c>
      <c r="D33" s="4" t="s">
        <v>119</v>
      </c>
      <c r="E33" s="19">
        <f t="shared" si="2"/>
        <v>8354.4</v>
      </c>
      <c r="F33" s="11">
        <f t="shared" si="3"/>
        <v>0.009182415099</v>
      </c>
      <c r="G33" s="15">
        <f t="shared" si="4"/>
        <v>8851</v>
      </c>
      <c r="H33" s="11">
        <f t="shared" si="5"/>
        <v>0.01005229328</v>
      </c>
      <c r="I33" s="15">
        <f t="shared" si="6"/>
        <v>7857.8</v>
      </c>
      <c r="J33" s="20">
        <f t="shared" si="7"/>
        <v>0.008366870523</v>
      </c>
      <c r="K33" s="15">
        <f t="shared" si="8"/>
        <v>10909.66667</v>
      </c>
      <c r="L33" s="11">
        <f t="shared" si="9"/>
        <v>0.009351052018</v>
      </c>
      <c r="M33" s="19">
        <v>8273.0</v>
      </c>
      <c r="N33" s="11">
        <f t="shared" si="10"/>
        <v>0.01404710441</v>
      </c>
      <c r="O33" s="15">
        <v>11128.0</v>
      </c>
      <c r="P33" s="11">
        <f t="shared" si="11"/>
        <v>0.009441510234</v>
      </c>
      <c r="Q33" s="15">
        <v>11311.0</v>
      </c>
      <c r="R33" s="11">
        <f t="shared" si="12"/>
        <v>0.009388732193</v>
      </c>
      <c r="S33" s="17">
        <v>10290.0</v>
      </c>
      <c r="T33" s="29">
        <f t="shared" si="13"/>
        <v>0.009214922622</v>
      </c>
      <c r="U33" s="15">
        <v>9604.0</v>
      </c>
      <c r="V33" s="11">
        <f t="shared" si="14"/>
        <v>0.01013773128</v>
      </c>
      <c r="W33" s="15">
        <v>10092.0</v>
      </c>
      <c r="X33" s="11">
        <f t="shared" si="15"/>
        <v>0.01016769852</v>
      </c>
      <c r="Y33" s="15">
        <v>2816.0</v>
      </c>
      <c r="Z33" s="11">
        <f t="shared" si="16"/>
        <v>0.004786616511</v>
      </c>
      <c r="AA33" s="15">
        <v>3744.0</v>
      </c>
      <c r="AB33" s="11">
        <f t="shared" si="17"/>
        <v>0.006163561564</v>
      </c>
      <c r="AC33" s="15">
        <v>11115.0</v>
      </c>
      <c r="AD33" s="11">
        <f t="shared" si="18"/>
        <v>0.008576627129</v>
      </c>
      <c r="AE33" s="15">
        <v>5171.0</v>
      </c>
      <c r="AF33" s="20">
        <f t="shared" si="19"/>
        <v>0.008951632448</v>
      </c>
      <c r="AG33" s="19">
        <v>8708.0</v>
      </c>
      <c r="AH33" s="15">
        <v>6144.0</v>
      </c>
      <c r="AI33" s="15">
        <v>7709.0</v>
      </c>
      <c r="AJ33" s="15">
        <v>5908.0</v>
      </c>
    </row>
    <row r="34" ht="15.75" customHeight="1">
      <c r="A34" s="6" t="s">
        <v>68</v>
      </c>
      <c r="B34" s="6" t="s">
        <v>32</v>
      </c>
      <c r="C34" s="6" t="s">
        <v>53</v>
      </c>
      <c r="D34" s="4" t="s">
        <v>120</v>
      </c>
      <c r="E34" s="19">
        <f t="shared" si="2"/>
        <v>7887.5</v>
      </c>
      <c r="F34" s="11">
        <f t="shared" si="3"/>
        <v>0.008669240052</v>
      </c>
      <c r="G34" s="15">
        <f t="shared" si="4"/>
        <v>7347.6</v>
      </c>
      <c r="H34" s="11">
        <f t="shared" si="5"/>
        <v>0.008344845789</v>
      </c>
      <c r="I34" s="15">
        <f t="shared" si="6"/>
        <v>8427.4</v>
      </c>
      <c r="J34" s="20">
        <f t="shared" si="7"/>
        <v>0.008973372273</v>
      </c>
      <c r="K34" s="15">
        <f t="shared" si="8"/>
        <v>10263.33333</v>
      </c>
      <c r="L34" s="11">
        <f t="shared" si="9"/>
        <v>0.0087970574</v>
      </c>
      <c r="M34" s="19">
        <v>4473.0</v>
      </c>
      <c r="N34" s="11">
        <f t="shared" si="10"/>
        <v>0.007594910917</v>
      </c>
      <c r="O34" s="15">
        <v>10436.0</v>
      </c>
      <c r="P34" s="11">
        <f t="shared" si="11"/>
        <v>0.008854385407</v>
      </c>
      <c r="Q34" s="15">
        <v>10615.0</v>
      </c>
      <c r="R34" s="11">
        <f t="shared" si="12"/>
        <v>0.008811015139</v>
      </c>
      <c r="S34" s="17">
        <v>9739.0</v>
      </c>
      <c r="T34" s="29">
        <f t="shared" si="13"/>
        <v>0.008721489934</v>
      </c>
      <c r="U34" s="15">
        <v>8178.0</v>
      </c>
      <c r="V34" s="11">
        <f t="shared" si="14"/>
        <v>0.008632482963</v>
      </c>
      <c r="W34" s="15">
        <v>8816.0</v>
      </c>
      <c r="X34" s="11">
        <f t="shared" si="15"/>
        <v>0.008882127439</v>
      </c>
      <c r="Y34" s="15">
        <v>5678.0</v>
      </c>
      <c r="Z34" s="11">
        <f t="shared" si="16"/>
        <v>0.009651423491</v>
      </c>
      <c r="AA34" s="15">
        <v>5669.0</v>
      </c>
      <c r="AB34" s="11">
        <f t="shared" si="17"/>
        <v>0.009332593618</v>
      </c>
      <c r="AC34" s="15">
        <v>9161.0</v>
      </c>
      <c r="AD34" s="11">
        <f t="shared" si="18"/>
        <v>0.007068869197</v>
      </c>
      <c r="AE34" s="15">
        <v>6110.0</v>
      </c>
      <c r="AF34" s="20">
        <f t="shared" si="19"/>
        <v>0.01057715611</v>
      </c>
      <c r="AG34" s="19">
        <v>10350.0</v>
      </c>
      <c r="AH34" s="15">
        <v>6411.0</v>
      </c>
      <c r="AI34" s="15">
        <v>9146.0</v>
      </c>
      <c r="AJ34" s="15">
        <v>7303.0</v>
      </c>
    </row>
    <row r="35" ht="15.75" customHeight="1">
      <c r="A35" s="6" t="s">
        <v>77</v>
      </c>
      <c r="B35" s="6" t="s">
        <v>32</v>
      </c>
      <c r="C35" s="6" t="s">
        <v>55</v>
      </c>
      <c r="D35" s="4" t="s">
        <v>121</v>
      </c>
      <c r="E35" s="19">
        <f t="shared" si="2"/>
        <v>7701.7</v>
      </c>
      <c r="F35" s="11">
        <f t="shared" si="3"/>
        <v>0.008465025181</v>
      </c>
      <c r="G35" s="15">
        <f t="shared" si="4"/>
        <v>8391.8</v>
      </c>
      <c r="H35" s="11">
        <f t="shared" si="5"/>
        <v>0.009530768808</v>
      </c>
      <c r="I35" s="15">
        <f t="shared" si="6"/>
        <v>7011.6</v>
      </c>
      <c r="J35" s="20">
        <f t="shared" si="7"/>
        <v>0.007465849139</v>
      </c>
      <c r="K35" s="15">
        <f t="shared" si="8"/>
        <v>9488.333333</v>
      </c>
      <c r="L35" s="11">
        <f t="shared" si="9"/>
        <v>0.008132778139</v>
      </c>
      <c r="M35" s="19">
        <v>5627.0</v>
      </c>
      <c r="N35" s="11">
        <f t="shared" si="10"/>
        <v>0.009554340204</v>
      </c>
      <c r="O35" s="15">
        <v>9703.0</v>
      </c>
      <c r="P35" s="11">
        <f t="shared" si="11"/>
        <v>0.008232474281</v>
      </c>
      <c r="Q35" s="15">
        <v>9882.0</v>
      </c>
      <c r="R35" s="11">
        <f t="shared" si="12"/>
        <v>0.008202586114</v>
      </c>
      <c r="S35" s="17">
        <v>8880.0</v>
      </c>
      <c r="T35" s="29">
        <f t="shared" si="13"/>
        <v>0.007952236432</v>
      </c>
      <c r="U35" s="15">
        <v>10439.0</v>
      </c>
      <c r="V35" s="11">
        <f t="shared" si="14"/>
        <v>0.01101913544</v>
      </c>
      <c r="W35" s="15">
        <v>10178.0</v>
      </c>
      <c r="X35" s="11">
        <f t="shared" si="15"/>
        <v>0.01025434359</v>
      </c>
      <c r="Y35" s="15">
        <v>2831.0</v>
      </c>
      <c r="Z35" s="11">
        <f t="shared" si="16"/>
        <v>0.004812113403</v>
      </c>
      <c r="AA35" s="15">
        <v>3762.0</v>
      </c>
      <c r="AB35" s="11">
        <f t="shared" si="17"/>
        <v>0.006193194072</v>
      </c>
      <c r="AC35" s="15">
        <v>9989.0</v>
      </c>
      <c r="AD35" s="11">
        <f t="shared" si="18"/>
        <v>0.007707775833</v>
      </c>
      <c r="AE35" s="15">
        <v>5726.0</v>
      </c>
      <c r="AF35" s="20">
        <f t="shared" si="19"/>
        <v>0.009912405221</v>
      </c>
      <c r="AG35" s="19">
        <v>9509.0</v>
      </c>
      <c r="AH35" s="15">
        <v>6453.0</v>
      </c>
      <c r="AI35" s="15">
        <v>8044.0</v>
      </c>
      <c r="AJ35" s="15">
        <v>6048.0</v>
      </c>
    </row>
    <row r="36" ht="15.75" customHeight="1">
      <c r="A36" s="6" t="s">
        <v>78</v>
      </c>
      <c r="B36" s="6" t="s">
        <v>32</v>
      </c>
      <c r="C36" s="6" t="s">
        <v>62</v>
      </c>
      <c r="D36" s="4" t="s">
        <v>122</v>
      </c>
      <c r="E36" s="19">
        <f t="shared" si="2"/>
        <v>7541.2</v>
      </c>
      <c r="F36" s="11">
        <f t="shared" si="3"/>
        <v>0.008288617824</v>
      </c>
      <c r="G36" s="15">
        <f t="shared" si="4"/>
        <v>6895.4</v>
      </c>
      <c r="H36" s="11">
        <f t="shared" si="5"/>
        <v>0.007831271389</v>
      </c>
      <c r="I36" s="15">
        <f t="shared" si="6"/>
        <v>8187</v>
      </c>
      <c r="J36" s="20">
        <f t="shared" si="7"/>
        <v>0.008717397869</v>
      </c>
      <c r="K36" s="15">
        <f t="shared" si="8"/>
        <v>10443</v>
      </c>
      <c r="L36" s="11">
        <f t="shared" si="9"/>
        <v>0.008951055904</v>
      </c>
      <c r="M36" s="19">
        <v>5086.0</v>
      </c>
      <c r="N36" s="11">
        <f t="shared" si="10"/>
        <v>0.008635751604</v>
      </c>
      <c r="O36" s="15">
        <v>10660.0</v>
      </c>
      <c r="P36" s="11">
        <f t="shared" si="11"/>
        <v>0.009044437374</v>
      </c>
      <c r="Q36" s="15">
        <v>10778.0</v>
      </c>
      <c r="R36" s="11">
        <f t="shared" si="12"/>
        <v>0.008946313817</v>
      </c>
      <c r="S36" s="17">
        <v>9891.0</v>
      </c>
      <c r="T36" s="29">
        <f t="shared" si="13"/>
        <v>0.008857609296</v>
      </c>
      <c r="U36" s="15">
        <v>7080.0</v>
      </c>
      <c r="V36" s="11">
        <f t="shared" si="14"/>
        <v>0.007473462873</v>
      </c>
      <c r="W36" s="15">
        <v>7280.0</v>
      </c>
      <c r="X36" s="11">
        <f t="shared" si="15"/>
        <v>0.007334606143</v>
      </c>
      <c r="Y36" s="15">
        <v>4208.0</v>
      </c>
      <c r="Z36" s="11">
        <f t="shared" si="16"/>
        <v>0.007152728082</v>
      </c>
      <c r="AA36" s="15">
        <v>5398.0</v>
      </c>
      <c r="AB36" s="11">
        <f t="shared" si="17"/>
        <v>0.008886459755</v>
      </c>
      <c r="AC36" s="15">
        <v>12052.0</v>
      </c>
      <c r="AD36" s="11">
        <f t="shared" si="18"/>
        <v>0.009299641039</v>
      </c>
      <c r="AE36" s="15">
        <v>2979.0</v>
      </c>
      <c r="AF36" s="20">
        <f t="shared" si="19"/>
        <v>0.005157012776</v>
      </c>
      <c r="AG36" s="19">
        <v>10239.0</v>
      </c>
      <c r="AH36" s="15">
        <v>6909.0</v>
      </c>
      <c r="AI36" s="15">
        <v>9054.0</v>
      </c>
      <c r="AJ36" s="15">
        <v>6985.0</v>
      </c>
    </row>
    <row r="37" ht="15.75" customHeight="1">
      <c r="A37" s="6" t="s">
        <v>76</v>
      </c>
      <c r="B37" s="6" t="s">
        <v>32</v>
      </c>
      <c r="C37" s="6" t="s">
        <v>53</v>
      </c>
      <c r="D37" s="4" t="s">
        <v>123</v>
      </c>
      <c r="E37" s="19">
        <f t="shared" si="2"/>
        <v>7401.3</v>
      </c>
      <c r="F37" s="11">
        <f t="shared" si="3"/>
        <v>0.008134852159</v>
      </c>
      <c r="G37" s="15">
        <f t="shared" si="4"/>
        <v>7561.6</v>
      </c>
      <c r="H37" s="11">
        <f t="shared" si="5"/>
        <v>0.008587890729</v>
      </c>
      <c r="I37" s="15">
        <f t="shared" si="6"/>
        <v>7241</v>
      </c>
      <c r="J37" s="20">
        <f t="shared" si="7"/>
        <v>0.007710110904</v>
      </c>
      <c r="K37" s="15">
        <f t="shared" si="8"/>
        <v>8942</v>
      </c>
      <c r="L37" s="11">
        <f t="shared" si="9"/>
        <v>0.007664496973</v>
      </c>
      <c r="M37" s="19">
        <v>4845.0</v>
      </c>
      <c r="N37" s="11">
        <f t="shared" si="10"/>
        <v>0.008226546701</v>
      </c>
      <c r="O37" s="15">
        <v>8995.0</v>
      </c>
      <c r="P37" s="11">
        <f t="shared" si="11"/>
        <v>0.007631774313</v>
      </c>
      <c r="Q37" s="15">
        <v>9123.0</v>
      </c>
      <c r="R37" s="11">
        <f t="shared" si="12"/>
        <v>0.007572575705</v>
      </c>
      <c r="S37" s="17">
        <v>8708.0</v>
      </c>
      <c r="T37" s="29">
        <f t="shared" si="13"/>
        <v>0.007798206627</v>
      </c>
      <c r="U37" s="15">
        <v>9012.0</v>
      </c>
      <c r="V37" s="11">
        <f t="shared" si="14"/>
        <v>0.009512831556</v>
      </c>
      <c r="W37" s="15">
        <v>9376.0</v>
      </c>
      <c r="X37" s="11">
        <f t="shared" si="15"/>
        <v>0.009446327911</v>
      </c>
      <c r="Y37" s="15">
        <v>4706.0</v>
      </c>
      <c r="Z37" s="11">
        <f t="shared" si="16"/>
        <v>0.007999224894</v>
      </c>
      <c r="AA37" s="15">
        <v>4673.0</v>
      </c>
      <c r="AB37" s="11">
        <f t="shared" si="17"/>
        <v>0.007692928202</v>
      </c>
      <c r="AC37" s="15">
        <v>7885.0</v>
      </c>
      <c r="AD37" s="11">
        <f t="shared" si="18"/>
        <v>0.006084273946</v>
      </c>
      <c r="AE37" s="15">
        <v>6690.0</v>
      </c>
      <c r="AF37" s="20">
        <f t="shared" si="19"/>
        <v>0.01158120694</v>
      </c>
      <c r="AG37" s="19">
        <v>8963.0</v>
      </c>
      <c r="AH37" s="15">
        <v>5887.0</v>
      </c>
      <c r="AI37" s="15">
        <v>7716.0</v>
      </c>
      <c r="AJ37" s="15">
        <v>6096.0</v>
      </c>
    </row>
    <row r="38" ht="15.75" customHeight="1">
      <c r="A38" s="6" t="s">
        <v>72</v>
      </c>
      <c r="B38" s="6" t="s">
        <v>32</v>
      </c>
      <c r="C38" s="6" t="s">
        <v>53</v>
      </c>
      <c r="D38" s="4" t="s">
        <v>124</v>
      </c>
      <c r="E38" s="19">
        <f t="shared" si="2"/>
        <v>7337.6</v>
      </c>
      <c r="F38" s="11">
        <f t="shared" si="3"/>
        <v>0.008064838771</v>
      </c>
      <c r="G38" s="15">
        <f t="shared" si="4"/>
        <v>7207</v>
      </c>
      <c r="H38" s="11">
        <f t="shared" si="5"/>
        <v>0.008185162992</v>
      </c>
      <c r="I38" s="15">
        <f t="shared" si="6"/>
        <v>7468.2</v>
      </c>
      <c r="J38" s="20">
        <f t="shared" si="7"/>
        <v>0.007952030141</v>
      </c>
      <c r="K38" s="15">
        <f t="shared" si="8"/>
        <v>8858.666667</v>
      </c>
      <c r="L38" s="11">
        <f t="shared" si="9"/>
        <v>0.007593069096</v>
      </c>
      <c r="M38" s="19">
        <v>5110.0</v>
      </c>
      <c r="N38" s="11">
        <f t="shared" si="10"/>
        <v>0.0086765023</v>
      </c>
      <c r="O38" s="15">
        <v>8898.0</v>
      </c>
      <c r="P38" s="11">
        <f t="shared" si="11"/>
        <v>0.007549475024</v>
      </c>
      <c r="Q38" s="15">
        <v>9041.0</v>
      </c>
      <c r="R38" s="11">
        <f t="shared" si="12"/>
        <v>0.007504511339</v>
      </c>
      <c r="S38" s="17">
        <v>8637.0</v>
      </c>
      <c r="T38" s="29">
        <f t="shared" si="13"/>
        <v>0.007734624557</v>
      </c>
      <c r="U38" s="15">
        <v>7096.0</v>
      </c>
      <c r="V38" s="11">
        <f t="shared" si="14"/>
        <v>0.007490352055</v>
      </c>
      <c r="W38" s="15">
        <v>7696.0</v>
      </c>
      <c r="X38" s="11">
        <f t="shared" si="15"/>
        <v>0.007753726494</v>
      </c>
      <c r="Y38" s="15">
        <v>5043.0</v>
      </c>
      <c r="Z38" s="11">
        <f t="shared" si="16"/>
        <v>0.008572055066</v>
      </c>
      <c r="AA38" s="15">
        <v>5722.0</v>
      </c>
      <c r="AB38" s="11">
        <f t="shared" si="17"/>
        <v>0.00941984489</v>
      </c>
      <c r="AC38" s="15">
        <v>9964.0</v>
      </c>
      <c r="AD38" s="11">
        <f t="shared" si="18"/>
        <v>0.007688485174</v>
      </c>
      <c r="AE38" s="15">
        <v>6169.0</v>
      </c>
      <c r="AF38" s="20">
        <f t="shared" si="19"/>
        <v>0.01067929232</v>
      </c>
      <c r="AG38" s="19">
        <v>8612.0</v>
      </c>
      <c r="AH38" s="15">
        <v>5714.0</v>
      </c>
      <c r="AI38" s="15">
        <v>7693.0</v>
      </c>
      <c r="AJ38" s="15">
        <v>5909.0</v>
      </c>
    </row>
    <row r="39" ht="15.75" customHeight="1">
      <c r="A39" s="6" t="s">
        <v>78</v>
      </c>
      <c r="B39" s="6" t="s">
        <v>32</v>
      </c>
      <c r="C39" s="6" t="s">
        <v>61</v>
      </c>
      <c r="D39" s="4" t="s">
        <v>125</v>
      </c>
      <c r="E39" s="19">
        <f t="shared" si="2"/>
        <v>7318.2</v>
      </c>
      <c r="F39" s="11">
        <f t="shared" si="3"/>
        <v>0.008043516013</v>
      </c>
      <c r="G39" s="15">
        <f t="shared" si="4"/>
        <v>7607</v>
      </c>
      <c r="H39" s="11">
        <f t="shared" si="5"/>
        <v>0.008639452599</v>
      </c>
      <c r="I39" s="15">
        <f t="shared" si="6"/>
        <v>7029.4</v>
      </c>
      <c r="J39" s="20">
        <f t="shared" si="7"/>
        <v>0.007484802318</v>
      </c>
      <c r="K39" s="15">
        <f t="shared" si="8"/>
        <v>8861</v>
      </c>
      <c r="L39" s="11">
        <f t="shared" si="9"/>
        <v>0.007595069076</v>
      </c>
      <c r="M39" s="19">
        <v>3903.0</v>
      </c>
      <c r="N39" s="11">
        <f t="shared" si="10"/>
        <v>0.006627081894</v>
      </c>
      <c r="O39" s="15">
        <v>8985.0</v>
      </c>
      <c r="P39" s="11">
        <f t="shared" si="11"/>
        <v>0.00762328985</v>
      </c>
      <c r="Q39" s="15">
        <v>9105.0</v>
      </c>
      <c r="R39" s="11">
        <f t="shared" si="12"/>
        <v>0.007557634747</v>
      </c>
      <c r="S39" s="17">
        <v>8493.0</v>
      </c>
      <c r="T39" s="29">
        <f t="shared" si="13"/>
        <v>0.007605669371</v>
      </c>
      <c r="U39" s="15">
        <v>8846.0</v>
      </c>
      <c r="V39" s="11">
        <f t="shared" si="14"/>
        <v>0.009337606296</v>
      </c>
      <c r="W39" s="15">
        <v>8951.0</v>
      </c>
      <c r="X39" s="11">
        <f t="shared" si="15"/>
        <v>0.009018140053</v>
      </c>
      <c r="Y39" s="15">
        <v>3878.0</v>
      </c>
      <c r="Z39" s="11">
        <f t="shared" si="16"/>
        <v>0.00659179646</v>
      </c>
      <c r="AA39" s="15">
        <v>4686.0</v>
      </c>
      <c r="AB39" s="11">
        <f t="shared" si="17"/>
        <v>0.007714329458</v>
      </c>
      <c r="AC39" s="15">
        <v>8253.0</v>
      </c>
      <c r="AD39" s="11">
        <f t="shared" si="18"/>
        <v>0.006368232451</v>
      </c>
      <c r="AE39" s="15">
        <v>8082.0</v>
      </c>
      <c r="AF39" s="20">
        <f t="shared" si="19"/>
        <v>0.01399092892</v>
      </c>
      <c r="AG39" s="19">
        <v>8888.0</v>
      </c>
      <c r="AH39" s="15">
        <v>6007.0</v>
      </c>
      <c r="AI39" s="15">
        <v>7755.0</v>
      </c>
      <c r="AJ39" s="15">
        <v>6066.0</v>
      </c>
    </row>
    <row r="40" ht="15.75" customHeight="1">
      <c r="A40" s="6" t="s">
        <v>70</v>
      </c>
      <c r="B40" s="6" t="s">
        <v>32</v>
      </c>
      <c r="C40" s="6" t="s">
        <v>61</v>
      </c>
      <c r="D40" s="4" t="s">
        <v>126</v>
      </c>
      <c r="E40" s="19">
        <f t="shared" si="2"/>
        <v>6966.2</v>
      </c>
      <c r="F40" s="11">
        <f t="shared" si="3"/>
        <v>0.00765662885</v>
      </c>
      <c r="G40" s="15">
        <f t="shared" si="4"/>
        <v>6847</v>
      </c>
      <c r="H40" s="11">
        <f t="shared" si="5"/>
        <v>0.007776302346</v>
      </c>
      <c r="I40" s="15">
        <f t="shared" si="6"/>
        <v>7085.4</v>
      </c>
      <c r="J40" s="20">
        <f t="shared" si="7"/>
        <v>0.007544430299</v>
      </c>
      <c r="K40" s="15">
        <f t="shared" si="8"/>
        <v>9332</v>
      </c>
      <c r="L40" s="11">
        <f t="shared" si="9"/>
        <v>0.00799877944</v>
      </c>
      <c r="M40" s="19">
        <v>4890.0</v>
      </c>
      <c r="N40" s="11">
        <f t="shared" si="10"/>
        <v>0.008302954256</v>
      </c>
      <c r="O40" s="15">
        <v>9433.0</v>
      </c>
      <c r="P40" s="11">
        <f t="shared" si="11"/>
        <v>0.008003393785</v>
      </c>
      <c r="Q40" s="15">
        <v>9582.0</v>
      </c>
      <c r="R40" s="11">
        <f t="shared" si="12"/>
        <v>0.007953570142</v>
      </c>
      <c r="S40" s="17">
        <v>8981.0</v>
      </c>
      <c r="T40" s="29">
        <f t="shared" si="13"/>
        <v>0.008042684166</v>
      </c>
      <c r="U40" s="15">
        <v>8411.0</v>
      </c>
      <c r="V40" s="11">
        <f t="shared" si="14"/>
        <v>0.008878431671</v>
      </c>
      <c r="W40" s="15">
        <v>8494.0</v>
      </c>
      <c r="X40" s="11">
        <f t="shared" si="15"/>
        <v>0.008557712167</v>
      </c>
      <c r="Y40" s="15">
        <v>3531.0</v>
      </c>
      <c r="Z40" s="11">
        <f t="shared" si="16"/>
        <v>0.00600196836</v>
      </c>
      <c r="AA40" s="15">
        <v>3900.0</v>
      </c>
      <c r="AB40" s="11">
        <f t="shared" si="17"/>
        <v>0.006420376629</v>
      </c>
      <c r="AC40" s="15">
        <v>9282.0</v>
      </c>
      <c r="AD40" s="11">
        <f t="shared" si="18"/>
        <v>0.007162235988</v>
      </c>
      <c r="AE40" s="15">
        <v>3158.0</v>
      </c>
      <c r="AF40" s="20">
        <f t="shared" si="19"/>
        <v>0.005466883634</v>
      </c>
      <c r="AG40" s="19">
        <v>9172.0</v>
      </c>
      <c r="AH40" s="15">
        <v>6076.0</v>
      </c>
      <c r="AI40" s="15">
        <v>7794.0</v>
      </c>
      <c r="AJ40" s="15">
        <v>6208.0</v>
      </c>
    </row>
    <row r="41" ht="15.75" customHeight="1">
      <c r="A41" s="6" t="s">
        <v>75</v>
      </c>
      <c r="B41" s="6" t="s">
        <v>32</v>
      </c>
      <c r="C41" s="6" t="s">
        <v>53</v>
      </c>
      <c r="D41" s="4" t="s">
        <v>127</v>
      </c>
      <c r="E41" s="19">
        <f t="shared" si="2"/>
        <v>6951.6</v>
      </c>
      <c r="F41" s="11">
        <f t="shared" si="3"/>
        <v>0.007640581826</v>
      </c>
      <c r="G41" s="15">
        <f t="shared" si="4"/>
        <v>7631</v>
      </c>
      <c r="H41" s="11">
        <f t="shared" si="5"/>
        <v>0.008666709976</v>
      </c>
      <c r="I41" s="15">
        <f t="shared" si="6"/>
        <v>6272.2</v>
      </c>
      <c r="J41" s="20">
        <f t="shared" si="7"/>
        <v>0.006678546832</v>
      </c>
      <c r="K41" s="15">
        <f t="shared" si="8"/>
        <v>7704</v>
      </c>
      <c r="L41" s="11">
        <f t="shared" si="9"/>
        <v>0.006603364424</v>
      </c>
      <c r="M41" s="19">
        <v>4458.0</v>
      </c>
      <c r="N41" s="11">
        <f t="shared" si="10"/>
        <v>0.007569441732</v>
      </c>
      <c r="O41" s="15">
        <v>7776.0</v>
      </c>
      <c r="P41" s="11">
        <f t="shared" si="11"/>
        <v>0.006597518295</v>
      </c>
      <c r="Q41" s="15">
        <v>7902.0</v>
      </c>
      <c r="R41" s="11">
        <f t="shared" si="12"/>
        <v>0.006559080699</v>
      </c>
      <c r="S41" s="17">
        <v>7434.0</v>
      </c>
      <c r="T41" s="29">
        <f t="shared" si="13"/>
        <v>0.006657311446</v>
      </c>
      <c r="U41" s="15">
        <v>8652.0</v>
      </c>
      <c r="V41" s="11">
        <f t="shared" si="14"/>
        <v>0.009132824969</v>
      </c>
      <c r="W41" s="15">
        <v>9060.0</v>
      </c>
      <c r="X41" s="11">
        <f t="shared" si="15"/>
        <v>0.009127957645</v>
      </c>
      <c r="Y41" s="15">
        <v>3899.0</v>
      </c>
      <c r="Z41" s="11">
        <f t="shared" si="16"/>
        <v>0.006627492109</v>
      </c>
      <c r="AA41" s="15">
        <v>4350.0</v>
      </c>
      <c r="AB41" s="11">
        <f t="shared" si="17"/>
        <v>0.007161189317</v>
      </c>
      <c r="AC41" s="15">
        <v>9580.0</v>
      </c>
      <c r="AD41" s="11">
        <f t="shared" si="18"/>
        <v>0.007392180647</v>
      </c>
      <c r="AE41" s="15">
        <v>6405.0</v>
      </c>
      <c r="AF41" s="20">
        <f t="shared" si="19"/>
        <v>0.01108783714</v>
      </c>
      <c r="AG41" s="19">
        <v>7465.0</v>
      </c>
      <c r="AH41" s="15">
        <v>5032.0</v>
      </c>
      <c r="AI41" s="15">
        <v>6733.0</v>
      </c>
      <c r="AJ41" s="15">
        <v>5374.0</v>
      </c>
    </row>
    <row r="42" ht="15.75" customHeight="1">
      <c r="A42" s="6" t="s">
        <v>77</v>
      </c>
      <c r="B42" s="6" t="s">
        <v>32</v>
      </c>
      <c r="C42" s="6" t="s">
        <v>53</v>
      </c>
      <c r="D42" s="4" t="s">
        <v>128</v>
      </c>
      <c r="E42" s="19">
        <f t="shared" si="2"/>
        <v>6813.2</v>
      </c>
      <c r="F42" s="11">
        <f t="shared" si="3"/>
        <v>0.007488464827</v>
      </c>
      <c r="G42" s="15">
        <f t="shared" si="4"/>
        <v>6883.6</v>
      </c>
      <c r="H42" s="11">
        <f t="shared" si="5"/>
        <v>0.007817869845</v>
      </c>
      <c r="I42" s="15">
        <f t="shared" si="6"/>
        <v>6742.8</v>
      </c>
      <c r="J42" s="20">
        <f t="shared" si="7"/>
        <v>0.00717963483</v>
      </c>
      <c r="K42" s="15">
        <f t="shared" si="8"/>
        <v>8775.333333</v>
      </c>
      <c r="L42" s="11">
        <f t="shared" si="9"/>
        <v>0.007521641218</v>
      </c>
      <c r="M42" s="19">
        <v>5064.0</v>
      </c>
      <c r="N42" s="11">
        <f t="shared" si="10"/>
        <v>0.0085983968</v>
      </c>
      <c r="O42" s="15">
        <v>8862.0</v>
      </c>
      <c r="P42" s="11">
        <f t="shared" si="11"/>
        <v>0.007518930958</v>
      </c>
      <c r="Q42" s="15">
        <v>9073.0</v>
      </c>
      <c r="R42" s="11">
        <f t="shared" si="12"/>
        <v>0.007531073043</v>
      </c>
      <c r="S42" s="17">
        <v>8391.0</v>
      </c>
      <c r="T42" s="29">
        <f t="shared" si="13"/>
        <v>0.007514326115</v>
      </c>
      <c r="U42" s="15">
        <v>7735.0</v>
      </c>
      <c r="V42" s="11">
        <f t="shared" si="14"/>
        <v>0.008164863747</v>
      </c>
      <c r="W42" s="15">
        <v>7838.0</v>
      </c>
      <c r="X42" s="11">
        <f t="shared" si="15"/>
        <v>0.007896791614</v>
      </c>
      <c r="Y42" s="15">
        <v>3556.0</v>
      </c>
      <c r="Z42" s="11">
        <f t="shared" si="16"/>
        <v>0.00604446318</v>
      </c>
      <c r="AA42" s="15">
        <v>3832.0</v>
      </c>
      <c r="AB42" s="11">
        <f t="shared" si="17"/>
        <v>0.006308431601</v>
      </c>
      <c r="AC42" s="15">
        <v>8598.0</v>
      </c>
      <c r="AD42" s="11">
        <f t="shared" si="18"/>
        <v>0.006634443549</v>
      </c>
      <c r="AE42" s="15">
        <v>5183.0</v>
      </c>
      <c r="AF42" s="20">
        <f t="shared" si="19"/>
        <v>0.008972405914</v>
      </c>
      <c r="AG42" s="19">
        <v>8816.0</v>
      </c>
      <c r="AH42" s="15">
        <v>5887.0</v>
      </c>
      <c r="AI42" s="15">
        <v>7514.0</v>
      </c>
      <c r="AJ42" s="15">
        <v>6115.0</v>
      </c>
    </row>
    <row r="43" ht="15.75" customHeight="1">
      <c r="A43" s="6" t="s">
        <v>68</v>
      </c>
      <c r="B43" s="6" t="s">
        <v>32</v>
      </c>
      <c r="C43" s="6" t="s">
        <v>53</v>
      </c>
      <c r="D43" s="4" t="s">
        <v>129</v>
      </c>
      <c r="E43" s="19">
        <f t="shared" si="2"/>
        <v>6054.5</v>
      </c>
      <c r="F43" s="11">
        <f t="shared" si="3"/>
        <v>0.006654569115</v>
      </c>
      <c r="G43" s="15">
        <f t="shared" si="4"/>
        <v>4904.8</v>
      </c>
      <c r="H43" s="11">
        <f t="shared" si="5"/>
        <v>0.00557049916</v>
      </c>
      <c r="I43" s="15">
        <f t="shared" si="6"/>
        <v>7204.2</v>
      </c>
      <c r="J43" s="20">
        <f t="shared" si="7"/>
        <v>0.007670926802</v>
      </c>
      <c r="K43" s="15">
        <f t="shared" si="8"/>
        <v>8913.333333</v>
      </c>
      <c r="L43" s="11">
        <f t="shared" si="9"/>
        <v>0.007639925784</v>
      </c>
      <c r="M43" s="19">
        <v>3319.0</v>
      </c>
      <c r="N43" s="11">
        <f t="shared" si="10"/>
        <v>0.005635481631</v>
      </c>
      <c r="O43" s="15">
        <v>9101.0</v>
      </c>
      <c r="P43" s="11">
        <f t="shared" si="11"/>
        <v>0.007721709619</v>
      </c>
      <c r="Q43" s="15">
        <v>9312.0</v>
      </c>
      <c r="R43" s="11">
        <f t="shared" si="12"/>
        <v>0.007729455767</v>
      </c>
      <c r="S43" s="17">
        <v>8327.0</v>
      </c>
      <c r="T43" s="29">
        <f t="shared" si="13"/>
        <v>0.007457012699</v>
      </c>
      <c r="U43" s="15">
        <v>5004.0</v>
      </c>
      <c r="V43" s="11">
        <f t="shared" si="14"/>
        <v>0.005282091556</v>
      </c>
      <c r="W43" s="15">
        <v>5354.0</v>
      </c>
      <c r="X43" s="11">
        <f t="shared" si="15"/>
        <v>0.005394159518</v>
      </c>
      <c r="Y43" s="15">
        <v>4427.0</v>
      </c>
      <c r="Z43" s="11">
        <f t="shared" si="16"/>
        <v>0.007524982705</v>
      </c>
      <c r="AA43" s="15">
        <v>4854.0</v>
      </c>
      <c r="AB43" s="11">
        <f t="shared" si="17"/>
        <v>0.007990899528</v>
      </c>
      <c r="AC43" s="15">
        <v>8839.0</v>
      </c>
      <c r="AD43" s="11">
        <f t="shared" si="18"/>
        <v>0.006820405505</v>
      </c>
      <c r="AE43" s="15">
        <v>2008.0</v>
      </c>
      <c r="AF43" s="20">
        <f t="shared" si="19"/>
        <v>0.003476093204</v>
      </c>
      <c r="AG43" s="19">
        <v>8825.0</v>
      </c>
      <c r="AH43" s="15">
        <v>6212.0</v>
      </c>
      <c r="AI43" s="15">
        <v>7754.0</v>
      </c>
      <c r="AJ43" s="15">
        <v>6113.0</v>
      </c>
    </row>
    <row r="44" ht="15.75" customHeight="1">
      <c r="A44" s="6" t="s">
        <v>76</v>
      </c>
      <c r="B44" s="6" t="s">
        <v>32</v>
      </c>
      <c r="C44" s="6" t="s">
        <v>53</v>
      </c>
      <c r="D44" s="4" t="s">
        <v>130</v>
      </c>
      <c r="E44" s="19">
        <f t="shared" si="2"/>
        <v>6005.3</v>
      </c>
      <c r="F44" s="11">
        <f t="shared" si="3"/>
        <v>0.006600492841</v>
      </c>
      <c r="G44" s="15">
        <f t="shared" si="4"/>
        <v>5957.4</v>
      </c>
      <c r="H44" s="11">
        <f t="shared" si="5"/>
        <v>0.00676596226</v>
      </c>
      <c r="I44" s="15">
        <f t="shared" si="6"/>
        <v>6053.2</v>
      </c>
      <c r="J44" s="20">
        <f t="shared" si="7"/>
        <v>0.006445358835</v>
      </c>
      <c r="K44" s="15">
        <f t="shared" si="8"/>
        <v>7402</v>
      </c>
      <c r="L44" s="11">
        <f t="shared" si="9"/>
        <v>0.006344509796</v>
      </c>
      <c r="M44" s="19">
        <v>4480.0</v>
      </c>
      <c r="N44" s="11">
        <f t="shared" si="10"/>
        <v>0.007606796537</v>
      </c>
      <c r="O44" s="15">
        <v>7445.0</v>
      </c>
      <c r="P44" s="11">
        <f t="shared" si="11"/>
        <v>0.006316682575</v>
      </c>
      <c r="Q44" s="15">
        <v>7634.0</v>
      </c>
      <c r="R44" s="11">
        <f t="shared" si="12"/>
        <v>0.006336626431</v>
      </c>
      <c r="S44" s="17">
        <v>7127.0</v>
      </c>
      <c r="T44" s="29">
        <f t="shared" si="13"/>
        <v>0.006382386155</v>
      </c>
      <c r="U44" s="15">
        <v>7114.0</v>
      </c>
      <c r="V44" s="11">
        <f t="shared" si="14"/>
        <v>0.007509352384</v>
      </c>
      <c r="W44" s="15">
        <v>7320.0</v>
      </c>
      <c r="X44" s="11">
        <f t="shared" si="15"/>
        <v>0.007374906176</v>
      </c>
      <c r="Y44" s="15">
        <v>3758.0</v>
      </c>
      <c r="Z44" s="11">
        <f t="shared" si="16"/>
        <v>0.006387821325</v>
      </c>
      <c r="AA44" s="15">
        <v>4302.0</v>
      </c>
      <c r="AB44" s="11">
        <f t="shared" si="17"/>
        <v>0.007082169297</v>
      </c>
      <c r="AC44" s="15">
        <v>6987.0</v>
      </c>
      <c r="AD44" s="11">
        <f t="shared" si="18"/>
        <v>0.005391353464</v>
      </c>
      <c r="AE44" s="15">
        <v>3886.0</v>
      </c>
      <c r="AF44" s="20">
        <f t="shared" si="19"/>
        <v>0.006727140532</v>
      </c>
      <c r="AG44" s="19">
        <v>7800.0</v>
      </c>
      <c r="AH44" s="15">
        <v>5128.0</v>
      </c>
      <c r="AI44" s="15">
        <v>7033.0</v>
      </c>
      <c r="AJ44" s="15">
        <v>5697.0</v>
      </c>
    </row>
    <row r="45" ht="15.75" customHeight="1">
      <c r="A45" s="6" t="s">
        <v>76</v>
      </c>
      <c r="B45" s="6" t="s">
        <v>32</v>
      </c>
      <c r="C45" s="6" t="s">
        <v>53</v>
      </c>
      <c r="D45" s="4" t="s">
        <v>131</v>
      </c>
      <c r="E45" s="19">
        <f t="shared" si="2"/>
        <v>5806.5</v>
      </c>
      <c r="F45" s="11">
        <f t="shared" si="3"/>
        <v>0.006381989523</v>
      </c>
      <c r="G45" s="15">
        <f t="shared" si="4"/>
        <v>5602.2</v>
      </c>
      <c r="H45" s="11">
        <f t="shared" si="5"/>
        <v>0.006362553089</v>
      </c>
      <c r="I45" s="15">
        <f t="shared" si="6"/>
        <v>6010.8</v>
      </c>
      <c r="J45" s="20">
        <f t="shared" si="7"/>
        <v>0.006400211935</v>
      </c>
      <c r="K45" s="15">
        <f t="shared" si="8"/>
        <v>7689.666667</v>
      </c>
      <c r="L45" s="11">
        <f t="shared" si="9"/>
        <v>0.00659107883</v>
      </c>
      <c r="M45" s="19">
        <v>4369.0</v>
      </c>
      <c r="N45" s="11">
        <f t="shared" si="10"/>
        <v>0.007418324569</v>
      </c>
      <c r="O45" s="15">
        <v>7766.0</v>
      </c>
      <c r="P45" s="11">
        <f t="shared" si="11"/>
        <v>0.006589033832</v>
      </c>
      <c r="Q45" s="15">
        <v>7973.0</v>
      </c>
      <c r="R45" s="11">
        <f t="shared" si="12"/>
        <v>0.006618014479</v>
      </c>
      <c r="S45" s="17">
        <v>7330.0</v>
      </c>
      <c r="T45" s="29">
        <f t="shared" si="13"/>
        <v>0.006564177145</v>
      </c>
      <c r="U45" s="15">
        <v>6445.0</v>
      </c>
      <c r="V45" s="11">
        <f t="shared" si="14"/>
        <v>0.006803173477</v>
      </c>
      <c r="W45" s="15">
        <v>6778.0</v>
      </c>
      <c r="X45" s="11">
        <f t="shared" si="15"/>
        <v>0.006828840719</v>
      </c>
      <c r="Y45" s="15">
        <v>3155.0</v>
      </c>
      <c r="Z45" s="11">
        <f t="shared" si="16"/>
        <v>0.005362846269</v>
      </c>
      <c r="AA45" s="15">
        <v>3830.0</v>
      </c>
      <c r="AB45" s="11">
        <f t="shared" si="17"/>
        <v>0.0063051391</v>
      </c>
      <c r="AC45" s="15">
        <v>6467.0</v>
      </c>
      <c r="AD45" s="11">
        <f t="shared" si="18"/>
        <v>0.00499010775</v>
      </c>
      <c r="AE45" s="15">
        <v>3952.0</v>
      </c>
      <c r="AF45" s="20">
        <f t="shared" si="19"/>
        <v>0.006841394592</v>
      </c>
      <c r="AG45" s="19">
        <v>7786.0</v>
      </c>
      <c r="AH45" s="15">
        <v>5198.0</v>
      </c>
      <c r="AI45" s="15">
        <v>6811.0</v>
      </c>
      <c r="AJ45" s="15">
        <v>5419.0</v>
      </c>
    </row>
    <row r="46" ht="15.75" customHeight="1">
      <c r="A46" s="6" t="s">
        <v>76</v>
      </c>
      <c r="B46" s="6" t="s">
        <v>32</v>
      </c>
      <c r="C46" s="6" t="s">
        <v>53</v>
      </c>
      <c r="D46" s="4" t="s">
        <v>132</v>
      </c>
      <c r="E46" s="19">
        <f t="shared" si="2"/>
        <v>5717.9</v>
      </c>
      <c r="F46" s="11">
        <f t="shared" si="3"/>
        <v>0.006284608266</v>
      </c>
      <c r="G46" s="15">
        <f t="shared" si="4"/>
        <v>5366.4</v>
      </c>
      <c r="H46" s="11">
        <f t="shared" si="5"/>
        <v>0.006094749366</v>
      </c>
      <c r="I46" s="15">
        <f t="shared" si="6"/>
        <v>6069.4</v>
      </c>
      <c r="J46" s="20">
        <f t="shared" si="7"/>
        <v>0.006462608358</v>
      </c>
      <c r="K46" s="15">
        <f t="shared" si="8"/>
        <v>7542</v>
      </c>
      <c r="L46" s="11">
        <f t="shared" si="9"/>
        <v>0.00646450863</v>
      </c>
      <c r="M46" s="19">
        <v>4954.0</v>
      </c>
      <c r="N46" s="11">
        <f t="shared" si="10"/>
        <v>0.008411622778</v>
      </c>
      <c r="O46" s="15">
        <v>7556.0</v>
      </c>
      <c r="P46" s="11">
        <f t="shared" si="11"/>
        <v>0.006410860112</v>
      </c>
      <c r="Q46" s="15">
        <v>7825.0</v>
      </c>
      <c r="R46" s="11">
        <f t="shared" si="12"/>
        <v>0.0064951666</v>
      </c>
      <c r="S46" s="17">
        <v>7245.0</v>
      </c>
      <c r="T46" s="29">
        <f t="shared" si="13"/>
        <v>0.006488057765</v>
      </c>
      <c r="U46" s="15">
        <v>5242.0</v>
      </c>
      <c r="V46" s="11">
        <f t="shared" si="14"/>
        <v>0.005533318133</v>
      </c>
      <c r="W46" s="15">
        <v>6123.0</v>
      </c>
      <c r="X46" s="11">
        <f t="shared" si="15"/>
        <v>0.006168927666</v>
      </c>
      <c r="Y46" s="15">
        <v>3230.0</v>
      </c>
      <c r="Z46" s="11">
        <f t="shared" si="16"/>
        <v>0.005490330729</v>
      </c>
      <c r="AA46" s="15">
        <v>4491.0</v>
      </c>
      <c r="AB46" s="11">
        <f t="shared" si="17"/>
        <v>0.007393310626</v>
      </c>
      <c r="AC46" s="15">
        <v>5908.0</v>
      </c>
      <c r="AD46" s="11">
        <f t="shared" si="18"/>
        <v>0.004558768608</v>
      </c>
      <c r="AE46" s="15">
        <v>4605.0</v>
      </c>
      <c r="AF46" s="20">
        <f t="shared" si="19"/>
        <v>0.007971817332</v>
      </c>
      <c r="AG46" s="19">
        <v>7594.0</v>
      </c>
      <c r="AH46" s="15">
        <v>4908.0</v>
      </c>
      <c r="AI46" s="15">
        <v>6478.0</v>
      </c>
      <c r="AJ46" s="15">
        <v>4990.0</v>
      </c>
    </row>
    <row r="47" ht="15.75" customHeight="1">
      <c r="A47" s="6" t="s">
        <v>75</v>
      </c>
      <c r="B47" s="6" t="s">
        <v>32</v>
      </c>
      <c r="C47" s="6" t="s">
        <v>60</v>
      </c>
      <c r="D47" s="4" t="s">
        <v>133</v>
      </c>
      <c r="E47" s="19">
        <f t="shared" si="2"/>
        <v>5553.1</v>
      </c>
      <c r="F47" s="11">
        <f t="shared" si="3"/>
        <v>0.00610347473</v>
      </c>
      <c r="G47" s="15">
        <f t="shared" si="4"/>
        <v>5267.6</v>
      </c>
      <c r="H47" s="11">
        <f t="shared" si="5"/>
        <v>0.005982539833</v>
      </c>
      <c r="I47" s="15">
        <f t="shared" si="6"/>
        <v>5838.6</v>
      </c>
      <c r="J47" s="20">
        <f t="shared" si="7"/>
        <v>0.006216855893</v>
      </c>
      <c r="K47" s="15">
        <f t="shared" si="8"/>
        <v>7114.333333</v>
      </c>
      <c r="L47" s="11">
        <f t="shared" si="9"/>
        <v>0.006097940763</v>
      </c>
      <c r="M47" s="19">
        <v>3488.0</v>
      </c>
      <c r="N47" s="11">
        <f t="shared" si="10"/>
        <v>0.005922434447</v>
      </c>
      <c r="O47" s="15">
        <v>7216.0</v>
      </c>
      <c r="P47" s="11">
        <f t="shared" si="11"/>
        <v>0.006122388376</v>
      </c>
      <c r="Q47" s="15">
        <v>7247.0</v>
      </c>
      <c r="R47" s="11">
        <f t="shared" si="12"/>
        <v>0.006015395827</v>
      </c>
      <c r="S47" s="17">
        <v>6880.0</v>
      </c>
      <c r="T47" s="29">
        <f t="shared" si="13"/>
        <v>0.006161192191</v>
      </c>
      <c r="U47" s="15">
        <v>5086.0</v>
      </c>
      <c r="V47" s="11">
        <f t="shared" si="14"/>
        <v>0.005368648612</v>
      </c>
      <c r="W47" s="15">
        <v>4976.0</v>
      </c>
      <c r="X47" s="11">
        <f t="shared" si="15"/>
        <v>0.005013324199</v>
      </c>
      <c r="Y47" s="15">
        <v>3658.0</v>
      </c>
      <c r="Z47" s="11">
        <f t="shared" si="16"/>
        <v>0.006217842045</v>
      </c>
      <c r="AA47" s="15">
        <v>4192.0</v>
      </c>
      <c r="AB47" s="11">
        <f t="shared" si="17"/>
        <v>0.006901081751</v>
      </c>
      <c r="AC47" s="15">
        <v>6968.0</v>
      </c>
      <c r="AD47" s="11">
        <f t="shared" si="18"/>
        <v>0.005376692562</v>
      </c>
      <c r="AE47" s="15">
        <v>5820.0</v>
      </c>
      <c r="AF47" s="20">
        <f t="shared" si="19"/>
        <v>0.0100751307</v>
      </c>
      <c r="AG47" s="19">
        <v>6916.0</v>
      </c>
      <c r="AH47" s="15">
        <v>4575.0</v>
      </c>
      <c r="AI47" s="15">
        <v>6118.0</v>
      </c>
      <c r="AJ47" s="15">
        <v>4224.0</v>
      </c>
    </row>
    <row r="48" ht="15.75" customHeight="1">
      <c r="A48" s="6" t="s">
        <v>76</v>
      </c>
      <c r="B48" s="6" t="s">
        <v>32</v>
      </c>
      <c r="C48" s="6" t="s">
        <v>53</v>
      </c>
      <c r="D48" s="4" t="s">
        <v>134</v>
      </c>
      <c r="E48" s="19">
        <f t="shared" si="2"/>
        <v>5425.2</v>
      </c>
      <c r="F48" s="11">
        <f t="shared" si="3"/>
        <v>0.0059628984</v>
      </c>
      <c r="G48" s="15">
        <f t="shared" si="4"/>
        <v>5470.2</v>
      </c>
      <c r="H48" s="11">
        <f t="shared" si="5"/>
        <v>0.006212637519</v>
      </c>
      <c r="I48" s="15">
        <f t="shared" si="6"/>
        <v>5380.2</v>
      </c>
      <c r="J48" s="20">
        <f t="shared" si="7"/>
        <v>0.005728758277</v>
      </c>
      <c r="K48" s="15">
        <f t="shared" si="8"/>
        <v>6474</v>
      </c>
      <c r="L48" s="11">
        <f t="shared" si="9"/>
        <v>0.005549088952</v>
      </c>
      <c r="M48" s="19">
        <v>3823.0</v>
      </c>
      <c r="N48" s="11">
        <f t="shared" si="10"/>
        <v>0.006491246241</v>
      </c>
      <c r="O48" s="15">
        <v>6504.0</v>
      </c>
      <c r="P48" s="11">
        <f t="shared" si="11"/>
        <v>0.005518294623</v>
      </c>
      <c r="Q48" s="15">
        <v>6603.0</v>
      </c>
      <c r="R48" s="11">
        <f t="shared" si="12"/>
        <v>0.005480841541</v>
      </c>
      <c r="S48" s="17">
        <v>6315.0</v>
      </c>
      <c r="T48" s="29">
        <f t="shared" si="13"/>
        <v>0.005655222192</v>
      </c>
      <c r="U48" s="15">
        <v>6475.0</v>
      </c>
      <c r="V48" s="11">
        <f t="shared" si="14"/>
        <v>0.006834840693</v>
      </c>
      <c r="W48" s="15">
        <v>6977.0</v>
      </c>
      <c r="X48" s="11">
        <f t="shared" si="15"/>
        <v>0.007029333387</v>
      </c>
      <c r="Y48" s="15">
        <v>3849.0</v>
      </c>
      <c r="Z48" s="11">
        <f t="shared" si="16"/>
        <v>0.006542502469</v>
      </c>
      <c r="AA48" s="15">
        <v>3630.0</v>
      </c>
      <c r="AB48" s="11">
        <f t="shared" si="17"/>
        <v>0.005975889016</v>
      </c>
      <c r="AC48" s="15">
        <v>6007.0</v>
      </c>
      <c r="AD48" s="11">
        <f t="shared" si="18"/>
        <v>0.004635159619</v>
      </c>
      <c r="AE48" s="15">
        <v>4069.0</v>
      </c>
      <c r="AF48" s="20">
        <f t="shared" si="19"/>
        <v>0.007043935879</v>
      </c>
      <c r="AG48" s="19">
        <v>6496.0</v>
      </c>
      <c r="AH48" s="15">
        <v>4271.0</v>
      </c>
      <c r="AI48" s="15">
        <v>5602.0</v>
      </c>
      <c r="AJ48" s="15">
        <v>4453.0</v>
      </c>
    </row>
    <row r="49" ht="15.75" customHeight="1">
      <c r="A49" s="6" t="s">
        <v>79</v>
      </c>
      <c r="B49" s="6" t="s">
        <v>32</v>
      </c>
      <c r="C49" s="6" t="s">
        <v>53</v>
      </c>
      <c r="D49" s="4" t="s">
        <v>135</v>
      </c>
      <c r="E49" s="19">
        <f t="shared" si="2"/>
        <v>5259.6</v>
      </c>
      <c r="F49" s="11">
        <f t="shared" si="3"/>
        <v>0.005780885576</v>
      </c>
      <c r="G49" s="15">
        <f t="shared" si="4"/>
        <v>5445.6</v>
      </c>
      <c r="H49" s="11">
        <f t="shared" si="5"/>
        <v>0.006184698708</v>
      </c>
      <c r="I49" s="15">
        <f t="shared" si="6"/>
        <v>5073.6</v>
      </c>
      <c r="J49" s="20">
        <f t="shared" si="7"/>
        <v>0.005402295081</v>
      </c>
      <c r="K49" s="15">
        <f t="shared" si="8"/>
        <v>6721.666667</v>
      </c>
      <c r="L49" s="11">
        <f t="shared" si="9"/>
        <v>0.005761372604</v>
      </c>
      <c r="M49" s="19">
        <v>3682.0</v>
      </c>
      <c r="N49" s="11">
        <f t="shared" si="10"/>
        <v>0.006251835904</v>
      </c>
      <c r="O49" s="15">
        <v>6787.0</v>
      </c>
      <c r="P49" s="11">
        <f t="shared" si="11"/>
        <v>0.005758404921</v>
      </c>
      <c r="Q49" s="15">
        <v>6952.0</v>
      </c>
      <c r="R49" s="11">
        <f t="shared" si="12"/>
        <v>0.005770530122</v>
      </c>
      <c r="S49" s="17">
        <v>6426.0</v>
      </c>
      <c r="T49" s="29">
        <f t="shared" si="13"/>
        <v>0.005754625148</v>
      </c>
      <c r="U49" s="15">
        <v>6432.0</v>
      </c>
      <c r="V49" s="11">
        <f t="shared" si="14"/>
        <v>0.006789451017</v>
      </c>
      <c r="W49" s="15">
        <v>6575.0</v>
      </c>
      <c r="X49" s="11">
        <f t="shared" si="15"/>
        <v>0.006624318048</v>
      </c>
      <c r="Y49" s="15">
        <v>2503.0</v>
      </c>
      <c r="Z49" s="11">
        <f t="shared" si="16"/>
        <v>0.004254581367</v>
      </c>
      <c r="AA49" s="15">
        <v>2700.0</v>
      </c>
      <c r="AB49" s="11">
        <f t="shared" si="17"/>
        <v>0.004444876128</v>
      </c>
      <c r="AC49" s="15">
        <v>6050.0</v>
      </c>
      <c r="AD49" s="11">
        <f t="shared" si="18"/>
        <v>0.004668339553</v>
      </c>
      <c r="AE49" s="15">
        <v>4489.0</v>
      </c>
      <c r="AF49" s="20">
        <f t="shared" si="19"/>
        <v>0.007771007167</v>
      </c>
      <c r="AG49" s="19">
        <v>6452.0</v>
      </c>
      <c r="AH49" s="15">
        <v>4443.0</v>
      </c>
      <c r="AI49" s="15">
        <v>5531.0</v>
      </c>
      <c r="AJ49" s="15">
        <v>4267.0</v>
      </c>
    </row>
    <row r="50" ht="15.75" customHeight="1">
      <c r="A50" s="6" t="s">
        <v>76</v>
      </c>
      <c r="B50" s="6" t="s">
        <v>32</v>
      </c>
      <c r="C50" s="6" t="s">
        <v>53</v>
      </c>
      <c r="D50" s="4" t="s">
        <v>136</v>
      </c>
      <c r="E50" s="19">
        <f t="shared" si="2"/>
        <v>5151.9</v>
      </c>
      <c r="F50" s="11">
        <f t="shared" si="3"/>
        <v>0.005662511293</v>
      </c>
      <c r="G50" s="15">
        <f t="shared" si="4"/>
        <v>5265.4</v>
      </c>
      <c r="H50" s="11">
        <f t="shared" si="5"/>
        <v>0.00598004124</v>
      </c>
      <c r="I50" s="15">
        <f t="shared" si="6"/>
        <v>5038.4</v>
      </c>
      <c r="J50" s="20">
        <f t="shared" si="7"/>
        <v>0.005364814636</v>
      </c>
      <c r="K50" s="15">
        <f t="shared" si="8"/>
        <v>6129.666667</v>
      </c>
      <c r="L50" s="11">
        <f t="shared" si="9"/>
        <v>0.005253948962</v>
      </c>
      <c r="M50" s="19">
        <v>3753.0</v>
      </c>
      <c r="N50" s="11">
        <f t="shared" si="10"/>
        <v>0.006372390045</v>
      </c>
      <c r="O50" s="15">
        <v>6160.0</v>
      </c>
      <c r="P50" s="11">
        <f t="shared" si="11"/>
        <v>0.005226429102</v>
      </c>
      <c r="Q50" s="15">
        <v>6335.0</v>
      </c>
      <c r="R50" s="11">
        <f t="shared" si="12"/>
        <v>0.005258387273</v>
      </c>
      <c r="S50" s="17">
        <v>5894.0</v>
      </c>
      <c r="T50" s="29">
        <f t="shared" si="13"/>
        <v>0.00527820738</v>
      </c>
      <c r="U50" s="15">
        <v>5799.0</v>
      </c>
      <c r="V50" s="11">
        <f t="shared" si="14"/>
        <v>0.006121272769</v>
      </c>
      <c r="W50" s="15">
        <v>6089.0</v>
      </c>
      <c r="X50" s="11">
        <f t="shared" si="15"/>
        <v>0.006134672638</v>
      </c>
      <c r="Y50" s="15">
        <v>3283.0</v>
      </c>
      <c r="Z50" s="11">
        <f t="shared" si="16"/>
        <v>0.005580419747</v>
      </c>
      <c r="AA50" s="15">
        <v>3520.0</v>
      </c>
      <c r="AB50" s="11">
        <f t="shared" si="17"/>
        <v>0.00579480147</v>
      </c>
      <c r="AC50" s="15">
        <v>5650.0</v>
      </c>
      <c r="AD50" s="11">
        <f t="shared" si="18"/>
        <v>0.004359689004</v>
      </c>
      <c r="AE50" s="15">
        <v>5036.0</v>
      </c>
      <c r="AF50" s="20">
        <f t="shared" si="19"/>
        <v>0.008717930963</v>
      </c>
      <c r="AG50" s="19">
        <v>5937.0</v>
      </c>
      <c r="AH50" s="15">
        <v>4057.0</v>
      </c>
      <c r="AI50" s="15">
        <v>5224.0</v>
      </c>
      <c r="AJ50" s="15">
        <v>3904.0</v>
      </c>
    </row>
    <row r="51" ht="15.75" customHeight="1">
      <c r="A51" s="6" t="s">
        <v>76</v>
      </c>
      <c r="B51" s="6" t="s">
        <v>32</v>
      </c>
      <c r="C51" s="6" t="s">
        <v>53</v>
      </c>
      <c r="D51" s="4" t="s">
        <v>137</v>
      </c>
      <c r="E51" s="19">
        <f t="shared" si="2"/>
        <v>5126.7</v>
      </c>
      <c r="F51" s="11">
        <f t="shared" si="3"/>
        <v>0.00563481369</v>
      </c>
      <c r="G51" s="15">
        <f t="shared" si="4"/>
        <v>5198</v>
      </c>
      <c r="H51" s="11">
        <f t="shared" si="5"/>
        <v>0.005903493442</v>
      </c>
      <c r="I51" s="15">
        <f t="shared" si="6"/>
        <v>5055.4</v>
      </c>
      <c r="J51" s="20">
        <f t="shared" si="7"/>
        <v>0.005382915987</v>
      </c>
      <c r="K51" s="15">
        <f t="shared" si="8"/>
        <v>6412.666667</v>
      </c>
      <c r="L51" s="11">
        <f t="shared" si="9"/>
        <v>0.005496518034</v>
      </c>
      <c r="M51" s="19">
        <v>3691.0</v>
      </c>
      <c r="N51" s="11">
        <f t="shared" si="10"/>
        <v>0.006267117415</v>
      </c>
      <c r="O51" s="15">
        <v>6464.0</v>
      </c>
      <c r="P51" s="11">
        <f t="shared" si="11"/>
        <v>0.005484356772</v>
      </c>
      <c r="Q51" s="15">
        <v>6600.0</v>
      </c>
      <c r="R51" s="11">
        <f t="shared" si="12"/>
        <v>0.005478351381</v>
      </c>
      <c r="S51" s="17">
        <v>6174.0</v>
      </c>
      <c r="T51" s="29">
        <f t="shared" si="13"/>
        <v>0.005528953573</v>
      </c>
      <c r="U51" s="15">
        <v>5978.0</v>
      </c>
      <c r="V51" s="11">
        <f t="shared" si="14"/>
        <v>0.006310220488</v>
      </c>
      <c r="W51" s="15">
        <v>6410.0</v>
      </c>
      <c r="X51" s="11">
        <f t="shared" si="15"/>
        <v>0.006458080409</v>
      </c>
      <c r="Y51" s="15">
        <v>3077.0</v>
      </c>
      <c r="Z51" s="11">
        <f t="shared" si="16"/>
        <v>0.005230262431</v>
      </c>
      <c r="AA51" s="15">
        <v>2962.0</v>
      </c>
      <c r="AB51" s="11">
        <f t="shared" si="17"/>
        <v>0.004876193737</v>
      </c>
      <c r="AC51" s="15">
        <v>5838.0</v>
      </c>
      <c r="AD51" s="11">
        <f t="shared" si="18"/>
        <v>0.004504754762</v>
      </c>
      <c r="AE51" s="15">
        <v>4073.0</v>
      </c>
      <c r="AF51" s="20">
        <f t="shared" si="19"/>
        <v>0.007050860368</v>
      </c>
      <c r="AG51" s="19">
        <v>6638.0</v>
      </c>
      <c r="AH51" s="15">
        <v>4300.0</v>
      </c>
      <c r="AI51" s="15">
        <v>5960.0</v>
      </c>
      <c r="AJ51" s="15">
        <v>4902.0</v>
      </c>
    </row>
    <row r="52" ht="15.75" customHeight="1">
      <c r="A52" s="6" t="s">
        <v>72</v>
      </c>
      <c r="B52" s="6" t="s">
        <v>32</v>
      </c>
      <c r="C52" s="6" t="s">
        <v>53</v>
      </c>
      <c r="D52" s="4" t="s">
        <v>138</v>
      </c>
      <c r="E52" s="19">
        <f t="shared" si="2"/>
        <v>5077.5</v>
      </c>
      <c r="F52" s="11">
        <f t="shared" si="3"/>
        <v>0.005580737416</v>
      </c>
      <c r="G52" s="15">
        <f t="shared" si="4"/>
        <v>4872.4</v>
      </c>
      <c r="H52" s="11">
        <f t="shared" si="5"/>
        <v>0.005533701702</v>
      </c>
      <c r="I52" s="15">
        <f t="shared" si="6"/>
        <v>5282.6</v>
      </c>
      <c r="J52" s="20">
        <f t="shared" si="7"/>
        <v>0.005624835224</v>
      </c>
      <c r="K52" s="15">
        <f t="shared" si="8"/>
        <v>5724.333333</v>
      </c>
      <c r="L52" s="11">
        <f t="shared" si="9"/>
        <v>0.004906523765</v>
      </c>
      <c r="M52" s="19">
        <v>3075.0</v>
      </c>
      <c r="N52" s="11">
        <f t="shared" si="10"/>
        <v>0.005221182891</v>
      </c>
      <c r="O52" s="15">
        <v>5764.0</v>
      </c>
      <c r="P52" s="11">
        <f t="shared" si="11"/>
        <v>0.004890444374</v>
      </c>
      <c r="Q52" s="15">
        <v>5881.0</v>
      </c>
      <c r="R52" s="11">
        <f t="shared" si="12"/>
        <v>0.004881543102</v>
      </c>
      <c r="S52" s="17">
        <v>5528.0</v>
      </c>
      <c r="T52" s="29">
        <f t="shared" si="13"/>
        <v>0.004950446283</v>
      </c>
      <c r="U52" s="15">
        <v>4421.0</v>
      </c>
      <c r="V52" s="11">
        <f t="shared" si="14"/>
        <v>0.004666692</v>
      </c>
      <c r="W52" s="15">
        <v>4761.0</v>
      </c>
      <c r="X52" s="11">
        <f t="shared" si="15"/>
        <v>0.004796711517</v>
      </c>
      <c r="Y52" s="15">
        <v>4373.0</v>
      </c>
      <c r="Z52" s="11">
        <f t="shared" si="16"/>
        <v>0.007433193894</v>
      </c>
      <c r="AA52" s="15">
        <v>4867.0</v>
      </c>
      <c r="AB52" s="11">
        <f t="shared" si="17"/>
        <v>0.008012300783</v>
      </c>
      <c r="AC52" s="15">
        <v>9247.0</v>
      </c>
      <c r="AD52" s="11">
        <f t="shared" si="18"/>
        <v>0.007135229065</v>
      </c>
      <c r="AE52" s="15">
        <v>2858.0</v>
      </c>
      <c r="AF52" s="20">
        <f t="shared" si="19"/>
        <v>0.004947547</v>
      </c>
      <c r="AG52" s="19">
        <v>4793.0</v>
      </c>
      <c r="AH52" s="15">
        <v>3288.0</v>
      </c>
      <c r="AI52" s="15">
        <v>4531.0</v>
      </c>
      <c r="AJ52" s="15">
        <v>3608.0</v>
      </c>
    </row>
    <row r="53" ht="15.75" customHeight="1">
      <c r="A53" s="6" t="s">
        <v>76</v>
      </c>
      <c r="B53" s="6" t="s">
        <v>33</v>
      </c>
      <c r="C53" s="6" t="s">
        <v>53</v>
      </c>
      <c r="D53" s="4" t="s">
        <v>139</v>
      </c>
      <c r="E53" s="19">
        <f t="shared" si="2"/>
        <v>4941.2</v>
      </c>
      <c r="F53" s="11">
        <f t="shared" si="3"/>
        <v>0.005430928551</v>
      </c>
      <c r="G53" s="15">
        <f t="shared" si="4"/>
        <v>5216.6</v>
      </c>
      <c r="H53" s="11">
        <f t="shared" si="5"/>
        <v>0.005924617908</v>
      </c>
      <c r="I53" s="15">
        <f t="shared" si="6"/>
        <v>4665.8</v>
      </c>
      <c r="J53" s="20">
        <f t="shared" si="7"/>
        <v>0.004968075605</v>
      </c>
      <c r="K53" s="15">
        <f t="shared" si="8"/>
        <v>5799.666667</v>
      </c>
      <c r="L53" s="11">
        <f t="shared" si="9"/>
        <v>0.004971094567</v>
      </c>
      <c r="M53" s="19">
        <v>3744.0</v>
      </c>
      <c r="N53" s="11">
        <f t="shared" si="10"/>
        <v>0.006357108534</v>
      </c>
      <c r="O53" s="15">
        <v>5832.0</v>
      </c>
      <c r="P53" s="11">
        <f t="shared" si="11"/>
        <v>0.004948138721</v>
      </c>
      <c r="Q53" s="15">
        <v>5957.0</v>
      </c>
      <c r="R53" s="11">
        <f t="shared" si="12"/>
        <v>0.004944627148</v>
      </c>
      <c r="S53" s="17">
        <v>5610.0</v>
      </c>
      <c r="T53" s="29">
        <f t="shared" si="13"/>
        <v>0.005023879097</v>
      </c>
      <c r="U53" s="15">
        <v>6109.0</v>
      </c>
      <c r="V53" s="11">
        <f t="shared" si="14"/>
        <v>0.006448500663</v>
      </c>
      <c r="W53" s="15">
        <v>6594.0</v>
      </c>
      <c r="X53" s="11">
        <f t="shared" si="15"/>
        <v>0.006643460564</v>
      </c>
      <c r="Y53" s="15">
        <v>3221.0</v>
      </c>
      <c r="Z53" s="11">
        <f t="shared" si="16"/>
        <v>0.005475032594</v>
      </c>
      <c r="AA53" s="15">
        <v>2709.0</v>
      </c>
      <c r="AB53" s="11">
        <f t="shared" si="17"/>
        <v>0.004459692382</v>
      </c>
      <c r="AC53" s="15">
        <v>5932.0</v>
      </c>
      <c r="AD53" s="11">
        <f t="shared" si="18"/>
        <v>0.004577287641</v>
      </c>
      <c r="AE53" s="15">
        <v>3704.0</v>
      </c>
      <c r="AF53" s="20">
        <f t="shared" si="19"/>
        <v>0.006412076308</v>
      </c>
      <c r="AG53" s="19">
        <v>5994.0</v>
      </c>
      <c r="AH53" s="15">
        <v>3993.0</v>
      </c>
      <c r="AI53" s="15">
        <v>5319.0</v>
      </c>
      <c r="AJ53" s="15">
        <v>4301.0</v>
      </c>
    </row>
    <row r="54" ht="15.75" customHeight="1">
      <c r="A54" s="6" t="s">
        <v>71</v>
      </c>
      <c r="B54" s="6" t="s">
        <v>32</v>
      </c>
      <c r="C54" s="6" t="s">
        <v>56</v>
      </c>
      <c r="D54" s="4" t="s">
        <v>140</v>
      </c>
      <c r="E54" s="19">
        <f t="shared" si="2"/>
        <v>4915</v>
      </c>
      <c r="F54" s="11">
        <f t="shared" si="3"/>
        <v>0.005402131836</v>
      </c>
      <c r="G54" s="15">
        <f t="shared" si="4"/>
        <v>4679.6</v>
      </c>
      <c r="H54" s="11">
        <f t="shared" si="5"/>
        <v>0.005314734111</v>
      </c>
      <c r="I54" s="15">
        <f t="shared" si="6"/>
        <v>5150.4</v>
      </c>
      <c r="J54" s="20">
        <f t="shared" si="7"/>
        <v>0.005484070598</v>
      </c>
      <c r="K54" s="15">
        <f t="shared" si="8"/>
        <v>6428.333333</v>
      </c>
      <c r="L54" s="11">
        <f t="shared" si="9"/>
        <v>0.005509946475</v>
      </c>
      <c r="M54" s="19">
        <v>3392.0</v>
      </c>
      <c r="N54" s="11">
        <f t="shared" si="10"/>
        <v>0.005759431664</v>
      </c>
      <c r="O54" s="15">
        <v>6546.0</v>
      </c>
      <c r="P54" s="11">
        <f t="shared" si="11"/>
        <v>0.005553929367</v>
      </c>
      <c r="Q54" s="15">
        <v>6676.0</v>
      </c>
      <c r="R54" s="11">
        <f t="shared" si="12"/>
        <v>0.005541435428</v>
      </c>
      <c r="S54" s="17">
        <v>6063.0</v>
      </c>
      <c r="T54" s="29">
        <f t="shared" si="13"/>
        <v>0.005429550618</v>
      </c>
      <c r="U54" s="15">
        <v>4942.0</v>
      </c>
      <c r="V54" s="11">
        <f t="shared" si="14"/>
        <v>0.005216645977</v>
      </c>
      <c r="W54" s="15">
        <v>5259.0</v>
      </c>
      <c r="X54" s="11">
        <f t="shared" si="15"/>
        <v>0.005298446937</v>
      </c>
      <c r="Y54" s="15">
        <v>2514.0</v>
      </c>
      <c r="Z54" s="11">
        <f t="shared" si="16"/>
        <v>0.004273279087</v>
      </c>
      <c r="AA54" s="15">
        <v>3953.0</v>
      </c>
      <c r="AB54" s="11">
        <f t="shared" si="17"/>
        <v>0.006507627901</v>
      </c>
      <c r="AC54" s="15">
        <v>6898.0</v>
      </c>
      <c r="AD54" s="11">
        <f t="shared" si="18"/>
        <v>0.005322678716</v>
      </c>
      <c r="AE54" s="15">
        <v>2907.0</v>
      </c>
      <c r="AF54" s="20">
        <f t="shared" si="19"/>
        <v>0.005032371984</v>
      </c>
      <c r="AG54" s="19">
        <v>6572.0</v>
      </c>
      <c r="AH54" s="15">
        <v>4293.0</v>
      </c>
      <c r="AI54" s="15">
        <v>5616.0</v>
      </c>
      <c r="AJ54" s="15">
        <v>4269.0</v>
      </c>
    </row>
    <row r="55" ht="15.75" customHeight="1">
      <c r="A55" s="6" t="s">
        <v>68</v>
      </c>
      <c r="B55" s="6" t="s">
        <v>33</v>
      </c>
      <c r="C55" s="6" t="s">
        <v>53</v>
      </c>
      <c r="D55" s="4" t="s">
        <v>141</v>
      </c>
      <c r="E55" s="19">
        <f t="shared" si="2"/>
        <v>4892.4</v>
      </c>
      <c r="F55" s="11">
        <f t="shared" si="3"/>
        <v>0.005377291922</v>
      </c>
      <c r="G55" s="15">
        <f t="shared" si="4"/>
        <v>4902</v>
      </c>
      <c r="H55" s="11">
        <f t="shared" si="5"/>
        <v>0.005567319133</v>
      </c>
      <c r="I55" s="15">
        <f t="shared" si="6"/>
        <v>4882.8</v>
      </c>
      <c r="J55" s="20">
        <f t="shared" si="7"/>
        <v>0.005199134031</v>
      </c>
      <c r="K55" s="15">
        <f t="shared" si="8"/>
        <v>6043.666667</v>
      </c>
      <c r="L55" s="11">
        <f t="shared" si="9"/>
        <v>0.005180235392</v>
      </c>
      <c r="M55" s="19">
        <v>3124.0</v>
      </c>
      <c r="N55" s="11">
        <f t="shared" si="10"/>
        <v>0.005304382228</v>
      </c>
      <c r="O55" s="15">
        <v>6125.0</v>
      </c>
      <c r="P55" s="11">
        <f t="shared" si="11"/>
        <v>0.005196733482</v>
      </c>
      <c r="Q55" s="15">
        <v>6193.0</v>
      </c>
      <c r="R55" s="11">
        <f t="shared" si="12"/>
        <v>0.005140519713</v>
      </c>
      <c r="S55" s="17">
        <v>5813.0</v>
      </c>
      <c r="T55" s="29">
        <f t="shared" si="13"/>
        <v>0.005205670088</v>
      </c>
      <c r="U55" s="15">
        <v>5594.0</v>
      </c>
      <c r="V55" s="11">
        <f t="shared" si="14"/>
        <v>0.005904880129</v>
      </c>
      <c r="W55" s="15">
        <v>5706.0</v>
      </c>
      <c r="X55" s="11">
        <f t="shared" si="15"/>
        <v>0.005748799815</v>
      </c>
      <c r="Y55" s="15">
        <v>3283.0</v>
      </c>
      <c r="Z55" s="11">
        <f t="shared" si="16"/>
        <v>0.005580419747</v>
      </c>
      <c r="AA55" s="15">
        <v>3000.0</v>
      </c>
      <c r="AB55" s="11">
        <f t="shared" si="17"/>
        <v>0.004938751253</v>
      </c>
      <c r="AC55" s="15">
        <v>5530.0</v>
      </c>
      <c r="AD55" s="11">
        <f t="shared" si="18"/>
        <v>0.004267093839</v>
      </c>
      <c r="AE55" s="15">
        <v>4556.0</v>
      </c>
      <c r="AF55" s="20">
        <f t="shared" si="19"/>
        <v>0.007886992348</v>
      </c>
      <c r="AG55" s="19">
        <v>6060.0</v>
      </c>
      <c r="AH55" s="15">
        <v>3949.0</v>
      </c>
      <c r="AI55" s="15">
        <v>5196.0</v>
      </c>
      <c r="AJ55" s="15">
        <v>4224.0</v>
      </c>
    </row>
    <row r="56" ht="15.75" customHeight="1">
      <c r="A56" s="6" t="s">
        <v>79</v>
      </c>
      <c r="B56" s="6" t="s">
        <v>33</v>
      </c>
      <c r="C56" s="6" t="s">
        <v>53</v>
      </c>
      <c r="D56" s="4" t="s">
        <v>142</v>
      </c>
      <c r="E56" s="19">
        <f t="shared" si="2"/>
        <v>4844.6</v>
      </c>
      <c r="F56" s="11">
        <f t="shared" si="3"/>
        <v>0.005324754404</v>
      </c>
      <c r="G56" s="15">
        <f t="shared" si="4"/>
        <v>5202.6</v>
      </c>
      <c r="H56" s="11">
        <f t="shared" si="5"/>
        <v>0.005908717772</v>
      </c>
      <c r="I56" s="15">
        <f t="shared" si="6"/>
        <v>4486.6</v>
      </c>
      <c r="J56" s="20">
        <f t="shared" si="7"/>
        <v>0.004777266066</v>
      </c>
      <c r="K56" s="15">
        <f t="shared" si="8"/>
        <v>5666</v>
      </c>
      <c r="L56" s="11">
        <f t="shared" si="9"/>
        <v>0.004856524251</v>
      </c>
      <c r="M56" s="19">
        <v>3352.0</v>
      </c>
      <c r="N56" s="11">
        <f t="shared" si="10"/>
        <v>0.005691513837</v>
      </c>
      <c r="O56" s="15">
        <v>5701.0</v>
      </c>
      <c r="P56" s="11">
        <f t="shared" si="11"/>
        <v>0.004836992258</v>
      </c>
      <c r="Q56" s="15">
        <v>5831.0</v>
      </c>
      <c r="R56" s="11">
        <f t="shared" si="12"/>
        <v>0.00484004044</v>
      </c>
      <c r="S56" s="17">
        <v>5466.0</v>
      </c>
      <c r="T56" s="29">
        <f t="shared" si="13"/>
        <v>0.004894923912</v>
      </c>
      <c r="U56" s="15">
        <v>6672.0</v>
      </c>
      <c r="V56" s="11">
        <f t="shared" si="14"/>
        <v>0.007042788742</v>
      </c>
      <c r="W56" s="15">
        <v>6693.0</v>
      </c>
      <c r="X56" s="11">
        <f t="shared" si="15"/>
        <v>0.006743203147</v>
      </c>
      <c r="Y56" s="15">
        <v>2768.0</v>
      </c>
      <c r="Z56" s="11">
        <f t="shared" si="16"/>
        <v>0.004705026457</v>
      </c>
      <c r="AA56" s="15">
        <v>2667.0</v>
      </c>
      <c r="AB56" s="11">
        <f t="shared" si="17"/>
        <v>0.004390549864</v>
      </c>
      <c r="AC56" s="15">
        <v>5707.0</v>
      </c>
      <c r="AD56" s="11">
        <f t="shared" si="18"/>
        <v>0.004403671707</v>
      </c>
      <c r="AE56" s="15">
        <v>3589.0</v>
      </c>
      <c r="AF56" s="20">
        <f t="shared" si="19"/>
        <v>0.006212997265</v>
      </c>
      <c r="AG56" s="19">
        <v>5700.0</v>
      </c>
      <c r="AH56" s="15">
        <v>3810.0</v>
      </c>
      <c r="AI56" s="15">
        <v>4898.0</v>
      </c>
      <c r="AJ56" s="15">
        <v>3840.0</v>
      </c>
    </row>
    <row r="57" ht="15.75" customHeight="1">
      <c r="A57" s="6" t="s">
        <v>77</v>
      </c>
      <c r="B57" s="6" t="s">
        <v>33</v>
      </c>
      <c r="C57" s="6" t="s">
        <v>55</v>
      </c>
      <c r="D57" s="4" t="s">
        <v>143</v>
      </c>
      <c r="E57" s="19">
        <f t="shared" si="2"/>
        <v>4830.8</v>
      </c>
      <c r="F57" s="11">
        <f t="shared" si="3"/>
        <v>0.005309586668</v>
      </c>
      <c r="G57" s="15">
        <f t="shared" si="4"/>
        <v>5328.4</v>
      </c>
      <c r="H57" s="11">
        <f t="shared" si="5"/>
        <v>0.006051591853</v>
      </c>
      <c r="I57" s="15">
        <f t="shared" si="6"/>
        <v>4333.2</v>
      </c>
      <c r="J57" s="20">
        <f t="shared" si="7"/>
        <v>0.004613927989</v>
      </c>
      <c r="K57" s="15">
        <f t="shared" si="8"/>
        <v>5958.666667</v>
      </c>
      <c r="L57" s="11">
        <f t="shared" si="9"/>
        <v>0.005107378957</v>
      </c>
      <c r="M57" s="19">
        <v>3140.0</v>
      </c>
      <c r="N57" s="11">
        <f t="shared" si="10"/>
        <v>0.005331549358</v>
      </c>
      <c r="O57" s="15">
        <v>6074.0</v>
      </c>
      <c r="P57" s="11">
        <f t="shared" si="11"/>
        <v>0.005153462721</v>
      </c>
      <c r="Q57" s="15">
        <v>6239.0</v>
      </c>
      <c r="R57" s="11">
        <f t="shared" si="12"/>
        <v>0.005178702162</v>
      </c>
      <c r="S57" s="17">
        <v>5563.0</v>
      </c>
      <c r="T57" s="29">
        <f t="shared" si="13"/>
        <v>0.004981789558</v>
      </c>
      <c r="U57" s="15">
        <v>6677.0</v>
      </c>
      <c r="V57" s="11">
        <f t="shared" si="14"/>
        <v>0.007048066611</v>
      </c>
      <c r="W57" s="15">
        <v>6361.0</v>
      </c>
      <c r="X57" s="11">
        <f t="shared" si="15"/>
        <v>0.006408712867</v>
      </c>
      <c r="Y57" s="15">
        <v>1665.0</v>
      </c>
      <c r="Z57" s="11">
        <f t="shared" si="16"/>
        <v>0.002830155004</v>
      </c>
      <c r="AA57" s="15">
        <v>2125.0</v>
      </c>
      <c r="AB57" s="11">
        <f t="shared" si="17"/>
        <v>0.003498282138</v>
      </c>
      <c r="AC57" s="15">
        <v>5388.0</v>
      </c>
      <c r="AD57" s="11">
        <f t="shared" si="18"/>
        <v>0.004157522894</v>
      </c>
      <c r="AE57" s="15">
        <v>5076.0</v>
      </c>
      <c r="AF57" s="20">
        <f t="shared" si="19"/>
        <v>0.008787175847</v>
      </c>
      <c r="AG57" s="19">
        <v>6026.0</v>
      </c>
      <c r="AH57" s="15">
        <v>4042.0</v>
      </c>
      <c r="AI57" s="15">
        <v>4935.0</v>
      </c>
      <c r="AJ57" s="15">
        <v>3697.0</v>
      </c>
    </row>
    <row r="58" ht="15.75" customHeight="1">
      <c r="A58" s="6" t="s">
        <v>73</v>
      </c>
      <c r="B58" s="6" t="s">
        <v>32</v>
      </c>
      <c r="C58" s="6" t="s">
        <v>60</v>
      </c>
      <c r="D58" s="4" t="s">
        <v>144</v>
      </c>
      <c r="E58" s="19">
        <f t="shared" si="2"/>
        <v>4785.3</v>
      </c>
      <c r="F58" s="11">
        <f t="shared" si="3"/>
        <v>0.005259577106</v>
      </c>
      <c r="G58" s="15">
        <f t="shared" si="4"/>
        <v>4468.4</v>
      </c>
      <c r="H58" s="11">
        <f t="shared" si="5"/>
        <v>0.005074869199</v>
      </c>
      <c r="I58" s="15">
        <f t="shared" si="6"/>
        <v>5102.2</v>
      </c>
      <c r="J58" s="20">
        <f t="shared" si="7"/>
        <v>0.005432747943</v>
      </c>
      <c r="K58" s="15">
        <f t="shared" si="8"/>
        <v>6178</v>
      </c>
      <c r="L58" s="11">
        <f t="shared" si="9"/>
        <v>0.005295377131</v>
      </c>
      <c r="M58" s="19">
        <v>3153.0</v>
      </c>
      <c r="N58" s="11">
        <f t="shared" si="10"/>
        <v>0.005353622652</v>
      </c>
      <c r="O58" s="15">
        <v>6238.0</v>
      </c>
      <c r="P58" s="11">
        <f t="shared" si="11"/>
        <v>0.005292607912</v>
      </c>
      <c r="Q58" s="15">
        <v>6341.0</v>
      </c>
      <c r="R58" s="11">
        <f t="shared" si="12"/>
        <v>0.005263367592</v>
      </c>
      <c r="S58" s="17">
        <v>5955.0</v>
      </c>
      <c r="T58" s="29">
        <f t="shared" si="13"/>
        <v>0.005332834229</v>
      </c>
      <c r="U58" s="15">
        <v>4805.0</v>
      </c>
      <c r="V58" s="11">
        <f t="shared" si="14"/>
        <v>0.00507203236</v>
      </c>
      <c r="W58" s="15">
        <v>4953.0</v>
      </c>
      <c r="X58" s="11">
        <f t="shared" si="15"/>
        <v>0.004990151679</v>
      </c>
      <c r="Y58" s="15">
        <v>3480.0</v>
      </c>
      <c r="Z58" s="11">
        <f t="shared" si="16"/>
        <v>0.005915278927</v>
      </c>
      <c r="AA58" s="15">
        <v>3497.0</v>
      </c>
      <c r="AB58" s="11">
        <f t="shared" si="17"/>
        <v>0.005756937711</v>
      </c>
      <c r="AC58" s="15">
        <v>5541.0</v>
      </c>
      <c r="AD58" s="11">
        <f t="shared" si="18"/>
        <v>0.004275581729</v>
      </c>
      <c r="AE58" s="15">
        <v>3890.0</v>
      </c>
      <c r="AF58" s="20">
        <f t="shared" si="19"/>
        <v>0.006734065021</v>
      </c>
      <c r="AG58" s="19">
        <v>6331.0</v>
      </c>
      <c r="AH58" s="15">
        <v>4045.0</v>
      </c>
      <c r="AI58" s="15">
        <v>5472.0</v>
      </c>
      <c r="AJ58" s="15">
        <v>4322.0</v>
      </c>
    </row>
    <row r="59" ht="15.75" customHeight="1">
      <c r="A59" s="6" t="s">
        <v>70</v>
      </c>
      <c r="B59" s="6" t="s">
        <v>32</v>
      </c>
      <c r="C59" s="6" t="s">
        <v>59</v>
      </c>
      <c r="D59" s="4" t="s">
        <v>145</v>
      </c>
      <c r="E59" s="19">
        <f t="shared" si="2"/>
        <v>4740.9</v>
      </c>
      <c r="F59" s="11">
        <f t="shared" si="3"/>
        <v>0.005210776566</v>
      </c>
      <c r="G59" s="15">
        <f t="shared" si="4"/>
        <v>4436.6</v>
      </c>
      <c r="H59" s="11">
        <f t="shared" si="5"/>
        <v>0.005038753175</v>
      </c>
      <c r="I59" s="15">
        <f t="shared" si="6"/>
        <v>5045.2</v>
      </c>
      <c r="J59" s="20">
        <f t="shared" si="7"/>
        <v>0.005372055176</v>
      </c>
      <c r="K59" s="15">
        <f t="shared" si="8"/>
        <v>6445.666667</v>
      </c>
      <c r="L59" s="11">
        <f t="shared" si="9"/>
        <v>0.005524803473</v>
      </c>
      <c r="M59" s="19">
        <v>4026.0</v>
      </c>
      <c r="N59" s="11">
        <f t="shared" si="10"/>
        <v>0.006835929209</v>
      </c>
      <c r="O59" s="15">
        <v>6548.0</v>
      </c>
      <c r="P59" s="11">
        <f t="shared" si="11"/>
        <v>0.005555626259</v>
      </c>
      <c r="Q59" s="15">
        <v>6697.0</v>
      </c>
      <c r="R59" s="11">
        <f t="shared" si="12"/>
        <v>0.005558866546</v>
      </c>
      <c r="S59" s="17">
        <v>6092.0</v>
      </c>
      <c r="T59" s="29">
        <f t="shared" si="13"/>
        <v>0.00545552076</v>
      </c>
      <c r="U59" s="15">
        <v>4600.0</v>
      </c>
      <c r="V59" s="11">
        <f t="shared" si="14"/>
        <v>0.00485563972</v>
      </c>
      <c r="W59" s="15">
        <v>4888.0</v>
      </c>
      <c r="X59" s="11">
        <f t="shared" si="15"/>
        <v>0.004924664124</v>
      </c>
      <c r="Y59" s="15">
        <v>2441.0</v>
      </c>
      <c r="Z59" s="11">
        <f t="shared" si="16"/>
        <v>0.004149194213</v>
      </c>
      <c r="AA59" s="15">
        <v>3448.0</v>
      </c>
      <c r="AB59" s="11">
        <f t="shared" si="17"/>
        <v>0.00567627144</v>
      </c>
      <c r="AC59" s="15">
        <v>6329.0</v>
      </c>
      <c r="AD59" s="11">
        <f t="shared" si="18"/>
        <v>0.004883623311</v>
      </c>
      <c r="AE59" s="15">
        <v>2340.0</v>
      </c>
      <c r="AF59" s="20">
        <f t="shared" si="19"/>
        <v>0.004050825745</v>
      </c>
      <c r="AG59" s="19">
        <v>6534.0</v>
      </c>
      <c r="AH59" s="15">
        <v>4401.0</v>
      </c>
      <c r="AI59" s="15">
        <v>5686.0</v>
      </c>
      <c r="AJ59" s="15">
        <v>4361.0</v>
      </c>
    </row>
    <row r="60" ht="15.75" customHeight="1">
      <c r="A60" s="6" t="s">
        <v>78</v>
      </c>
      <c r="B60" s="6" t="s">
        <v>33</v>
      </c>
      <c r="C60" s="6" t="s">
        <v>52</v>
      </c>
      <c r="D60" s="4" t="s">
        <v>146</v>
      </c>
      <c r="E60" s="19">
        <f t="shared" si="2"/>
        <v>4656.2</v>
      </c>
      <c r="F60" s="11">
        <f t="shared" si="3"/>
        <v>0.005117681842</v>
      </c>
      <c r="G60" s="15">
        <f t="shared" si="4"/>
        <v>4720.6</v>
      </c>
      <c r="H60" s="11">
        <f t="shared" si="5"/>
        <v>0.005361298796</v>
      </c>
      <c r="I60" s="15">
        <f t="shared" si="6"/>
        <v>4591.8</v>
      </c>
      <c r="J60" s="20">
        <f t="shared" si="7"/>
        <v>0.004889281487</v>
      </c>
      <c r="K60" s="15">
        <f t="shared" si="8"/>
        <v>5608.666667</v>
      </c>
      <c r="L60" s="11">
        <f t="shared" si="9"/>
        <v>0.004807381871</v>
      </c>
      <c r="M60" s="19">
        <v>3100.0</v>
      </c>
      <c r="N60" s="11">
        <f t="shared" si="10"/>
        <v>0.005263631532</v>
      </c>
      <c r="O60" s="15">
        <v>5722.0</v>
      </c>
      <c r="P60" s="11">
        <f t="shared" si="11"/>
        <v>0.00485480963</v>
      </c>
      <c r="Q60" s="15">
        <v>5769.0</v>
      </c>
      <c r="R60" s="11">
        <f t="shared" si="12"/>
        <v>0.004788577139</v>
      </c>
      <c r="S60" s="17">
        <v>5335.0</v>
      </c>
      <c r="T60" s="29">
        <f t="shared" si="13"/>
        <v>0.004777610514</v>
      </c>
      <c r="U60" s="15">
        <v>5139.0</v>
      </c>
      <c r="V60" s="11">
        <f t="shared" si="14"/>
        <v>0.005424594026</v>
      </c>
      <c r="W60" s="15">
        <v>5118.0</v>
      </c>
      <c r="X60" s="11">
        <f t="shared" si="15"/>
        <v>0.005156389318</v>
      </c>
      <c r="Y60" s="15">
        <v>2633.0</v>
      </c>
      <c r="Z60" s="11">
        <f t="shared" si="16"/>
        <v>0.00447555443</v>
      </c>
      <c r="AA60" s="15">
        <v>3500.0</v>
      </c>
      <c r="AB60" s="11">
        <f t="shared" si="17"/>
        <v>0.005761876462</v>
      </c>
      <c r="AC60" s="15">
        <v>5982.0</v>
      </c>
      <c r="AD60" s="11">
        <f t="shared" si="18"/>
        <v>0.004615868959</v>
      </c>
      <c r="AE60" s="15">
        <v>4264.0</v>
      </c>
      <c r="AF60" s="20">
        <f t="shared" si="19"/>
        <v>0.007381504691</v>
      </c>
      <c r="AG60" s="19">
        <v>5501.0</v>
      </c>
      <c r="AH60" s="15">
        <v>3729.0</v>
      </c>
      <c r="AI60" s="15">
        <v>4584.0</v>
      </c>
      <c r="AJ60" s="15">
        <v>3001.0</v>
      </c>
    </row>
    <row r="61" ht="15.75" customHeight="1">
      <c r="A61" s="6" t="s">
        <v>70</v>
      </c>
      <c r="B61" s="6" t="s">
        <v>33</v>
      </c>
      <c r="C61" s="6" t="s">
        <v>61</v>
      </c>
      <c r="D61" s="4" t="s">
        <v>147</v>
      </c>
      <c r="E61" s="19">
        <f t="shared" si="2"/>
        <v>4559.5</v>
      </c>
      <c r="F61" s="11">
        <f t="shared" si="3"/>
        <v>0.005011397784</v>
      </c>
      <c r="G61" s="15">
        <f t="shared" si="4"/>
        <v>4680.2</v>
      </c>
      <c r="H61" s="11">
        <f t="shared" si="5"/>
        <v>0.005315415546</v>
      </c>
      <c r="I61" s="15">
        <f t="shared" si="6"/>
        <v>4438.8</v>
      </c>
      <c r="J61" s="20">
        <f t="shared" si="7"/>
        <v>0.004726369325</v>
      </c>
      <c r="K61" s="15">
        <f t="shared" si="8"/>
        <v>5964.666667</v>
      </c>
      <c r="L61" s="11">
        <f t="shared" si="9"/>
        <v>0.005112521764</v>
      </c>
      <c r="M61" s="19">
        <v>2896.0</v>
      </c>
      <c r="N61" s="11">
        <f t="shared" si="10"/>
        <v>0.004917250618</v>
      </c>
      <c r="O61" s="15">
        <v>6045.0</v>
      </c>
      <c r="P61" s="11">
        <f t="shared" si="11"/>
        <v>0.005128857779</v>
      </c>
      <c r="Q61" s="15">
        <v>6195.0</v>
      </c>
      <c r="R61" s="11">
        <f t="shared" si="12"/>
        <v>0.005142179819</v>
      </c>
      <c r="S61" s="17">
        <v>5654.0</v>
      </c>
      <c r="T61" s="29">
        <f t="shared" si="13"/>
        <v>0.005063282071</v>
      </c>
      <c r="U61" s="15">
        <v>5639.0</v>
      </c>
      <c r="V61" s="11">
        <f t="shared" si="14"/>
        <v>0.005952380952</v>
      </c>
      <c r="W61" s="15">
        <v>5696.0</v>
      </c>
      <c r="X61" s="11">
        <f t="shared" si="15"/>
        <v>0.005738724806</v>
      </c>
      <c r="Y61" s="15">
        <v>2085.0</v>
      </c>
      <c r="Z61" s="11">
        <f t="shared" si="16"/>
        <v>0.003544067978</v>
      </c>
      <c r="AA61" s="15">
        <v>2215.0</v>
      </c>
      <c r="AB61" s="11">
        <f t="shared" si="17"/>
        <v>0.003646444675</v>
      </c>
      <c r="AC61" s="15">
        <v>5672.0</v>
      </c>
      <c r="AD61" s="11">
        <f t="shared" si="18"/>
        <v>0.004376664784</v>
      </c>
      <c r="AE61" s="15">
        <v>3498.0</v>
      </c>
      <c r="AF61" s="20">
        <f t="shared" si="19"/>
        <v>0.006055465153</v>
      </c>
      <c r="AG61" s="19">
        <v>5730.0</v>
      </c>
      <c r="AH61" s="15">
        <v>3817.0</v>
      </c>
      <c r="AI61" s="15">
        <v>4808.0</v>
      </c>
      <c r="AJ61" s="15">
        <v>3898.0</v>
      </c>
    </row>
    <row r="62" ht="15.75" customHeight="1">
      <c r="A62" s="6" t="s">
        <v>78</v>
      </c>
      <c r="B62" s="6" t="s">
        <v>33</v>
      </c>
      <c r="C62" s="6" t="s">
        <v>52</v>
      </c>
      <c r="D62" s="4" t="s">
        <v>148</v>
      </c>
      <c r="E62" s="19">
        <f t="shared" si="2"/>
        <v>4318.9</v>
      </c>
      <c r="F62" s="11">
        <f t="shared" si="3"/>
        <v>0.004746951615</v>
      </c>
      <c r="G62" s="15">
        <f t="shared" si="4"/>
        <v>4444.4</v>
      </c>
      <c r="H62" s="11">
        <f t="shared" si="5"/>
        <v>0.005047611822</v>
      </c>
      <c r="I62" s="15">
        <f t="shared" si="6"/>
        <v>4193.4</v>
      </c>
      <c r="J62" s="20">
        <f t="shared" si="7"/>
        <v>0.004465070994</v>
      </c>
      <c r="K62" s="15">
        <f t="shared" si="8"/>
        <v>5429.333333</v>
      </c>
      <c r="L62" s="11">
        <f t="shared" si="9"/>
        <v>0.004653669079</v>
      </c>
      <c r="M62" s="19">
        <v>2853.0</v>
      </c>
      <c r="N62" s="11">
        <f t="shared" si="10"/>
        <v>0.004844238955</v>
      </c>
      <c r="O62" s="15">
        <v>5500.0</v>
      </c>
      <c r="P62" s="11">
        <f t="shared" si="11"/>
        <v>0.004666454555</v>
      </c>
      <c r="Q62" s="15">
        <v>5581.0</v>
      </c>
      <c r="R62" s="11">
        <f t="shared" si="12"/>
        <v>0.00463252713</v>
      </c>
      <c r="S62" s="17">
        <v>5207.0</v>
      </c>
      <c r="T62" s="29">
        <f t="shared" si="13"/>
        <v>0.004662983683</v>
      </c>
      <c r="U62" s="15">
        <v>4868.0</v>
      </c>
      <c r="V62" s="11">
        <f t="shared" si="14"/>
        <v>0.005138533512</v>
      </c>
      <c r="W62" s="15">
        <v>4986.0</v>
      </c>
      <c r="X62" s="11">
        <f t="shared" si="15"/>
        <v>0.005023399207</v>
      </c>
      <c r="Y62" s="15">
        <v>2130.0</v>
      </c>
      <c r="Z62" s="11">
        <f t="shared" si="16"/>
        <v>0.003620558654</v>
      </c>
      <c r="AA62" s="15">
        <v>2549.0</v>
      </c>
      <c r="AB62" s="11">
        <f t="shared" si="17"/>
        <v>0.004196292315</v>
      </c>
      <c r="AC62" s="15">
        <v>5967.0</v>
      </c>
      <c r="AD62" s="11">
        <f t="shared" si="18"/>
        <v>0.004604294564</v>
      </c>
      <c r="AE62" s="15">
        <v>3548.0</v>
      </c>
      <c r="AF62" s="20">
        <f t="shared" si="19"/>
        <v>0.006142021258</v>
      </c>
      <c r="AG62" s="19">
        <v>5172.0</v>
      </c>
      <c r="AH62" s="15">
        <v>3445.0</v>
      </c>
      <c r="AI62" s="15">
        <v>4433.0</v>
      </c>
      <c r="AJ62" s="15">
        <v>3321.0</v>
      </c>
    </row>
    <row r="63" ht="15.75" customHeight="1">
      <c r="A63" s="6" t="s">
        <v>78</v>
      </c>
      <c r="B63" s="6" t="s">
        <v>33</v>
      </c>
      <c r="C63" s="6" t="s">
        <v>52</v>
      </c>
      <c r="D63" s="4" t="s">
        <v>149</v>
      </c>
      <c r="E63" s="19">
        <f t="shared" si="2"/>
        <v>4295.1</v>
      </c>
      <c r="F63" s="11">
        <f t="shared" si="3"/>
        <v>0.004720792767</v>
      </c>
      <c r="G63" s="15">
        <f t="shared" si="4"/>
        <v>4449.2</v>
      </c>
      <c r="H63" s="11">
        <f t="shared" si="5"/>
        <v>0.005053063298</v>
      </c>
      <c r="I63" s="15">
        <f t="shared" si="6"/>
        <v>4141</v>
      </c>
      <c r="J63" s="20">
        <f t="shared" si="7"/>
        <v>0.00440927624</v>
      </c>
      <c r="K63" s="15">
        <f t="shared" si="8"/>
        <v>4981.333333</v>
      </c>
      <c r="L63" s="11">
        <f t="shared" si="9"/>
        <v>0.004269672809</v>
      </c>
      <c r="M63" s="19">
        <v>2512.0</v>
      </c>
      <c r="N63" s="11">
        <f t="shared" si="10"/>
        <v>0.004265239487</v>
      </c>
      <c r="O63" s="15">
        <v>5066.0</v>
      </c>
      <c r="P63" s="11">
        <f t="shared" si="11"/>
        <v>0.004298228868</v>
      </c>
      <c r="Q63" s="15">
        <v>5093.0</v>
      </c>
      <c r="R63" s="11">
        <f t="shared" si="12"/>
        <v>0.004227461149</v>
      </c>
      <c r="S63" s="17">
        <v>4785.0</v>
      </c>
      <c r="T63" s="29">
        <f t="shared" si="13"/>
        <v>0.004285073348</v>
      </c>
      <c r="U63" s="15">
        <v>4964.0</v>
      </c>
      <c r="V63" s="11">
        <f t="shared" si="14"/>
        <v>0.005239868602</v>
      </c>
      <c r="W63" s="15">
        <v>5164.0</v>
      </c>
      <c r="X63" s="11">
        <f t="shared" si="15"/>
        <v>0.005202734357</v>
      </c>
      <c r="Y63" s="15">
        <v>2570.0</v>
      </c>
      <c r="Z63" s="11">
        <f t="shared" si="16"/>
        <v>0.004368467484</v>
      </c>
      <c r="AA63" s="15">
        <v>3191.0</v>
      </c>
      <c r="AB63" s="11">
        <f t="shared" si="17"/>
        <v>0.005253185083</v>
      </c>
      <c r="AC63" s="15">
        <v>5666.0</v>
      </c>
      <c r="AD63" s="11">
        <f t="shared" si="18"/>
        <v>0.004372035026</v>
      </c>
      <c r="AE63" s="15">
        <v>3940.0</v>
      </c>
      <c r="AF63" s="20">
        <f t="shared" si="19"/>
        <v>0.006820621127</v>
      </c>
      <c r="AG63" s="19">
        <v>4839.0</v>
      </c>
      <c r="AH63" s="15">
        <v>3308.0</v>
      </c>
      <c r="AI63" s="15">
        <v>4156.0</v>
      </c>
      <c r="AJ63" s="15">
        <v>3021.0</v>
      </c>
    </row>
    <row r="64" ht="15.75" customHeight="1">
      <c r="A64" s="6" t="s">
        <v>74</v>
      </c>
      <c r="B64" s="6" t="s">
        <v>33</v>
      </c>
      <c r="C64" s="6" t="s">
        <v>53</v>
      </c>
      <c r="D64" s="4" t="s">
        <v>150</v>
      </c>
      <c r="E64" s="19">
        <f t="shared" si="2"/>
        <v>4284.5</v>
      </c>
      <c r="F64" s="11">
        <f t="shared" si="3"/>
        <v>0.004709142188</v>
      </c>
      <c r="G64" s="15">
        <f t="shared" si="4"/>
        <v>4345.8</v>
      </c>
      <c r="H64" s="11">
        <f t="shared" si="5"/>
        <v>0.004935629434</v>
      </c>
      <c r="I64" s="15">
        <f t="shared" si="6"/>
        <v>4223.2</v>
      </c>
      <c r="J64" s="20">
        <f t="shared" si="7"/>
        <v>0.004496801598</v>
      </c>
      <c r="K64" s="15">
        <f t="shared" si="8"/>
        <v>4974</v>
      </c>
      <c r="L64" s="11">
        <f t="shared" si="9"/>
        <v>0.004263387156</v>
      </c>
      <c r="M64" s="19">
        <v>2733.0</v>
      </c>
      <c r="N64" s="11">
        <f t="shared" si="10"/>
        <v>0.004640485477</v>
      </c>
      <c r="O64" s="15">
        <v>4960.0</v>
      </c>
      <c r="P64" s="11">
        <f t="shared" si="11"/>
        <v>0.004208293562</v>
      </c>
      <c r="Q64" s="15">
        <v>5112.0</v>
      </c>
      <c r="R64" s="11">
        <f t="shared" si="12"/>
        <v>0.004243232161</v>
      </c>
      <c r="S64" s="17">
        <v>4850.0</v>
      </c>
      <c r="T64" s="29">
        <f t="shared" si="13"/>
        <v>0.004343282286</v>
      </c>
      <c r="U64" s="15">
        <v>4522.0</v>
      </c>
      <c r="V64" s="11">
        <f t="shared" si="14"/>
        <v>0.00477330496</v>
      </c>
      <c r="W64" s="15">
        <v>4908.0</v>
      </c>
      <c r="X64" s="11">
        <f t="shared" si="15"/>
        <v>0.004944814141</v>
      </c>
      <c r="Y64" s="15">
        <v>3280.0</v>
      </c>
      <c r="Z64" s="11">
        <f t="shared" si="16"/>
        <v>0.005575320368</v>
      </c>
      <c r="AA64" s="15">
        <v>2914.0</v>
      </c>
      <c r="AB64" s="11">
        <f t="shared" si="17"/>
        <v>0.004797173717</v>
      </c>
      <c r="AC64" s="15">
        <v>7770.0</v>
      </c>
      <c r="AD64" s="11">
        <f t="shared" si="18"/>
        <v>0.005995536913</v>
      </c>
      <c r="AE64" s="15">
        <v>1796.0</v>
      </c>
      <c r="AF64" s="20">
        <f t="shared" si="19"/>
        <v>0.003109095316</v>
      </c>
      <c r="AG64" s="19">
        <v>4475.0</v>
      </c>
      <c r="AH64" s="15">
        <v>3289.0</v>
      </c>
      <c r="AI64" s="15">
        <v>4024.0</v>
      </c>
      <c r="AJ64" s="15">
        <v>3072.0</v>
      </c>
    </row>
    <row r="65" ht="15.75" customHeight="1">
      <c r="A65" s="6" t="s">
        <v>78</v>
      </c>
      <c r="B65" s="6" t="s">
        <v>33</v>
      </c>
      <c r="C65" s="6" t="s">
        <v>61</v>
      </c>
      <c r="D65" s="4" t="s">
        <v>151</v>
      </c>
      <c r="E65" s="19">
        <f t="shared" si="2"/>
        <v>4209.6</v>
      </c>
      <c r="F65" s="11">
        <f t="shared" si="3"/>
        <v>0.004626818754</v>
      </c>
      <c r="G65" s="15">
        <f t="shared" si="4"/>
        <v>4344.8</v>
      </c>
      <c r="H65" s="11">
        <f t="shared" si="5"/>
        <v>0.00493449371</v>
      </c>
      <c r="I65" s="15">
        <f t="shared" si="6"/>
        <v>4074.4</v>
      </c>
      <c r="J65" s="20">
        <f t="shared" si="7"/>
        <v>0.004338361534</v>
      </c>
      <c r="K65" s="15">
        <f t="shared" si="8"/>
        <v>5016.333333</v>
      </c>
      <c r="L65" s="11">
        <f t="shared" si="9"/>
        <v>0.004299672517</v>
      </c>
      <c r="M65" s="19">
        <v>2980.0</v>
      </c>
      <c r="N65" s="11">
        <f t="shared" si="10"/>
        <v>0.005059878054</v>
      </c>
      <c r="O65" s="15">
        <v>5098.0</v>
      </c>
      <c r="P65" s="11">
        <f t="shared" si="11"/>
        <v>0.004325379149</v>
      </c>
      <c r="Q65" s="15">
        <v>5176.0</v>
      </c>
      <c r="R65" s="11">
        <f t="shared" si="12"/>
        <v>0.004296355568</v>
      </c>
      <c r="S65" s="17">
        <v>4775.0</v>
      </c>
      <c r="T65" s="29">
        <f t="shared" si="13"/>
        <v>0.004276118127</v>
      </c>
      <c r="U65" s="15">
        <v>4964.0</v>
      </c>
      <c r="V65" s="11">
        <f t="shared" si="14"/>
        <v>0.005239868602</v>
      </c>
      <c r="W65" s="15">
        <v>5013.0</v>
      </c>
      <c r="X65" s="11">
        <f t="shared" si="15"/>
        <v>0.00505060173</v>
      </c>
      <c r="Y65" s="15">
        <v>2404.0</v>
      </c>
      <c r="Z65" s="11">
        <f t="shared" si="16"/>
        <v>0.00408630188</v>
      </c>
      <c r="AA65" s="15">
        <v>2919.0</v>
      </c>
      <c r="AB65" s="11">
        <f t="shared" si="17"/>
        <v>0.004805404969</v>
      </c>
      <c r="AC65" s="15">
        <v>4448.0</v>
      </c>
      <c r="AD65" s="11">
        <f t="shared" si="18"/>
        <v>0.003432194104</v>
      </c>
      <c r="AE65" s="15">
        <v>4319.0</v>
      </c>
      <c r="AF65" s="20">
        <f t="shared" si="19"/>
        <v>0.007476716408</v>
      </c>
      <c r="AG65" s="19">
        <v>4931.0</v>
      </c>
      <c r="AH65" s="15">
        <v>3268.0</v>
      </c>
      <c r="AI65" s="15">
        <v>4069.0</v>
      </c>
      <c r="AJ65" s="15">
        <v>3012.0</v>
      </c>
    </row>
    <row r="66" ht="15.75" customHeight="1">
      <c r="A66" s="6" t="s">
        <v>78</v>
      </c>
      <c r="B66" s="6" t="s">
        <v>33</v>
      </c>
      <c r="C66" s="6" t="s">
        <v>62</v>
      </c>
      <c r="D66" s="4" t="s">
        <v>152</v>
      </c>
      <c r="E66" s="19">
        <f t="shared" si="2"/>
        <v>4157.7</v>
      </c>
      <c r="F66" s="11">
        <f t="shared" si="3"/>
        <v>0.00456977488</v>
      </c>
      <c r="G66" s="15">
        <f t="shared" si="4"/>
        <v>3706.8</v>
      </c>
      <c r="H66" s="11">
        <f t="shared" si="5"/>
        <v>0.004209901787</v>
      </c>
      <c r="I66" s="15">
        <f t="shared" si="6"/>
        <v>4608.6</v>
      </c>
      <c r="J66" s="20">
        <f t="shared" si="7"/>
        <v>0.004907169881</v>
      </c>
      <c r="K66" s="15">
        <f t="shared" si="8"/>
        <v>6118.666667</v>
      </c>
      <c r="L66" s="11">
        <f t="shared" si="9"/>
        <v>0.005244520482</v>
      </c>
      <c r="M66" s="19">
        <v>3388.0</v>
      </c>
      <c r="N66" s="11">
        <f t="shared" si="10"/>
        <v>0.005752639881</v>
      </c>
      <c r="O66" s="15">
        <v>6267.0</v>
      </c>
      <c r="P66" s="11">
        <f t="shared" si="11"/>
        <v>0.005317212854</v>
      </c>
      <c r="Q66" s="15">
        <v>6347.0</v>
      </c>
      <c r="R66" s="11">
        <f t="shared" si="12"/>
        <v>0.005268347912</v>
      </c>
      <c r="S66" s="17">
        <v>5742.0</v>
      </c>
      <c r="T66" s="29">
        <f t="shared" si="13"/>
        <v>0.005142088017</v>
      </c>
      <c r="U66" s="15">
        <v>3380.0</v>
      </c>
      <c r="V66" s="11">
        <f t="shared" si="14"/>
        <v>0.00356783962</v>
      </c>
      <c r="W66" s="15">
        <v>3618.0</v>
      </c>
      <c r="X66" s="11">
        <f t="shared" si="15"/>
        <v>0.003645138053</v>
      </c>
      <c r="Y66" s="15">
        <v>2454.0</v>
      </c>
      <c r="Z66" s="11">
        <f t="shared" si="16"/>
        <v>0.00417129152</v>
      </c>
      <c r="AA66" s="15">
        <v>2233.0</v>
      </c>
      <c r="AB66" s="11">
        <f t="shared" si="17"/>
        <v>0.003676077183</v>
      </c>
      <c r="AC66" s="15">
        <v>6623.0</v>
      </c>
      <c r="AD66" s="11">
        <f t="shared" si="18"/>
        <v>0.005110481464</v>
      </c>
      <c r="AE66" s="15">
        <v>1525.0</v>
      </c>
      <c r="AF66" s="20">
        <f t="shared" si="19"/>
        <v>0.002639961223</v>
      </c>
      <c r="AG66" s="19">
        <v>6000.0</v>
      </c>
      <c r="AH66" s="15">
        <v>4033.0</v>
      </c>
      <c r="AI66" s="15">
        <v>5187.0</v>
      </c>
      <c r="AJ66" s="15">
        <v>3786.0</v>
      </c>
    </row>
    <row r="67" ht="15.75" customHeight="1">
      <c r="A67" s="6" t="s">
        <v>78</v>
      </c>
      <c r="B67" s="6" t="s">
        <v>33</v>
      </c>
      <c r="C67" s="6" t="s">
        <v>59</v>
      </c>
      <c r="D67" s="4" t="s">
        <v>153</v>
      </c>
      <c r="E67" s="19">
        <f t="shared" si="2"/>
        <v>3873.2</v>
      </c>
      <c r="F67" s="11">
        <f t="shared" si="3"/>
        <v>0.004257077727</v>
      </c>
      <c r="G67" s="15">
        <f t="shared" si="4"/>
        <v>4249.2</v>
      </c>
      <c r="H67" s="11">
        <f t="shared" si="5"/>
        <v>0.004825918494</v>
      </c>
      <c r="I67" s="15">
        <f t="shared" si="6"/>
        <v>3497.2</v>
      </c>
      <c r="J67" s="20">
        <f t="shared" si="7"/>
        <v>0.003723767415</v>
      </c>
      <c r="K67" s="15">
        <f t="shared" si="8"/>
        <v>4341.333333</v>
      </c>
      <c r="L67" s="11">
        <f t="shared" si="9"/>
        <v>0.003721106709</v>
      </c>
      <c r="M67" s="19">
        <v>2399.0</v>
      </c>
      <c r="N67" s="11">
        <f t="shared" si="10"/>
        <v>0.004073371628</v>
      </c>
      <c r="O67" s="15">
        <v>4414.0</v>
      </c>
      <c r="P67" s="11">
        <f t="shared" si="11"/>
        <v>0.003745041892</v>
      </c>
      <c r="Q67" s="15">
        <v>4459.0</v>
      </c>
      <c r="R67" s="11">
        <f t="shared" si="12"/>
        <v>0.003701207395</v>
      </c>
      <c r="S67" s="17">
        <v>4151.0</v>
      </c>
      <c r="T67" s="29">
        <f t="shared" si="13"/>
        <v>0.003717312323</v>
      </c>
      <c r="U67" s="15">
        <v>4780.0</v>
      </c>
      <c r="V67" s="11">
        <f t="shared" si="14"/>
        <v>0.005045643013</v>
      </c>
      <c r="W67" s="15">
        <v>4939.0</v>
      </c>
      <c r="X67" s="11">
        <f t="shared" si="15"/>
        <v>0.004976046667</v>
      </c>
      <c r="Y67" s="15">
        <v>1982.0</v>
      </c>
      <c r="Z67" s="11">
        <f t="shared" si="16"/>
        <v>0.00336898932</v>
      </c>
      <c r="AA67" s="15">
        <v>2480.0</v>
      </c>
      <c r="AB67" s="11">
        <f t="shared" si="17"/>
        <v>0.004082701036</v>
      </c>
      <c r="AC67" s="15">
        <v>4603.0</v>
      </c>
      <c r="AD67" s="11">
        <f t="shared" si="18"/>
        <v>0.003551796192</v>
      </c>
      <c r="AE67" s="15">
        <v>4525.0</v>
      </c>
      <c r="AF67" s="20">
        <f t="shared" si="19"/>
        <v>0.007833327563</v>
      </c>
      <c r="AG67" s="19">
        <v>4220.0</v>
      </c>
      <c r="AH67" s="15">
        <v>2848.0</v>
      </c>
      <c r="AI67" s="15">
        <v>3525.0</v>
      </c>
      <c r="AJ67" s="15">
        <v>2685.0</v>
      </c>
    </row>
    <row r="68" ht="15.75" customHeight="1">
      <c r="A68" s="6" t="s">
        <v>76</v>
      </c>
      <c r="B68" s="6" t="s">
        <v>33</v>
      </c>
      <c r="C68" s="6" t="s">
        <v>58</v>
      </c>
      <c r="D68" s="4" t="s">
        <v>154</v>
      </c>
      <c r="E68" s="19">
        <f t="shared" si="2"/>
        <v>3854.8</v>
      </c>
      <c r="F68" s="11">
        <f t="shared" si="3"/>
        <v>0.00423685408</v>
      </c>
      <c r="G68" s="15">
        <f t="shared" si="4"/>
        <v>4124.8</v>
      </c>
      <c r="H68" s="11">
        <f t="shared" si="5"/>
        <v>0.004684634426</v>
      </c>
      <c r="I68" s="15">
        <f t="shared" si="6"/>
        <v>3584.8</v>
      </c>
      <c r="J68" s="20">
        <f t="shared" si="7"/>
        <v>0.003817042614</v>
      </c>
      <c r="K68" s="15">
        <f t="shared" si="8"/>
        <v>4603.333333</v>
      </c>
      <c r="L68" s="11">
        <f t="shared" si="9"/>
        <v>0.003945675956</v>
      </c>
      <c r="M68" s="19">
        <v>2596.0</v>
      </c>
      <c r="N68" s="11">
        <f t="shared" si="10"/>
        <v>0.004407866922</v>
      </c>
      <c r="O68" s="15">
        <v>4663.0</v>
      </c>
      <c r="P68" s="11">
        <f t="shared" si="11"/>
        <v>0.003956305016</v>
      </c>
      <c r="Q68" s="15">
        <v>4704.0</v>
      </c>
      <c r="R68" s="11">
        <f t="shared" si="12"/>
        <v>0.003904570439</v>
      </c>
      <c r="S68" s="17">
        <v>4443.0</v>
      </c>
      <c r="T68" s="29">
        <f t="shared" si="13"/>
        <v>0.003978804782</v>
      </c>
      <c r="U68" s="15">
        <v>5238.0</v>
      </c>
      <c r="V68" s="11">
        <f t="shared" si="14"/>
        <v>0.005529095838</v>
      </c>
      <c r="W68" s="15">
        <v>5284.0</v>
      </c>
      <c r="X68" s="11">
        <f t="shared" si="15"/>
        <v>0.005323634459</v>
      </c>
      <c r="Y68" s="15">
        <v>1736.0</v>
      </c>
      <c r="Z68" s="11">
        <f t="shared" si="16"/>
        <v>0.002950840293</v>
      </c>
      <c r="AA68" s="15">
        <v>2378.0</v>
      </c>
      <c r="AB68" s="11">
        <f t="shared" si="17"/>
        <v>0.003914783493</v>
      </c>
      <c r="AC68" s="15">
        <v>4350.0</v>
      </c>
      <c r="AD68" s="11">
        <f t="shared" si="18"/>
        <v>0.00335657472</v>
      </c>
      <c r="AE68" s="15">
        <v>3156.0</v>
      </c>
      <c r="AF68" s="20">
        <f t="shared" si="19"/>
        <v>0.00546342139</v>
      </c>
      <c r="AG68" s="19">
        <v>4621.0</v>
      </c>
      <c r="AH68" s="15">
        <v>2981.0</v>
      </c>
      <c r="AI68" s="15">
        <v>4083.0</v>
      </c>
      <c r="AJ68" s="15">
        <v>3297.0</v>
      </c>
    </row>
    <row r="69" ht="15.75" customHeight="1">
      <c r="A69" s="6" t="s">
        <v>76</v>
      </c>
      <c r="B69" s="6" t="s">
        <v>33</v>
      </c>
      <c r="C69" s="6" t="s">
        <v>58</v>
      </c>
      <c r="D69" s="4" t="s">
        <v>155</v>
      </c>
      <c r="E69" s="19">
        <f t="shared" si="2"/>
        <v>3742.2</v>
      </c>
      <c r="F69" s="11">
        <f t="shared" si="3"/>
        <v>0.004113094152</v>
      </c>
      <c r="G69" s="15">
        <f t="shared" si="4"/>
        <v>4039.2</v>
      </c>
      <c r="H69" s="11">
        <f t="shared" si="5"/>
        <v>0.00458741645</v>
      </c>
      <c r="I69" s="15">
        <f t="shared" si="6"/>
        <v>3445.2</v>
      </c>
      <c r="J69" s="20">
        <f t="shared" si="7"/>
        <v>0.003668398576</v>
      </c>
      <c r="K69" s="15">
        <f t="shared" si="8"/>
        <v>4104.333333</v>
      </c>
      <c r="L69" s="11">
        <f t="shared" si="9"/>
        <v>0.003517965825</v>
      </c>
      <c r="M69" s="19">
        <v>2978.0</v>
      </c>
      <c r="N69" s="11">
        <f t="shared" si="10"/>
        <v>0.005056482162</v>
      </c>
      <c r="O69" s="15">
        <v>4169.0</v>
      </c>
      <c r="P69" s="11">
        <f t="shared" si="11"/>
        <v>0.003537172553</v>
      </c>
      <c r="Q69" s="15">
        <v>4224.0</v>
      </c>
      <c r="R69" s="11">
        <f t="shared" si="12"/>
        <v>0.003506144884</v>
      </c>
      <c r="S69" s="17">
        <v>3920.0</v>
      </c>
      <c r="T69" s="29">
        <f t="shared" si="13"/>
        <v>0.003510446713</v>
      </c>
      <c r="U69" s="15">
        <v>4461.0</v>
      </c>
      <c r="V69" s="11">
        <f t="shared" si="14"/>
        <v>0.004708914955</v>
      </c>
      <c r="W69" s="15">
        <v>4971.0</v>
      </c>
      <c r="X69" s="11">
        <f t="shared" si="15"/>
        <v>0.005008286694</v>
      </c>
      <c r="Y69" s="15">
        <v>2309.0</v>
      </c>
      <c r="Z69" s="11">
        <f t="shared" si="16"/>
        <v>0.003924821564</v>
      </c>
      <c r="AA69" s="15">
        <v>2604.0</v>
      </c>
      <c r="AB69" s="11">
        <f t="shared" si="17"/>
        <v>0.004286836088</v>
      </c>
      <c r="AC69" s="15">
        <v>4172.0</v>
      </c>
      <c r="AD69" s="11">
        <f t="shared" si="18"/>
        <v>0.003219225225</v>
      </c>
      <c r="AE69" s="15">
        <v>3614.0</v>
      </c>
      <c r="AF69" s="20">
        <f t="shared" si="19"/>
        <v>0.006256275318</v>
      </c>
      <c r="AG69" s="19">
        <v>4113.0</v>
      </c>
      <c r="AH69" s="15">
        <v>2782.0</v>
      </c>
      <c r="AI69" s="15">
        <v>3557.0</v>
      </c>
      <c r="AJ69" s="15">
        <v>2764.0</v>
      </c>
    </row>
    <row r="70" ht="15.75" customHeight="1">
      <c r="A70" s="6" t="s">
        <v>76</v>
      </c>
      <c r="B70" s="6" t="s">
        <v>33</v>
      </c>
      <c r="C70" s="6" t="s">
        <v>58</v>
      </c>
      <c r="D70" s="4" t="s">
        <v>156</v>
      </c>
      <c r="E70" s="19">
        <f t="shared" si="2"/>
        <v>3735.6</v>
      </c>
      <c r="F70" s="11">
        <f t="shared" si="3"/>
        <v>0.004105840018</v>
      </c>
      <c r="G70" s="15">
        <f t="shared" si="4"/>
        <v>3905.2</v>
      </c>
      <c r="H70" s="11">
        <f t="shared" si="5"/>
        <v>0.004435229432</v>
      </c>
      <c r="I70" s="15">
        <f t="shared" si="6"/>
        <v>3566</v>
      </c>
      <c r="J70" s="20">
        <f t="shared" si="7"/>
        <v>0.003797024649</v>
      </c>
      <c r="K70" s="15">
        <f t="shared" si="8"/>
        <v>4855.333333</v>
      </c>
      <c r="L70" s="11">
        <f t="shared" si="9"/>
        <v>0.004161673858</v>
      </c>
      <c r="M70" s="19">
        <v>2842.0</v>
      </c>
      <c r="N70" s="11">
        <f t="shared" si="10"/>
        <v>0.004825561553</v>
      </c>
      <c r="O70" s="15">
        <v>4923.0</v>
      </c>
      <c r="P70" s="11">
        <f t="shared" si="11"/>
        <v>0.00417690105</v>
      </c>
      <c r="Q70" s="15">
        <v>5007.0</v>
      </c>
      <c r="R70" s="11">
        <f t="shared" si="12"/>
        <v>0.004156076571</v>
      </c>
      <c r="S70" s="17">
        <v>4636.0</v>
      </c>
      <c r="T70" s="29">
        <f t="shared" si="13"/>
        <v>0.004151640552</v>
      </c>
      <c r="U70" s="15">
        <v>4725.0</v>
      </c>
      <c r="V70" s="11">
        <f t="shared" si="14"/>
        <v>0.004987586451</v>
      </c>
      <c r="W70" s="15">
        <v>5015.0</v>
      </c>
      <c r="X70" s="11">
        <f t="shared" si="15"/>
        <v>0.005052616732</v>
      </c>
      <c r="Y70" s="15">
        <v>1532.0</v>
      </c>
      <c r="Z70" s="11">
        <f t="shared" si="16"/>
        <v>0.002604082562</v>
      </c>
      <c r="AA70" s="15">
        <v>1732.0</v>
      </c>
      <c r="AB70" s="11">
        <f t="shared" si="17"/>
        <v>0.002851305724</v>
      </c>
      <c r="AC70" s="15">
        <v>4208.0</v>
      </c>
      <c r="AD70" s="11">
        <f t="shared" si="18"/>
        <v>0.003247003775</v>
      </c>
      <c r="AE70" s="15">
        <v>2736.0</v>
      </c>
      <c r="AF70" s="20">
        <f t="shared" si="19"/>
        <v>0.004736350102</v>
      </c>
      <c r="AG70" s="19">
        <v>5305.0</v>
      </c>
      <c r="AH70" s="15">
        <v>3320.0</v>
      </c>
      <c r="AI70" s="15">
        <v>4508.0</v>
      </c>
      <c r="AJ70" s="15">
        <v>3682.0</v>
      </c>
    </row>
    <row r="71" ht="15.75" customHeight="1">
      <c r="A71" s="6" t="s">
        <v>73</v>
      </c>
      <c r="B71" s="6" t="s">
        <v>33</v>
      </c>
      <c r="C71" s="6" t="s">
        <v>60</v>
      </c>
      <c r="D71" s="4" t="s">
        <v>157</v>
      </c>
      <c r="E71" s="19">
        <f t="shared" si="2"/>
        <v>3700.1</v>
      </c>
      <c r="F71" s="11">
        <f t="shared" si="3"/>
        <v>0.004066821568</v>
      </c>
      <c r="G71" s="15">
        <f t="shared" si="4"/>
        <v>3695.8</v>
      </c>
      <c r="H71" s="11">
        <f t="shared" si="5"/>
        <v>0.004197408823</v>
      </c>
      <c r="I71" s="15">
        <f t="shared" si="6"/>
        <v>3704.4</v>
      </c>
      <c r="J71" s="20">
        <f t="shared" si="7"/>
        <v>0.003944390945</v>
      </c>
      <c r="K71" s="15">
        <f t="shared" si="8"/>
        <v>4524.333333</v>
      </c>
      <c r="L71" s="11">
        <f t="shared" si="9"/>
        <v>0.003877962328</v>
      </c>
      <c r="M71" s="19">
        <v>2577.0</v>
      </c>
      <c r="N71" s="11">
        <f t="shared" si="10"/>
        <v>0.004375605954</v>
      </c>
      <c r="O71" s="15">
        <v>4560.0</v>
      </c>
      <c r="P71" s="11">
        <f t="shared" si="11"/>
        <v>0.003868915049</v>
      </c>
      <c r="Q71" s="15">
        <v>4628.0</v>
      </c>
      <c r="R71" s="11">
        <f t="shared" si="12"/>
        <v>0.003841486393</v>
      </c>
      <c r="S71" s="17">
        <v>4385.0</v>
      </c>
      <c r="T71" s="29">
        <f t="shared" si="13"/>
        <v>0.003926864499</v>
      </c>
      <c r="U71" s="15">
        <v>3709.0</v>
      </c>
      <c r="V71" s="11">
        <f t="shared" si="14"/>
        <v>0.003915123418</v>
      </c>
      <c r="W71" s="15">
        <v>4062.0</v>
      </c>
      <c r="X71" s="11">
        <f t="shared" si="15"/>
        <v>0.004092468427</v>
      </c>
      <c r="Y71" s="15">
        <v>2525.0</v>
      </c>
      <c r="Z71" s="11">
        <f t="shared" si="16"/>
        <v>0.004291976808</v>
      </c>
      <c r="AA71" s="15">
        <v>2424.0</v>
      </c>
      <c r="AB71" s="11">
        <f t="shared" si="17"/>
        <v>0.003990511013</v>
      </c>
      <c r="AC71" s="15">
        <v>4740.0</v>
      </c>
      <c r="AD71" s="11">
        <f t="shared" si="18"/>
        <v>0.003657509005</v>
      </c>
      <c r="AE71" s="15">
        <v>3391.0</v>
      </c>
      <c r="AF71" s="20">
        <f t="shared" si="19"/>
        <v>0.005870235086</v>
      </c>
      <c r="AG71" s="19">
        <v>4408.0</v>
      </c>
      <c r="AH71" s="15">
        <v>2932.0</v>
      </c>
      <c r="AI71" s="15">
        <v>3810.0</v>
      </c>
      <c r="AJ71" s="15">
        <v>2860.0</v>
      </c>
    </row>
    <row r="72" ht="15.75" customHeight="1">
      <c r="A72" s="6" t="s">
        <v>75</v>
      </c>
      <c r="B72" s="6" t="s">
        <v>33</v>
      </c>
      <c r="C72" s="6" t="s">
        <v>53</v>
      </c>
      <c r="D72" s="4" t="s">
        <v>158</v>
      </c>
      <c r="E72" s="19">
        <f t="shared" si="2"/>
        <v>3692.5</v>
      </c>
      <c r="F72" s="11">
        <f t="shared" si="3"/>
        <v>0.004058468323</v>
      </c>
      <c r="G72" s="15">
        <f t="shared" si="4"/>
        <v>3780</v>
      </c>
      <c r="H72" s="11">
        <f t="shared" si="5"/>
        <v>0.004293036785</v>
      </c>
      <c r="I72" s="15">
        <f t="shared" si="6"/>
        <v>3605</v>
      </c>
      <c r="J72" s="20">
        <f t="shared" si="7"/>
        <v>0.003838551279</v>
      </c>
      <c r="K72" s="15">
        <f t="shared" si="8"/>
        <v>4515.333333</v>
      </c>
      <c r="L72" s="11">
        <f t="shared" si="9"/>
        <v>0.003870248118</v>
      </c>
      <c r="M72" s="19">
        <v>2632.0</v>
      </c>
      <c r="N72" s="11">
        <f t="shared" si="10"/>
        <v>0.004468992965</v>
      </c>
      <c r="O72" s="15">
        <v>4533.0</v>
      </c>
      <c r="P72" s="11">
        <f t="shared" si="11"/>
        <v>0.003846007</v>
      </c>
      <c r="Q72" s="15">
        <v>4614.0</v>
      </c>
      <c r="R72" s="11">
        <f t="shared" si="12"/>
        <v>0.003829865648</v>
      </c>
      <c r="S72" s="17">
        <v>4399.0</v>
      </c>
      <c r="T72" s="29">
        <f t="shared" si="13"/>
        <v>0.003939401809</v>
      </c>
      <c r="U72" s="15">
        <v>4210.0</v>
      </c>
      <c r="V72" s="11">
        <f t="shared" si="14"/>
        <v>0.004443965918</v>
      </c>
      <c r="W72" s="15">
        <v>4406.0</v>
      </c>
      <c r="X72" s="11">
        <f t="shared" si="15"/>
        <v>0.004439048718</v>
      </c>
      <c r="Y72" s="15">
        <v>2118.0</v>
      </c>
      <c r="Z72" s="11">
        <f t="shared" si="16"/>
        <v>0.00360016114</v>
      </c>
      <c r="AA72" s="15">
        <v>2361.0</v>
      </c>
      <c r="AB72" s="11">
        <f t="shared" si="17"/>
        <v>0.003886797236</v>
      </c>
      <c r="AC72" s="15">
        <v>4413.0</v>
      </c>
      <c r="AD72" s="11">
        <f t="shared" si="18"/>
        <v>0.003405187181</v>
      </c>
      <c r="AE72" s="15">
        <v>3239.0</v>
      </c>
      <c r="AF72" s="20">
        <f t="shared" si="19"/>
        <v>0.005607104525</v>
      </c>
      <c r="AG72" s="19">
        <v>4519.0</v>
      </c>
      <c r="AH72" s="15">
        <v>2907.0</v>
      </c>
      <c r="AI72" s="15">
        <v>3763.0</v>
      </c>
      <c r="AJ72" s="15">
        <v>2828.0</v>
      </c>
    </row>
    <row r="73" ht="15.75" customHeight="1">
      <c r="A73" s="6" t="s">
        <v>75</v>
      </c>
      <c r="B73" s="6" t="s">
        <v>33</v>
      </c>
      <c r="C73" s="6" t="s">
        <v>60</v>
      </c>
      <c r="D73" s="4" t="s">
        <v>159</v>
      </c>
      <c r="E73" s="19">
        <f t="shared" si="2"/>
        <v>3659.5</v>
      </c>
      <c r="F73" s="11">
        <f t="shared" si="3"/>
        <v>0.004022197651</v>
      </c>
      <c r="G73" s="15">
        <f t="shared" si="4"/>
        <v>3484.4</v>
      </c>
      <c r="H73" s="11">
        <f t="shared" si="5"/>
        <v>0.003957316766</v>
      </c>
      <c r="I73" s="15">
        <f t="shared" si="6"/>
        <v>3834.6</v>
      </c>
      <c r="J73" s="20">
        <f t="shared" si="7"/>
        <v>0.004083026001</v>
      </c>
      <c r="K73" s="15">
        <f t="shared" si="8"/>
        <v>4732.666667</v>
      </c>
      <c r="L73" s="11">
        <f t="shared" si="9"/>
        <v>0.004056532022</v>
      </c>
      <c r="M73" s="19">
        <v>2419.0</v>
      </c>
      <c r="N73" s="11">
        <f t="shared" si="10"/>
        <v>0.004107330541</v>
      </c>
      <c r="O73" s="15">
        <v>4756.0</v>
      </c>
      <c r="P73" s="11">
        <f t="shared" si="11"/>
        <v>0.004035210521</v>
      </c>
      <c r="Q73" s="15">
        <v>4820.0</v>
      </c>
      <c r="R73" s="11">
        <f t="shared" si="12"/>
        <v>0.004000856615</v>
      </c>
      <c r="S73" s="17">
        <v>4622.0</v>
      </c>
      <c r="T73" s="29">
        <f t="shared" si="13"/>
        <v>0.004139103242</v>
      </c>
      <c r="U73" s="15">
        <v>3587.0</v>
      </c>
      <c r="V73" s="11">
        <f t="shared" si="14"/>
        <v>0.003786343408</v>
      </c>
      <c r="W73" s="15">
        <v>3779.0</v>
      </c>
      <c r="X73" s="11">
        <f t="shared" si="15"/>
        <v>0.003807345689</v>
      </c>
      <c r="Y73" s="15">
        <v>2626.0</v>
      </c>
      <c r="Z73" s="11">
        <f t="shared" si="16"/>
        <v>0.00446365588</v>
      </c>
      <c r="AA73" s="15">
        <v>2349.0</v>
      </c>
      <c r="AB73" s="11">
        <f t="shared" si="17"/>
        <v>0.003867042231</v>
      </c>
      <c r="AC73" s="15">
        <v>4527.0</v>
      </c>
      <c r="AD73" s="11">
        <f t="shared" si="18"/>
        <v>0.003493152588</v>
      </c>
      <c r="AE73" s="15">
        <v>3110.0</v>
      </c>
      <c r="AF73" s="20">
        <f t="shared" si="19"/>
        <v>0.005383789773</v>
      </c>
      <c r="AG73" s="19">
        <v>4605.0</v>
      </c>
      <c r="AH73" s="15">
        <v>3045.0</v>
      </c>
      <c r="AI73" s="15">
        <v>4124.0</v>
      </c>
      <c r="AJ73" s="15">
        <v>2953.0</v>
      </c>
    </row>
    <row r="74" ht="15.75" customHeight="1">
      <c r="A74" s="6" t="s">
        <v>75</v>
      </c>
      <c r="B74" s="6" t="s">
        <v>33</v>
      </c>
      <c r="C74" s="6" t="s">
        <v>53</v>
      </c>
      <c r="D74" s="4" t="s">
        <v>160</v>
      </c>
      <c r="E74" s="19">
        <f t="shared" si="2"/>
        <v>3630.3</v>
      </c>
      <c r="F74" s="11">
        <f t="shared" si="3"/>
        <v>0.003990103602</v>
      </c>
      <c r="G74" s="15">
        <f t="shared" si="4"/>
        <v>3469</v>
      </c>
      <c r="H74" s="11">
        <f t="shared" si="5"/>
        <v>0.003939826616</v>
      </c>
      <c r="I74" s="15">
        <f t="shared" si="6"/>
        <v>3791.6</v>
      </c>
      <c r="J74" s="20">
        <f t="shared" si="7"/>
        <v>0.00403724023</v>
      </c>
      <c r="K74" s="15">
        <f t="shared" si="8"/>
        <v>4779</v>
      </c>
      <c r="L74" s="11">
        <f t="shared" si="9"/>
        <v>0.004096245922</v>
      </c>
      <c r="M74" s="19">
        <v>2752.0</v>
      </c>
      <c r="N74" s="11">
        <f t="shared" si="10"/>
        <v>0.004672746444</v>
      </c>
      <c r="O74" s="15">
        <v>4800.0</v>
      </c>
      <c r="P74" s="11">
        <f t="shared" si="11"/>
        <v>0.004072542157</v>
      </c>
      <c r="Q74" s="15">
        <v>4874.0</v>
      </c>
      <c r="R74" s="11">
        <f t="shared" si="12"/>
        <v>0.00404567949</v>
      </c>
      <c r="S74" s="17">
        <v>4663.0</v>
      </c>
      <c r="T74" s="29">
        <f t="shared" si="13"/>
        <v>0.004175819649</v>
      </c>
      <c r="U74" s="15">
        <v>4085.0</v>
      </c>
      <c r="V74" s="11">
        <f t="shared" si="14"/>
        <v>0.004312019186</v>
      </c>
      <c r="W74" s="15">
        <v>4375.0</v>
      </c>
      <c r="X74" s="11">
        <f t="shared" si="15"/>
        <v>0.004407816192</v>
      </c>
      <c r="Y74" s="15">
        <v>2526.0</v>
      </c>
      <c r="Z74" s="11">
        <f t="shared" si="16"/>
        <v>0.004293676601</v>
      </c>
      <c r="AA74" s="15">
        <v>2095.0</v>
      </c>
      <c r="AB74" s="11">
        <f t="shared" si="17"/>
        <v>0.003448894625</v>
      </c>
      <c r="AC74" s="15">
        <v>4151.0</v>
      </c>
      <c r="AD74" s="11">
        <f t="shared" si="18"/>
        <v>0.003203021072</v>
      </c>
      <c r="AE74" s="15">
        <v>1982.0</v>
      </c>
      <c r="AF74" s="20">
        <f t="shared" si="19"/>
        <v>0.003431084029</v>
      </c>
      <c r="AG74" s="19">
        <v>4878.0</v>
      </c>
      <c r="AH74" s="15">
        <v>3041.0</v>
      </c>
      <c r="AI74" s="15">
        <v>4324.0</v>
      </c>
      <c r="AJ74" s="15">
        <v>3474.0</v>
      </c>
    </row>
    <row r="75" ht="15.75" customHeight="1">
      <c r="A75" s="6" t="s">
        <v>75</v>
      </c>
      <c r="B75" s="6" t="s">
        <v>33</v>
      </c>
      <c r="C75" s="6" t="s">
        <v>53</v>
      </c>
      <c r="D75" s="4" t="s">
        <v>161</v>
      </c>
      <c r="E75" s="19">
        <f t="shared" si="2"/>
        <v>3622.8</v>
      </c>
      <c r="F75" s="11">
        <f t="shared" si="3"/>
        <v>0.003981860268</v>
      </c>
      <c r="G75" s="15">
        <f t="shared" si="4"/>
        <v>3538.6</v>
      </c>
      <c r="H75" s="11">
        <f t="shared" si="5"/>
        <v>0.004018873007</v>
      </c>
      <c r="I75" s="15">
        <f t="shared" si="6"/>
        <v>3707</v>
      </c>
      <c r="J75" s="20">
        <f t="shared" si="7"/>
        <v>0.003947159387</v>
      </c>
      <c r="K75" s="15">
        <f t="shared" si="8"/>
        <v>4541</v>
      </c>
      <c r="L75" s="11">
        <f t="shared" si="9"/>
        <v>0.003892247904</v>
      </c>
      <c r="M75" s="19">
        <v>2242.0</v>
      </c>
      <c r="N75" s="11">
        <f t="shared" si="10"/>
        <v>0.00380679416</v>
      </c>
      <c r="O75" s="15">
        <v>4548.0</v>
      </c>
      <c r="P75" s="11">
        <f t="shared" si="11"/>
        <v>0.003858733694</v>
      </c>
      <c r="Q75" s="15">
        <v>4601.0</v>
      </c>
      <c r="R75" s="11">
        <f t="shared" si="12"/>
        <v>0.003819074955</v>
      </c>
      <c r="S75" s="17">
        <v>4474.0</v>
      </c>
      <c r="T75" s="29">
        <f t="shared" si="13"/>
        <v>0.004006565968</v>
      </c>
      <c r="U75" s="15">
        <v>3870.0</v>
      </c>
      <c r="V75" s="11">
        <f t="shared" si="14"/>
        <v>0.004085070808</v>
      </c>
      <c r="W75" s="15">
        <v>4046.0</v>
      </c>
      <c r="X75" s="11">
        <f t="shared" si="15"/>
        <v>0.004076348414</v>
      </c>
      <c r="Y75" s="15">
        <v>2515.0</v>
      </c>
      <c r="Z75" s="11">
        <f t="shared" si="16"/>
        <v>0.00427497888</v>
      </c>
      <c r="AA75" s="15">
        <v>2397.0</v>
      </c>
      <c r="AB75" s="11">
        <f t="shared" si="17"/>
        <v>0.003946062251</v>
      </c>
      <c r="AC75" s="15">
        <v>4034.0</v>
      </c>
      <c r="AD75" s="11">
        <f t="shared" si="18"/>
        <v>0.003112740786</v>
      </c>
      <c r="AE75" s="15">
        <v>3501.0</v>
      </c>
      <c r="AF75" s="20">
        <f t="shared" si="19"/>
        <v>0.006060658519</v>
      </c>
      <c r="AG75" s="19">
        <v>4579.0</v>
      </c>
      <c r="AH75" s="15">
        <v>2974.0</v>
      </c>
      <c r="AI75" s="15">
        <v>4034.0</v>
      </c>
      <c r="AJ75" s="15">
        <v>3250.0</v>
      </c>
    </row>
    <row r="76" ht="15.75" customHeight="1">
      <c r="A76" s="6" t="s">
        <v>75</v>
      </c>
      <c r="B76" s="6" t="s">
        <v>33</v>
      </c>
      <c r="C76" s="6" t="s">
        <v>53</v>
      </c>
      <c r="D76" s="4" t="s">
        <v>162</v>
      </c>
      <c r="E76" s="19">
        <f t="shared" si="2"/>
        <v>3614.3</v>
      </c>
      <c r="F76" s="11">
        <f t="shared" si="3"/>
        <v>0.003972517822</v>
      </c>
      <c r="G76" s="15">
        <f t="shared" si="4"/>
        <v>3729</v>
      </c>
      <c r="H76" s="11">
        <f t="shared" si="5"/>
        <v>0.00423511486</v>
      </c>
      <c r="I76" s="15">
        <f t="shared" si="6"/>
        <v>3499.6</v>
      </c>
      <c r="J76" s="20">
        <f t="shared" si="7"/>
        <v>0.0037263229</v>
      </c>
      <c r="K76" s="15">
        <f t="shared" si="8"/>
        <v>4060.333333</v>
      </c>
      <c r="L76" s="11">
        <f t="shared" si="9"/>
        <v>0.003480251906</v>
      </c>
      <c r="M76" s="19">
        <v>2423.0</v>
      </c>
      <c r="N76" s="11">
        <f t="shared" si="10"/>
        <v>0.004114122323</v>
      </c>
      <c r="O76" s="15">
        <v>4081.0</v>
      </c>
      <c r="P76" s="11">
        <f t="shared" si="11"/>
        <v>0.00346250928</v>
      </c>
      <c r="Q76" s="15">
        <v>4161.0</v>
      </c>
      <c r="R76" s="11">
        <f t="shared" si="12"/>
        <v>0.00345385153</v>
      </c>
      <c r="S76" s="17">
        <v>3939.0</v>
      </c>
      <c r="T76" s="29">
        <f t="shared" si="13"/>
        <v>0.003527461634</v>
      </c>
      <c r="U76" s="15">
        <v>4256.0</v>
      </c>
      <c r="V76" s="11">
        <f t="shared" si="14"/>
        <v>0.004492522315</v>
      </c>
      <c r="W76" s="15">
        <v>4582.0</v>
      </c>
      <c r="X76" s="11">
        <f t="shared" si="15"/>
        <v>0.004616368866</v>
      </c>
      <c r="Y76" s="15">
        <v>2175.0</v>
      </c>
      <c r="Z76" s="11">
        <f t="shared" si="16"/>
        <v>0.00369704933</v>
      </c>
      <c r="AA76" s="15">
        <v>3142.0</v>
      </c>
      <c r="AB76" s="11">
        <f t="shared" si="17"/>
        <v>0.005172518813</v>
      </c>
      <c r="AC76" s="15">
        <v>3927.0</v>
      </c>
      <c r="AD76" s="11">
        <f t="shared" si="18"/>
        <v>0.003030176764</v>
      </c>
      <c r="AE76" s="15">
        <v>3457.0</v>
      </c>
      <c r="AF76" s="20">
        <f t="shared" si="19"/>
        <v>0.005984489146</v>
      </c>
      <c r="AG76" s="19">
        <v>4021.0</v>
      </c>
      <c r="AH76" s="15">
        <v>2731.0</v>
      </c>
      <c r="AI76" s="15">
        <v>3568.0</v>
      </c>
      <c r="AJ76" s="15">
        <v>2488.0</v>
      </c>
    </row>
    <row r="77" ht="15.75" customHeight="1">
      <c r="A77" s="6" t="s">
        <v>78</v>
      </c>
      <c r="B77" s="6" t="s">
        <v>33</v>
      </c>
      <c r="C77" s="6" t="s">
        <v>52</v>
      </c>
      <c r="D77" s="4" t="s">
        <v>163</v>
      </c>
      <c r="E77" s="19">
        <f t="shared" si="2"/>
        <v>3610.7</v>
      </c>
      <c r="F77" s="11">
        <f t="shared" si="3"/>
        <v>0.003968561022</v>
      </c>
      <c r="G77" s="15">
        <f t="shared" si="4"/>
        <v>3959</v>
      </c>
      <c r="H77" s="11">
        <f t="shared" si="5"/>
        <v>0.004496331384</v>
      </c>
      <c r="I77" s="15">
        <f t="shared" si="6"/>
        <v>3262.4</v>
      </c>
      <c r="J77" s="20">
        <f t="shared" si="7"/>
        <v>0.003473755809</v>
      </c>
      <c r="K77" s="15">
        <f t="shared" si="8"/>
        <v>4165.333333</v>
      </c>
      <c r="L77" s="11">
        <f t="shared" si="9"/>
        <v>0.003570251032</v>
      </c>
      <c r="M77" s="19">
        <v>2039.0</v>
      </c>
      <c r="N77" s="11">
        <f t="shared" si="10"/>
        <v>0.003462111192</v>
      </c>
      <c r="O77" s="15">
        <v>4248.0</v>
      </c>
      <c r="P77" s="11">
        <f t="shared" si="11"/>
        <v>0.003604199809</v>
      </c>
      <c r="Q77" s="15">
        <v>4321.0</v>
      </c>
      <c r="R77" s="11">
        <f t="shared" si="12"/>
        <v>0.003586660048</v>
      </c>
      <c r="S77" s="17">
        <v>3927.0</v>
      </c>
      <c r="T77" s="29">
        <f t="shared" si="13"/>
        <v>0.003516715368</v>
      </c>
      <c r="U77" s="15">
        <v>4931.0</v>
      </c>
      <c r="V77" s="11">
        <f t="shared" si="14"/>
        <v>0.005205034665</v>
      </c>
      <c r="W77" s="15">
        <v>4781.0</v>
      </c>
      <c r="X77" s="11">
        <f t="shared" si="15"/>
        <v>0.004816861534</v>
      </c>
      <c r="Y77" s="15">
        <v>1953.0</v>
      </c>
      <c r="Z77" s="11">
        <f t="shared" si="16"/>
        <v>0.003319695329</v>
      </c>
      <c r="AA77" s="15">
        <v>1863.0</v>
      </c>
      <c r="AB77" s="11">
        <f t="shared" si="17"/>
        <v>0.003066964528</v>
      </c>
      <c r="AC77" s="15">
        <v>4519.0</v>
      </c>
      <c r="AD77" s="11">
        <f t="shared" si="18"/>
        <v>0.003486979577</v>
      </c>
      <c r="AE77" s="15">
        <v>3525.0</v>
      </c>
      <c r="AF77" s="20">
        <f t="shared" si="19"/>
        <v>0.00610220545</v>
      </c>
      <c r="AG77" s="19">
        <v>4141.0</v>
      </c>
      <c r="AH77" s="15">
        <v>2868.0</v>
      </c>
      <c r="AI77" s="15">
        <v>3336.0</v>
      </c>
      <c r="AJ77" s="15">
        <v>1988.0</v>
      </c>
    </row>
    <row r="78" ht="15.75" customHeight="1">
      <c r="A78" s="6" t="s">
        <v>76</v>
      </c>
      <c r="B78" s="6" t="s">
        <v>33</v>
      </c>
      <c r="C78" s="6" t="s">
        <v>53</v>
      </c>
      <c r="D78" s="4" t="s">
        <v>164</v>
      </c>
      <c r="E78" s="19">
        <f t="shared" si="2"/>
        <v>3466.4</v>
      </c>
      <c r="F78" s="11">
        <f t="shared" si="3"/>
        <v>0.003809959267</v>
      </c>
      <c r="G78" s="15">
        <f t="shared" si="4"/>
        <v>3556.4</v>
      </c>
      <c r="H78" s="11">
        <f t="shared" si="5"/>
        <v>0.004039088895</v>
      </c>
      <c r="I78" s="15">
        <f t="shared" si="6"/>
        <v>3376.4</v>
      </c>
      <c r="J78" s="20">
        <f t="shared" si="7"/>
        <v>0.003595141342</v>
      </c>
      <c r="K78" s="15">
        <f t="shared" si="8"/>
        <v>3933.333333</v>
      </c>
      <c r="L78" s="11">
        <f t="shared" si="9"/>
        <v>0.003371395821</v>
      </c>
      <c r="M78" s="19">
        <v>2597.0</v>
      </c>
      <c r="N78" s="11">
        <f t="shared" si="10"/>
        <v>0.004409564867</v>
      </c>
      <c r="O78" s="15">
        <v>3973.0</v>
      </c>
      <c r="P78" s="11">
        <f t="shared" si="11"/>
        <v>0.003370877081</v>
      </c>
      <c r="Q78" s="15">
        <v>4042.0</v>
      </c>
      <c r="R78" s="11">
        <f t="shared" si="12"/>
        <v>0.003355075195</v>
      </c>
      <c r="S78" s="17">
        <v>3785.0</v>
      </c>
      <c r="T78" s="29">
        <f t="shared" si="13"/>
        <v>0.003389551227</v>
      </c>
      <c r="U78" s="15">
        <v>3295.0</v>
      </c>
      <c r="V78" s="11">
        <f t="shared" si="14"/>
        <v>0.003478115843</v>
      </c>
      <c r="W78" s="15">
        <v>3967.0</v>
      </c>
      <c r="X78" s="11">
        <f t="shared" si="15"/>
        <v>0.003996755847</v>
      </c>
      <c r="Y78" s="15">
        <v>2072.0</v>
      </c>
      <c r="Z78" s="11">
        <f t="shared" si="16"/>
        <v>0.003521970672</v>
      </c>
      <c r="AA78" s="15">
        <v>3010.0</v>
      </c>
      <c r="AB78" s="11">
        <f t="shared" si="17"/>
        <v>0.004955213757</v>
      </c>
      <c r="AC78" s="15">
        <v>3776.0</v>
      </c>
      <c r="AD78" s="11">
        <f t="shared" si="18"/>
        <v>0.002913661182</v>
      </c>
      <c r="AE78" s="15">
        <v>4147.0</v>
      </c>
      <c r="AF78" s="20">
        <f t="shared" si="19"/>
        <v>0.007178963404</v>
      </c>
      <c r="AG78" s="19">
        <v>3893.0</v>
      </c>
      <c r="AH78" s="15">
        <v>2672.0</v>
      </c>
      <c r="AI78" s="15">
        <v>3302.0</v>
      </c>
      <c r="AJ78" s="15">
        <v>2444.0</v>
      </c>
    </row>
    <row r="79" ht="15.75" customHeight="1">
      <c r="A79" s="6" t="s">
        <v>78</v>
      </c>
      <c r="B79" s="6" t="s">
        <v>33</v>
      </c>
      <c r="C79" s="6" t="s">
        <v>52</v>
      </c>
      <c r="D79" s="4" t="s">
        <v>165</v>
      </c>
      <c r="E79" s="19">
        <f t="shared" si="2"/>
        <v>3456.8</v>
      </c>
      <c r="F79" s="11">
        <f t="shared" si="3"/>
        <v>0.003799407799</v>
      </c>
      <c r="G79" s="15">
        <f t="shared" si="4"/>
        <v>3387.4</v>
      </c>
      <c r="H79" s="11">
        <f t="shared" si="5"/>
        <v>0.003847151536</v>
      </c>
      <c r="I79" s="15">
        <f t="shared" si="6"/>
        <v>3526.2</v>
      </c>
      <c r="J79" s="20">
        <f t="shared" si="7"/>
        <v>0.003754646191</v>
      </c>
      <c r="K79" s="15">
        <f t="shared" si="8"/>
        <v>4105.666667</v>
      </c>
      <c r="L79" s="11">
        <f t="shared" si="9"/>
        <v>0.003519108672</v>
      </c>
      <c r="M79" s="19">
        <v>2130.0</v>
      </c>
      <c r="N79" s="11">
        <f t="shared" si="10"/>
        <v>0.003616624246</v>
      </c>
      <c r="O79" s="15">
        <v>4164.0</v>
      </c>
      <c r="P79" s="11">
        <f t="shared" si="11"/>
        <v>0.003532930321</v>
      </c>
      <c r="Q79" s="15">
        <v>4218.0</v>
      </c>
      <c r="R79" s="11">
        <f t="shared" si="12"/>
        <v>0.003501164565</v>
      </c>
      <c r="S79" s="17">
        <v>3935.0</v>
      </c>
      <c r="T79" s="29">
        <f t="shared" si="13"/>
        <v>0.003523879545</v>
      </c>
      <c r="U79" s="15">
        <v>3571.0</v>
      </c>
      <c r="V79" s="11">
        <f t="shared" si="14"/>
        <v>0.003769454226</v>
      </c>
      <c r="W79" s="15">
        <v>3563.0</v>
      </c>
      <c r="X79" s="11">
        <f t="shared" si="15"/>
        <v>0.003589725506</v>
      </c>
      <c r="Y79" s="15">
        <v>2568.0</v>
      </c>
      <c r="Z79" s="11">
        <f t="shared" si="16"/>
        <v>0.004365067898</v>
      </c>
      <c r="AA79" s="15">
        <v>2746.0</v>
      </c>
      <c r="AB79" s="11">
        <f t="shared" si="17"/>
        <v>0.004520603647</v>
      </c>
      <c r="AC79" s="15">
        <v>6579.0</v>
      </c>
      <c r="AD79" s="11">
        <f t="shared" si="18"/>
        <v>0.005076529904</v>
      </c>
      <c r="AE79" s="15">
        <v>1094.0</v>
      </c>
      <c r="AF79" s="20">
        <f t="shared" si="19"/>
        <v>0.001893847592</v>
      </c>
      <c r="AG79" s="19">
        <v>3889.0</v>
      </c>
      <c r="AH79" s="15">
        <v>2830.0</v>
      </c>
      <c r="AI79" s="15">
        <v>3486.0</v>
      </c>
      <c r="AJ79" s="15">
        <v>2435.0</v>
      </c>
    </row>
    <row r="80" ht="15.75" customHeight="1">
      <c r="A80" s="6" t="s">
        <v>73</v>
      </c>
      <c r="B80" s="6" t="s">
        <v>33</v>
      </c>
      <c r="C80" s="6" t="s">
        <v>53</v>
      </c>
      <c r="D80" s="4" t="s">
        <v>166</v>
      </c>
      <c r="E80" s="19">
        <f t="shared" si="2"/>
        <v>3374.9</v>
      </c>
      <c r="F80" s="11">
        <f t="shared" si="3"/>
        <v>0.003709390587</v>
      </c>
      <c r="G80" s="15">
        <f t="shared" si="4"/>
        <v>3390.6</v>
      </c>
      <c r="H80" s="11">
        <f t="shared" si="5"/>
        <v>0.003850785853</v>
      </c>
      <c r="I80" s="15">
        <f t="shared" si="6"/>
        <v>3359.2</v>
      </c>
      <c r="J80" s="20">
        <f t="shared" si="7"/>
        <v>0.003576827033</v>
      </c>
      <c r="K80" s="15">
        <f t="shared" si="8"/>
        <v>4285.333333</v>
      </c>
      <c r="L80" s="11">
        <f t="shared" si="9"/>
        <v>0.003673107176</v>
      </c>
      <c r="M80" s="19">
        <v>2495.0</v>
      </c>
      <c r="N80" s="11">
        <f t="shared" si="10"/>
        <v>0.004236374411</v>
      </c>
      <c r="O80" s="15">
        <v>4239.0</v>
      </c>
      <c r="P80" s="11">
        <f t="shared" si="11"/>
        <v>0.003596563793</v>
      </c>
      <c r="Q80" s="15">
        <v>4335.0</v>
      </c>
      <c r="R80" s="11">
        <f t="shared" si="12"/>
        <v>0.003598280794</v>
      </c>
      <c r="S80" s="17">
        <v>4282.0</v>
      </c>
      <c r="T80" s="29">
        <f t="shared" si="13"/>
        <v>0.003834625721</v>
      </c>
      <c r="U80" s="15">
        <v>3313.0</v>
      </c>
      <c r="V80" s="11">
        <f t="shared" si="14"/>
        <v>0.003497116172</v>
      </c>
      <c r="W80" s="15">
        <v>3700.0</v>
      </c>
      <c r="X80" s="11">
        <f t="shared" si="15"/>
        <v>0.003727753122</v>
      </c>
      <c r="Y80" s="15">
        <v>2150.0</v>
      </c>
      <c r="Z80" s="11">
        <f t="shared" si="16"/>
        <v>0.00365455451</v>
      </c>
      <c r="AA80" s="15">
        <v>1790.0</v>
      </c>
      <c r="AB80" s="11">
        <f t="shared" si="17"/>
        <v>0.002946788248</v>
      </c>
      <c r="AC80" s="15">
        <v>3863.0</v>
      </c>
      <c r="AD80" s="11">
        <f t="shared" si="18"/>
        <v>0.002980792676</v>
      </c>
      <c r="AE80" s="15">
        <v>3582.0</v>
      </c>
      <c r="AF80" s="20">
        <f t="shared" si="19"/>
        <v>0.00620087941</v>
      </c>
      <c r="AG80" s="19">
        <v>4169.0</v>
      </c>
      <c r="AH80" s="15">
        <v>2735.0</v>
      </c>
      <c r="AI80" s="15">
        <v>3619.0</v>
      </c>
      <c r="AJ80" s="15">
        <v>2816.0</v>
      </c>
    </row>
    <row r="81" ht="15.75" customHeight="1">
      <c r="A81" s="6" t="s">
        <v>75</v>
      </c>
      <c r="B81" s="6" t="s">
        <v>33</v>
      </c>
      <c r="C81" s="6" t="s">
        <v>53</v>
      </c>
      <c r="D81" s="4" t="s">
        <v>167</v>
      </c>
      <c r="E81" s="19">
        <f t="shared" si="2"/>
        <v>3292</v>
      </c>
      <c r="F81" s="11">
        <f t="shared" si="3"/>
        <v>0.003618274263</v>
      </c>
      <c r="G81" s="15">
        <f t="shared" si="4"/>
        <v>3043</v>
      </c>
      <c r="H81" s="11">
        <f t="shared" si="5"/>
        <v>0.003456008184</v>
      </c>
      <c r="I81" s="15">
        <f t="shared" si="6"/>
        <v>3541</v>
      </c>
      <c r="J81" s="20">
        <f t="shared" si="7"/>
        <v>0.003770405015</v>
      </c>
      <c r="K81" s="15">
        <f t="shared" si="8"/>
        <v>4646.666667</v>
      </c>
      <c r="L81" s="11">
        <f t="shared" si="9"/>
        <v>0.003982818453</v>
      </c>
      <c r="M81" s="19">
        <v>2350.0</v>
      </c>
      <c r="N81" s="11">
        <f t="shared" si="10"/>
        <v>0.003990172291</v>
      </c>
      <c r="O81" s="15">
        <v>4653.0</v>
      </c>
      <c r="P81" s="11">
        <f t="shared" si="11"/>
        <v>0.003947820554</v>
      </c>
      <c r="Q81" s="15">
        <v>4761.0</v>
      </c>
      <c r="R81" s="11">
        <f t="shared" si="12"/>
        <v>0.003951883474</v>
      </c>
      <c r="S81" s="17">
        <v>4526.0</v>
      </c>
      <c r="T81" s="29">
        <f t="shared" si="13"/>
        <v>0.004053133118</v>
      </c>
      <c r="U81" s="15">
        <v>2953.0</v>
      </c>
      <c r="V81" s="11">
        <f t="shared" si="14"/>
        <v>0.003117109585</v>
      </c>
      <c r="W81" s="15">
        <v>3257.0</v>
      </c>
      <c r="X81" s="11">
        <f t="shared" si="15"/>
        <v>0.003281430248</v>
      </c>
      <c r="Y81" s="15">
        <v>2083.0</v>
      </c>
      <c r="Z81" s="11">
        <f t="shared" si="16"/>
        <v>0.003540668393</v>
      </c>
      <c r="AA81" s="15">
        <v>1682.0</v>
      </c>
      <c r="AB81" s="11">
        <f t="shared" si="17"/>
        <v>0.002768993203</v>
      </c>
      <c r="AC81" s="15">
        <v>3774.0</v>
      </c>
      <c r="AD81" s="11">
        <f t="shared" si="18"/>
        <v>0.002912117929</v>
      </c>
      <c r="AE81" s="15">
        <v>2881.0</v>
      </c>
      <c r="AF81" s="20">
        <f t="shared" si="19"/>
        <v>0.004987362809</v>
      </c>
      <c r="AG81" s="19">
        <v>4815.0</v>
      </c>
      <c r="AH81" s="15">
        <v>2988.0</v>
      </c>
      <c r="AI81" s="15">
        <v>4261.0</v>
      </c>
      <c r="AJ81" s="15">
        <v>3447.0</v>
      </c>
    </row>
    <row r="82" ht="15.75" customHeight="1">
      <c r="A82" s="6" t="s">
        <v>78</v>
      </c>
      <c r="B82" s="6" t="s">
        <v>33</v>
      </c>
      <c r="C82" s="6" t="s">
        <v>59</v>
      </c>
      <c r="D82" s="4" t="s">
        <v>168</v>
      </c>
      <c r="E82" s="19">
        <f t="shared" si="2"/>
        <v>3177.7</v>
      </c>
      <c r="F82" s="11">
        <f t="shared" si="3"/>
        <v>0.003492645847</v>
      </c>
      <c r="G82" s="15">
        <f t="shared" si="4"/>
        <v>3300.4</v>
      </c>
      <c r="H82" s="11">
        <f t="shared" si="5"/>
        <v>0.003748343547</v>
      </c>
      <c r="I82" s="15">
        <f t="shared" si="6"/>
        <v>3055</v>
      </c>
      <c r="J82" s="20">
        <f t="shared" si="7"/>
        <v>0.003252919322</v>
      </c>
      <c r="K82" s="15">
        <f t="shared" si="8"/>
        <v>3731</v>
      </c>
      <c r="L82" s="11">
        <f t="shared" si="9"/>
        <v>0.003197968934</v>
      </c>
      <c r="M82" s="19">
        <v>2027.0</v>
      </c>
      <c r="N82" s="11">
        <f t="shared" si="10"/>
        <v>0.003441735844</v>
      </c>
      <c r="O82" s="15">
        <v>3806.0</v>
      </c>
      <c r="P82" s="11">
        <f t="shared" si="11"/>
        <v>0.003229186552</v>
      </c>
      <c r="Q82" s="15">
        <v>3861.0</v>
      </c>
      <c r="R82" s="11">
        <f t="shared" si="12"/>
        <v>0.003204835558</v>
      </c>
      <c r="S82" s="17">
        <v>3526.0</v>
      </c>
      <c r="T82" s="29">
        <f t="shared" si="13"/>
        <v>0.003157610998</v>
      </c>
      <c r="U82" s="15">
        <v>4253.0</v>
      </c>
      <c r="V82" s="11">
        <f t="shared" si="14"/>
        <v>0.004489355593</v>
      </c>
      <c r="W82" s="15">
        <v>4287.0</v>
      </c>
      <c r="X82" s="11">
        <f t="shared" si="15"/>
        <v>0.004319156117</v>
      </c>
      <c r="Y82" s="15">
        <v>1464.0</v>
      </c>
      <c r="Z82" s="11">
        <f t="shared" si="16"/>
        <v>0.002488496652</v>
      </c>
      <c r="AA82" s="15">
        <v>2618.0</v>
      </c>
      <c r="AB82" s="11">
        <f t="shared" si="17"/>
        <v>0.004309883594</v>
      </c>
      <c r="AC82" s="15">
        <v>3333.0</v>
      </c>
      <c r="AD82" s="11">
        <f t="shared" si="18"/>
        <v>0.002571830699</v>
      </c>
      <c r="AE82" s="15">
        <v>2602.0</v>
      </c>
      <c r="AF82" s="20">
        <f t="shared" si="19"/>
        <v>0.004504379739</v>
      </c>
      <c r="AG82" s="19">
        <v>3758.0</v>
      </c>
      <c r="AH82" s="15">
        <v>2455.0</v>
      </c>
      <c r="AI82" s="15">
        <v>3013.0</v>
      </c>
      <c r="AJ82" s="15">
        <v>2297.0</v>
      </c>
    </row>
    <row r="83" ht="15.75" customHeight="1">
      <c r="A83" s="6" t="s">
        <v>76</v>
      </c>
      <c r="B83" s="6" t="s">
        <v>33</v>
      </c>
      <c r="C83" s="6" t="s">
        <v>53</v>
      </c>
      <c r="D83" s="4" t="s">
        <v>169</v>
      </c>
      <c r="E83" s="19">
        <f t="shared" si="2"/>
        <v>3129.6</v>
      </c>
      <c r="F83" s="11">
        <f t="shared" si="3"/>
        <v>0.003439778595</v>
      </c>
      <c r="G83" s="15">
        <f t="shared" si="4"/>
        <v>3128.6</v>
      </c>
      <c r="H83" s="11">
        <f t="shared" si="5"/>
        <v>0.00355322616</v>
      </c>
      <c r="I83" s="15">
        <f t="shared" si="6"/>
        <v>3130.6</v>
      </c>
      <c r="J83" s="20">
        <f t="shared" si="7"/>
        <v>0.003333417096</v>
      </c>
      <c r="K83" s="15">
        <f t="shared" si="8"/>
        <v>3690.666667</v>
      </c>
      <c r="L83" s="11">
        <f t="shared" si="9"/>
        <v>0.003163397841</v>
      </c>
      <c r="M83" s="19">
        <v>1888.0</v>
      </c>
      <c r="N83" s="11">
        <f t="shared" si="10"/>
        <v>0.003205721398</v>
      </c>
      <c r="O83" s="15">
        <v>3715.0</v>
      </c>
      <c r="P83" s="11">
        <f t="shared" si="11"/>
        <v>0.00315197794</v>
      </c>
      <c r="Q83" s="15">
        <v>3742.0</v>
      </c>
      <c r="R83" s="11">
        <f t="shared" si="12"/>
        <v>0.003106059223</v>
      </c>
      <c r="S83" s="17">
        <v>3615.0</v>
      </c>
      <c r="T83" s="29">
        <f t="shared" si="13"/>
        <v>0.003237312466</v>
      </c>
      <c r="U83" s="15">
        <v>3622.0</v>
      </c>
      <c r="V83" s="11">
        <f t="shared" si="14"/>
        <v>0.003823288493</v>
      </c>
      <c r="W83" s="15">
        <v>3625.0</v>
      </c>
      <c r="X83" s="11">
        <f t="shared" si="15"/>
        <v>0.003652190559</v>
      </c>
      <c r="Y83" s="15">
        <v>2130.0</v>
      </c>
      <c r="Z83" s="11">
        <f t="shared" si="16"/>
        <v>0.003620558654</v>
      </c>
      <c r="AA83" s="15">
        <v>2451.0</v>
      </c>
      <c r="AB83" s="11">
        <f t="shared" si="17"/>
        <v>0.004034959774</v>
      </c>
      <c r="AC83" s="15">
        <v>3700.0</v>
      </c>
      <c r="AD83" s="11">
        <f t="shared" si="18"/>
        <v>0.002855017578</v>
      </c>
      <c r="AE83" s="15">
        <v>2808.0</v>
      </c>
      <c r="AF83" s="20">
        <f t="shared" si="19"/>
        <v>0.004860990894</v>
      </c>
      <c r="AG83" s="19">
        <v>3801.0</v>
      </c>
      <c r="AH83" s="15">
        <v>2496.0</v>
      </c>
      <c r="AI83" s="15">
        <v>3264.0</v>
      </c>
      <c r="AJ83" s="15">
        <v>2603.0</v>
      </c>
    </row>
    <row r="84" ht="15.75" customHeight="1">
      <c r="A84" s="6" t="s">
        <v>78</v>
      </c>
      <c r="B84" s="6" t="s">
        <v>33</v>
      </c>
      <c r="C84" s="6" t="s">
        <v>61</v>
      </c>
      <c r="D84" s="4" t="s">
        <v>170</v>
      </c>
      <c r="E84" s="19">
        <f t="shared" si="2"/>
        <v>3086.3</v>
      </c>
      <c r="F84" s="11">
        <f t="shared" si="3"/>
        <v>0.003392187078</v>
      </c>
      <c r="G84" s="15">
        <f t="shared" si="4"/>
        <v>3395.2</v>
      </c>
      <c r="H84" s="11">
        <f t="shared" si="5"/>
        <v>0.003856010183</v>
      </c>
      <c r="I84" s="15">
        <f t="shared" si="6"/>
        <v>2777.4</v>
      </c>
      <c r="J84" s="20">
        <f t="shared" si="7"/>
        <v>0.002957334902</v>
      </c>
      <c r="K84" s="15">
        <f t="shared" si="8"/>
        <v>3351.666667</v>
      </c>
      <c r="L84" s="11">
        <f t="shared" si="9"/>
        <v>0.002872829235</v>
      </c>
      <c r="M84" s="19">
        <v>1701.0</v>
      </c>
      <c r="N84" s="11">
        <f t="shared" si="10"/>
        <v>0.00288820556</v>
      </c>
      <c r="O84" s="15">
        <v>3404.0</v>
      </c>
      <c r="P84" s="11">
        <f t="shared" si="11"/>
        <v>0.002888111146</v>
      </c>
      <c r="Q84" s="15">
        <v>3442.0</v>
      </c>
      <c r="R84" s="11">
        <f t="shared" si="12"/>
        <v>0.002857043251</v>
      </c>
      <c r="S84" s="17">
        <v>3209.0</v>
      </c>
      <c r="T84" s="29">
        <f t="shared" si="13"/>
        <v>0.002873730485</v>
      </c>
      <c r="U84" s="15">
        <v>4065.0</v>
      </c>
      <c r="V84" s="11">
        <f t="shared" si="14"/>
        <v>0.004290907709</v>
      </c>
      <c r="W84" s="15">
        <v>4093.0</v>
      </c>
      <c r="X84" s="11">
        <f t="shared" si="15"/>
        <v>0.004123700954</v>
      </c>
      <c r="Y84" s="15">
        <v>1593.0</v>
      </c>
      <c r="Z84" s="11">
        <f t="shared" si="16"/>
        <v>0.002707769923</v>
      </c>
      <c r="AA84" s="15">
        <v>2239.0</v>
      </c>
      <c r="AB84" s="11">
        <f t="shared" si="17"/>
        <v>0.003685954685</v>
      </c>
      <c r="AC84" s="15">
        <v>3630.0</v>
      </c>
      <c r="AD84" s="11">
        <f t="shared" si="18"/>
        <v>0.002801003732</v>
      </c>
      <c r="AE84" s="15">
        <v>3487.0</v>
      </c>
      <c r="AF84" s="20">
        <f t="shared" si="19"/>
        <v>0.006036422809</v>
      </c>
      <c r="AG84" s="19">
        <v>3243.0</v>
      </c>
      <c r="AH84" s="15">
        <v>2218.0</v>
      </c>
      <c r="AI84" s="15">
        <v>2865.0</v>
      </c>
      <c r="AJ84" s="15">
        <v>2084.0</v>
      </c>
    </row>
    <row r="85" ht="15.75" customHeight="1">
      <c r="A85" s="6" t="s">
        <v>78</v>
      </c>
      <c r="B85" s="6" t="s">
        <v>33</v>
      </c>
      <c r="C85" s="6" t="s">
        <v>61</v>
      </c>
      <c r="D85" s="4" t="s">
        <v>171</v>
      </c>
      <c r="E85" s="19">
        <f t="shared" si="2"/>
        <v>3001.7</v>
      </c>
      <c r="F85" s="11">
        <f t="shared" si="3"/>
        <v>0.003299202265</v>
      </c>
      <c r="G85" s="15">
        <f t="shared" si="4"/>
        <v>3132.6</v>
      </c>
      <c r="H85" s="11">
        <f t="shared" si="5"/>
        <v>0.003557769056</v>
      </c>
      <c r="I85" s="15">
        <f t="shared" si="6"/>
        <v>2870.8</v>
      </c>
      <c r="J85" s="20">
        <f t="shared" si="7"/>
        <v>0.003056785856</v>
      </c>
      <c r="K85" s="15">
        <f t="shared" si="8"/>
        <v>3642.666667</v>
      </c>
      <c r="L85" s="11">
        <f t="shared" si="9"/>
        <v>0.003122255384</v>
      </c>
      <c r="M85" s="19">
        <v>1902.0</v>
      </c>
      <c r="N85" s="11">
        <f t="shared" si="10"/>
        <v>0.003229492637</v>
      </c>
      <c r="O85" s="15">
        <v>3703.0</v>
      </c>
      <c r="P85" s="11">
        <f t="shared" si="11"/>
        <v>0.003141796585</v>
      </c>
      <c r="Q85" s="15">
        <v>3781.0</v>
      </c>
      <c r="R85" s="11">
        <f t="shared" si="12"/>
        <v>0.003138431299</v>
      </c>
      <c r="S85" s="17">
        <v>3444.0</v>
      </c>
      <c r="T85" s="29">
        <f t="shared" si="13"/>
        <v>0.003084178184</v>
      </c>
      <c r="U85" s="15">
        <v>3238.0</v>
      </c>
      <c r="V85" s="11">
        <f t="shared" si="14"/>
        <v>0.003417948133</v>
      </c>
      <c r="W85" s="15">
        <v>3348.0</v>
      </c>
      <c r="X85" s="11">
        <f t="shared" si="15"/>
        <v>0.003373112825</v>
      </c>
      <c r="Y85" s="15">
        <v>1510.0</v>
      </c>
      <c r="Z85" s="11">
        <f t="shared" si="16"/>
        <v>0.002566687121</v>
      </c>
      <c r="AA85" s="15">
        <v>1916.0</v>
      </c>
      <c r="AB85" s="11">
        <f t="shared" si="17"/>
        <v>0.0031542158</v>
      </c>
      <c r="AC85" s="15">
        <v>3113.0</v>
      </c>
      <c r="AD85" s="11">
        <f t="shared" si="18"/>
        <v>0.002402072897</v>
      </c>
      <c r="AE85" s="15">
        <v>4062.0</v>
      </c>
      <c r="AF85" s="20">
        <f t="shared" si="19"/>
        <v>0.007031818024</v>
      </c>
      <c r="AG85" s="19">
        <v>3622.0</v>
      </c>
      <c r="AH85" s="15">
        <v>2374.0</v>
      </c>
      <c r="AI85" s="15">
        <v>2793.0</v>
      </c>
      <c r="AJ85" s="15">
        <v>1824.0</v>
      </c>
    </row>
    <row r="86" ht="15.75" customHeight="1">
      <c r="A86" s="6" t="s">
        <v>78</v>
      </c>
      <c r="B86" s="6" t="s">
        <v>33</v>
      </c>
      <c r="C86" s="6" t="s">
        <v>52</v>
      </c>
      <c r="D86" s="4" t="s">
        <v>172</v>
      </c>
      <c r="E86" s="19">
        <f t="shared" si="2"/>
        <v>2843.1</v>
      </c>
      <c r="F86" s="11">
        <f t="shared" si="3"/>
        <v>0.003124883219</v>
      </c>
      <c r="G86" s="15">
        <f t="shared" si="4"/>
        <v>3049.4</v>
      </c>
      <c r="H86" s="11">
        <f t="shared" si="5"/>
        <v>0.003463276818</v>
      </c>
      <c r="I86" s="15">
        <f t="shared" si="6"/>
        <v>2636.8</v>
      </c>
      <c r="J86" s="20">
        <f t="shared" si="7"/>
        <v>0.002807626078</v>
      </c>
      <c r="K86" s="15">
        <f t="shared" si="8"/>
        <v>3129.666667</v>
      </c>
      <c r="L86" s="11">
        <f t="shared" si="9"/>
        <v>0.00268254537</v>
      </c>
      <c r="M86" s="19">
        <v>1964.0</v>
      </c>
      <c r="N86" s="11">
        <f t="shared" si="10"/>
        <v>0.003334765268</v>
      </c>
      <c r="O86" s="15">
        <v>3162.0</v>
      </c>
      <c r="P86" s="11">
        <f t="shared" si="11"/>
        <v>0.002682787146</v>
      </c>
      <c r="Q86" s="15">
        <v>3193.0</v>
      </c>
      <c r="R86" s="11">
        <f t="shared" si="12"/>
        <v>0.002650359994</v>
      </c>
      <c r="S86" s="17">
        <v>3034.0</v>
      </c>
      <c r="T86" s="29">
        <f t="shared" si="13"/>
        <v>0.002717014114</v>
      </c>
      <c r="U86" s="15">
        <v>3496.0</v>
      </c>
      <c r="V86" s="11">
        <f t="shared" si="14"/>
        <v>0.003690286187</v>
      </c>
      <c r="W86" s="15">
        <v>3617.0</v>
      </c>
      <c r="X86" s="11">
        <f t="shared" si="15"/>
        <v>0.003644130552</v>
      </c>
      <c r="Y86" s="15">
        <v>1626.0</v>
      </c>
      <c r="Z86" s="11">
        <f t="shared" si="16"/>
        <v>0.002763863085</v>
      </c>
      <c r="AA86" s="15">
        <v>2169.0</v>
      </c>
      <c r="AB86" s="11">
        <f t="shared" si="17"/>
        <v>0.003570717156</v>
      </c>
      <c r="AC86" s="15">
        <v>3431.0</v>
      </c>
      <c r="AD86" s="11">
        <f t="shared" si="18"/>
        <v>0.002647450083</v>
      </c>
      <c r="AE86" s="15">
        <v>2739.0</v>
      </c>
      <c r="AF86" s="20">
        <f t="shared" si="19"/>
        <v>0.004741543468</v>
      </c>
      <c r="AG86" s="19">
        <v>2965.0</v>
      </c>
      <c r="AH86" s="15">
        <v>2033.0</v>
      </c>
      <c r="AI86" s="15">
        <v>2514.0</v>
      </c>
      <c r="AJ86" s="15">
        <v>1897.0</v>
      </c>
    </row>
    <row r="87" ht="15.75" customHeight="1">
      <c r="A87" s="6" t="s">
        <v>77</v>
      </c>
      <c r="B87" s="6" t="s">
        <v>33</v>
      </c>
      <c r="C87" s="6" t="s">
        <v>53</v>
      </c>
      <c r="D87" s="4" t="s">
        <v>173</v>
      </c>
      <c r="E87" s="19">
        <f t="shared" si="2"/>
        <v>2831.9</v>
      </c>
      <c r="F87" s="11">
        <f t="shared" si="3"/>
        <v>0.003112573173</v>
      </c>
      <c r="G87" s="15">
        <f t="shared" si="4"/>
        <v>3077.4</v>
      </c>
      <c r="H87" s="11">
        <f t="shared" si="5"/>
        <v>0.003495077091</v>
      </c>
      <c r="I87" s="15">
        <f t="shared" si="6"/>
        <v>2586.4</v>
      </c>
      <c r="J87" s="20">
        <f t="shared" si="7"/>
        <v>0.002753960895</v>
      </c>
      <c r="K87" s="15">
        <f t="shared" si="8"/>
        <v>3430.666667</v>
      </c>
      <c r="L87" s="11">
        <f t="shared" si="9"/>
        <v>0.002940542863</v>
      </c>
      <c r="M87" s="19">
        <v>2356.0</v>
      </c>
      <c r="N87" s="11">
        <f t="shared" si="10"/>
        <v>0.004000359964</v>
      </c>
      <c r="O87" s="15">
        <v>3467.0</v>
      </c>
      <c r="P87" s="11">
        <f t="shared" si="11"/>
        <v>0.002941563262</v>
      </c>
      <c r="Q87" s="15">
        <v>3546.0</v>
      </c>
      <c r="R87" s="11">
        <f t="shared" si="12"/>
        <v>0.002943368788</v>
      </c>
      <c r="S87" s="17">
        <v>3279.0</v>
      </c>
      <c r="T87" s="29">
        <f t="shared" si="13"/>
        <v>0.002936417034</v>
      </c>
      <c r="U87" s="15">
        <v>4225.0</v>
      </c>
      <c r="V87" s="11">
        <f t="shared" si="14"/>
        <v>0.004459799525</v>
      </c>
      <c r="W87" s="15">
        <v>4178.0</v>
      </c>
      <c r="X87" s="11">
        <f t="shared" si="15"/>
        <v>0.004209338525</v>
      </c>
      <c r="Y87" s="15">
        <v>1196.0</v>
      </c>
      <c r="Z87" s="11">
        <f t="shared" si="16"/>
        <v>0.002032952183</v>
      </c>
      <c r="AA87" s="15">
        <v>1444.0</v>
      </c>
      <c r="AB87" s="11">
        <f t="shared" si="17"/>
        <v>0.002377185603</v>
      </c>
      <c r="AC87" s="15">
        <v>3244.0</v>
      </c>
      <c r="AD87" s="11">
        <f t="shared" si="18"/>
        <v>0.002503155952</v>
      </c>
      <c r="AE87" s="15">
        <v>1384.0</v>
      </c>
      <c r="AF87" s="20">
        <f t="shared" si="19"/>
        <v>0.002395873005</v>
      </c>
      <c r="AG87" s="19">
        <v>3406.0</v>
      </c>
      <c r="AH87" s="15">
        <v>2363.0</v>
      </c>
      <c r="AI87" s="15">
        <v>2853.0</v>
      </c>
      <c r="AJ87" s="15">
        <v>2029.0</v>
      </c>
    </row>
    <row r="88" ht="15.75" customHeight="1">
      <c r="A88" s="6" t="s">
        <v>75</v>
      </c>
      <c r="B88" s="6" t="s">
        <v>33</v>
      </c>
      <c r="C88" s="6" t="s">
        <v>54</v>
      </c>
      <c r="D88" s="4" t="s">
        <v>174</v>
      </c>
      <c r="E88" s="19">
        <f t="shared" si="2"/>
        <v>2819.1</v>
      </c>
      <c r="F88" s="11">
        <f t="shared" si="3"/>
        <v>0.003098504549</v>
      </c>
      <c r="G88" s="15">
        <f t="shared" si="4"/>
        <v>3005.2</v>
      </c>
      <c r="H88" s="11">
        <f t="shared" si="5"/>
        <v>0.003413077817</v>
      </c>
      <c r="I88" s="15">
        <f t="shared" si="6"/>
        <v>2633</v>
      </c>
      <c r="J88" s="20">
        <f t="shared" si="7"/>
        <v>0.002803579894</v>
      </c>
      <c r="K88" s="15">
        <f t="shared" si="8"/>
        <v>3234</v>
      </c>
      <c r="L88" s="11">
        <f t="shared" si="9"/>
        <v>0.002771973072</v>
      </c>
      <c r="M88" s="19">
        <v>1793.0</v>
      </c>
      <c r="N88" s="11">
        <f t="shared" si="10"/>
        <v>0.00304441656</v>
      </c>
      <c r="O88" s="15">
        <v>3278.0</v>
      </c>
      <c r="P88" s="11">
        <f t="shared" si="11"/>
        <v>0.002781206915</v>
      </c>
      <c r="Q88" s="15">
        <v>3312.0</v>
      </c>
      <c r="R88" s="11">
        <f t="shared" si="12"/>
        <v>0.00274913633</v>
      </c>
      <c r="S88" s="17">
        <v>3112.0</v>
      </c>
      <c r="T88" s="29">
        <f t="shared" si="13"/>
        <v>0.00278686484</v>
      </c>
      <c r="U88" s="15">
        <v>4431.0</v>
      </c>
      <c r="V88" s="11">
        <f t="shared" si="14"/>
        <v>0.004677247739</v>
      </c>
      <c r="W88" s="15">
        <v>4348.0</v>
      </c>
      <c r="X88" s="11">
        <f t="shared" si="15"/>
        <v>0.004380613669</v>
      </c>
      <c r="Y88" s="15">
        <v>1549.0</v>
      </c>
      <c r="Z88" s="11">
        <f t="shared" si="16"/>
        <v>0.00263297904</v>
      </c>
      <c r="AA88" s="15">
        <v>1914.0</v>
      </c>
      <c r="AB88" s="11">
        <f t="shared" si="17"/>
        <v>0.0031509233</v>
      </c>
      <c r="AC88" s="15">
        <v>2977.0</v>
      </c>
      <c r="AD88" s="11">
        <f t="shared" si="18"/>
        <v>0.00229713171</v>
      </c>
      <c r="AE88" s="15">
        <v>1477.0</v>
      </c>
      <c r="AF88" s="20">
        <f t="shared" si="19"/>
        <v>0.002556867361</v>
      </c>
      <c r="AG88" s="19">
        <v>3141.0</v>
      </c>
      <c r="AH88" s="15">
        <v>2173.0</v>
      </c>
      <c r="AI88" s="15">
        <v>2683.0</v>
      </c>
      <c r="AJ88" s="15">
        <v>1976.0</v>
      </c>
    </row>
    <row r="89" ht="15.75" customHeight="1">
      <c r="A89" s="6" t="s">
        <v>76</v>
      </c>
      <c r="B89" s="6" t="s">
        <v>33</v>
      </c>
      <c r="C89" s="6" t="s">
        <v>53</v>
      </c>
      <c r="D89" s="4" t="s">
        <v>175</v>
      </c>
      <c r="E89" s="19">
        <f t="shared" si="2"/>
        <v>2751.8</v>
      </c>
      <c r="F89" s="11">
        <f t="shared" si="3"/>
        <v>0.003024534362</v>
      </c>
      <c r="G89" s="15">
        <f t="shared" si="4"/>
        <v>2887</v>
      </c>
      <c r="H89" s="11">
        <f t="shared" si="5"/>
        <v>0.003278835238</v>
      </c>
      <c r="I89" s="15">
        <f t="shared" si="6"/>
        <v>2616.6</v>
      </c>
      <c r="J89" s="20">
        <f t="shared" si="7"/>
        <v>0.002786117413</v>
      </c>
      <c r="K89" s="15">
        <f t="shared" si="8"/>
        <v>3336.666667</v>
      </c>
      <c r="L89" s="11">
        <f t="shared" si="9"/>
        <v>0.002859972217</v>
      </c>
      <c r="M89" s="19">
        <v>2368.0</v>
      </c>
      <c r="N89" s="11">
        <f t="shared" si="10"/>
        <v>0.004020735312</v>
      </c>
      <c r="O89" s="15">
        <v>3343.0</v>
      </c>
      <c r="P89" s="11">
        <f t="shared" si="11"/>
        <v>0.002836355923</v>
      </c>
      <c r="Q89" s="15">
        <v>3427.0</v>
      </c>
      <c r="R89" s="11">
        <f t="shared" si="12"/>
        <v>0.002844592452</v>
      </c>
      <c r="S89" s="17">
        <v>3240.0</v>
      </c>
      <c r="T89" s="29">
        <f t="shared" si="13"/>
        <v>0.002901491671</v>
      </c>
      <c r="U89" s="15">
        <v>3244.0</v>
      </c>
      <c r="V89" s="11">
        <f t="shared" si="14"/>
        <v>0.003424281576</v>
      </c>
      <c r="W89" s="15">
        <v>3453.0</v>
      </c>
      <c r="X89" s="11">
        <f t="shared" si="15"/>
        <v>0.003478900414</v>
      </c>
      <c r="Y89" s="15">
        <v>1481.0</v>
      </c>
      <c r="Z89" s="11">
        <f t="shared" si="16"/>
        <v>0.00251739313</v>
      </c>
      <c r="AA89" s="15">
        <v>1592.0</v>
      </c>
      <c r="AB89" s="11">
        <f t="shared" si="17"/>
        <v>0.002620830665</v>
      </c>
      <c r="AC89" s="15">
        <v>2969.0</v>
      </c>
      <c r="AD89" s="11">
        <f t="shared" si="18"/>
        <v>0.002290958699</v>
      </c>
      <c r="AE89" s="15">
        <v>2401.0</v>
      </c>
      <c r="AF89" s="20">
        <f t="shared" si="19"/>
        <v>0.004156424194</v>
      </c>
      <c r="AG89" s="19">
        <v>3337.0</v>
      </c>
      <c r="AH89" s="15">
        <v>2202.0</v>
      </c>
      <c r="AI89" s="15">
        <v>2919.0</v>
      </c>
      <c r="AJ89" s="15">
        <v>2217.0</v>
      </c>
    </row>
    <row r="90" ht="15.75" customHeight="1">
      <c r="A90" s="6" t="s">
        <v>78</v>
      </c>
      <c r="B90" s="6" t="s">
        <v>33</v>
      </c>
      <c r="C90" s="6" t="s">
        <v>60</v>
      </c>
      <c r="D90" s="4" t="s">
        <v>176</v>
      </c>
      <c r="E90" s="19">
        <f t="shared" si="2"/>
        <v>2693.6</v>
      </c>
      <c r="F90" s="11">
        <f t="shared" si="3"/>
        <v>0.002960566086</v>
      </c>
      <c r="G90" s="15">
        <f t="shared" si="4"/>
        <v>2744.4</v>
      </c>
      <c r="H90" s="11">
        <f t="shared" si="5"/>
        <v>0.003116880993</v>
      </c>
      <c r="I90" s="15">
        <f t="shared" si="6"/>
        <v>2642.8</v>
      </c>
      <c r="J90" s="20">
        <f t="shared" si="7"/>
        <v>0.00281401479</v>
      </c>
      <c r="K90" s="15">
        <f t="shared" si="8"/>
        <v>3332.333333</v>
      </c>
      <c r="L90" s="11">
        <f t="shared" si="9"/>
        <v>0.002856257968</v>
      </c>
      <c r="M90" s="19">
        <v>1606.0</v>
      </c>
      <c r="N90" s="11">
        <f t="shared" si="10"/>
        <v>0.002726900723</v>
      </c>
      <c r="O90" s="15">
        <v>3390.0</v>
      </c>
      <c r="P90" s="11">
        <f t="shared" si="11"/>
        <v>0.002876232899</v>
      </c>
      <c r="Q90" s="15">
        <v>3421.0</v>
      </c>
      <c r="R90" s="11">
        <f t="shared" si="12"/>
        <v>0.002839612133</v>
      </c>
      <c r="S90" s="17">
        <v>3186.0</v>
      </c>
      <c r="T90" s="29">
        <f t="shared" si="13"/>
        <v>0.002853133477</v>
      </c>
      <c r="U90" s="15">
        <v>3799.0</v>
      </c>
      <c r="V90" s="11">
        <f t="shared" si="14"/>
        <v>0.004010125064</v>
      </c>
      <c r="W90" s="15">
        <v>3814.0</v>
      </c>
      <c r="X90" s="11">
        <f t="shared" si="15"/>
        <v>0.003842608218</v>
      </c>
      <c r="Y90" s="15">
        <v>1598.0</v>
      </c>
      <c r="Z90" s="11">
        <f t="shared" si="16"/>
        <v>0.002716268887</v>
      </c>
      <c r="AA90" s="15">
        <v>1619.0</v>
      </c>
      <c r="AB90" s="11">
        <f t="shared" si="17"/>
        <v>0.002665279426</v>
      </c>
      <c r="AC90" s="15">
        <v>2696.0</v>
      </c>
      <c r="AD90" s="11">
        <f t="shared" si="18"/>
        <v>0.0020803047</v>
      </c>
      <c r="AE90" s="15">
        <v>1807.0</v>
      </c>
      <c r="AF90" s="20">
        <f t="shared" si="19"/>
        <v>0.003128137659</v>
      </c>
      <c r="AG90" s="19">
        <v>3139.0</v>
      </c>
      <c r="AH90" s="15">
        <v>2140.0</v>
      </c>
      <c r="AI90" s="15">
        <v>2646.0</v>
      </c>
      <c r="AJ90" s="15">
        <v>1871.0</v>
      </c>
    </row>
    <row r="91" ht="15.75" customHeight="1">
      <c r="A91" s="6" t="s">
        <v>75</v>
      </c>
      <c r="B91" s="6" t="s">
        <v>33</v>
      </c>
      <c r="C91" s="6" t="s">
        <v>53</v>
      </c>
      <c r="D91" s="4" t="s">
        <v>177</v>
      </c>
      <c r="E91" s="19">
        <f t="shared" si="2"/>
        <v>2606.9</v>
      </c>
      <c r="F91" s="11">
        <f t="shared" si="3"/>
        <v>0.00286527314</v>
      </c>
      <c r="G91" s="15">
        <f t="shared" si="4"/>
        <v>2721.6</v>
      </c>
      <c r="H91" s="11">
        <f t="shared" si="5"/>
        <v>0.003090986485</v>
      </c>
      <c r="I91" s="15">
        <f t="shared" si="6"/>
        <v>2492.2</v>
      </c>
      <c r="J91" s="20">
        <f t="shared" si="7"/>
        <v>0.002653658113</v>
      </c>
      <c r="K91" s="15">
        <f t="shared" si="8"/>
        <v>3114</v>
      </c>
      <c r="L91" s="11">
        <f t="shared" si="9"/>
        <v>0.002669116929</v>
      </c>
      <c r="M91" s="19">
        <v>1592.0</v>
      </c>
      <c r="N91" s="11">
        <f t="shared" si="10"/>
        <v>0.002703129484</v>
      </c>
      <c r="O91" s="15">
        <v>3159.0</v>
      </c>
      <c r="P91" s="11">
        <f t="shared" si="11"/>
        <v>0.002680241807</v>
      </c>
      <c r="Q91" s="15">
        <v>3202.0</v>
      </c>
      <c r="R91" s="11">
        <f t="shared" si="12"/>
        <v>0.002657830473</v>
      </c>
      <c r="S91" s="17">
        <v>2981.0</v>
      </c>
      <c r="T91" s="29">
        <f t="shared" si="13"/>
        <v>0.002669551442</v>
      </c>
      <c r="U91" s="15">
        <v>3273.0</v>
      </c>
      <c r="V91" s="11">
        <f t="shared" si="14"/>
        <v>0.003454893218</v>
      </c>
      <c r="W91" s="15">
        <v>3497.0</v>
      </c>
      <c r="X91" s="11">
        <f t="shared" si="15"/>
        <v>0.003523230451</v>
      </c>
      <c r="Y91" s="15">
        <v>1657.0</v>
      </c>
      <c r="Z91" s="11">
        <f t="shared" si="16"/>
        <v>0.002816556662</v>
      </c>
      <c r="AA91" s="15">
        <v>1462.0</v>
      </c>
      <c r="AB91" s="11">
        <f t="shared" si="17"/>
        <v>0.002406818111</v>
      </c>
      <c r="AC91" s="15">
        <v>2803.0</v>
      </c>
      <c r="AD91" s="11">
        <f t="shared" si="18"/>
        <v>0.002162868722</v>
      </c>
      <c r="AE91" s="15">
        <v>2443.0</v>
      </c>
      <c r="AF91" s="20">
        <f t="shared" si="19"/>
        <v>0.004229131323</v>
      </c>
      <c r="AG91" s="19">
        <v>3112.0</v>
      </c>
      <c r="AH91" s="15">
        <v>2065.0</v>
      </c>
      <c r="AI91" s="15">
        <v>2696.0</v>
      </c>
      <c r="AJ91" s="15">
        <v>2078.0</v>
      </c>
    </row>
    <row r="92" ht="15.75" customHeight="1">
      <c r="A92" s="6" t="s">
        <v>78</v>
      </c>
      <c r="B92" s="6" t="s">
        <v>33</v>
      </c>
      <c r="C92" s="6" t="s">
        <v>62</v>
      </c>
      <c r="D92" s="4" t="s">
        <v>178</v>
      </c>
      <c r="E92" s="19">
        <f t="shared" si="2"/>
        <v>2593.1</v>
      </c>
      <c r="F92" s="11">
        <f t="shared" si="3"/>
        <v>0.002850105405</v>
      </c>
      <c r="G92" s="15">
        <f t="shared" si="4"/>
        <v>2671.4</v>
      </c>
      <c r="H92" s="11">
        <f t="shared" si="5"/>
        <v>0.00303397314</v>
      </c>
      <c r="I92" s="15">
        <f t="shared" si="6"/>
        <v>2514.8</v>
      </c>
      <c r="J92" s="20">
        <f t="shared" si="7"/>
        <v>0.002677722262</v>
      </c>
      <c r="K92" s="15">
        <f t="shared" si="8"/>
        <v>3238.333333</v>
      </c>
      <c r="L92" s="11">
        <f t="shared" si="9"/>
        <v>0.002775687322</v>
      </c>
      <c r="M92" s="19">
        <v>1647.0</v>
      </c>
      <c r="N92" s="11">
        <f t="shared" si="10"/>
        <v>0.002796516495</v>
      </c>
      <c r="O92" s="15">
        <v>3305.0</v>
      </c>
      <c r="P92" s="11">
        <f t="shared" si="11"/>
        <v>0.002804114964</v>
      </c>
      <c r="Q92" s="15">
        <v>3332.0</v>
      </c>
      <c r="R92" s="11">
        <f t="shared" si="12"/>
        <v>0.002765737394</v>
      </c>
      <c r="S92" s="17">
        <v>3078.0</v>
      </c>
      <c r="T92" s="29">
        <f t="shared" si="13"/>
        <v>0.002756417088</v>
      </c>
      <c r="U92" s="15">
        <v>3649.0</v>
      </c>
      <c r="V92" s="11">
        <f t="shared" si="14"/>
        <v>0.003851788987</v>
      </c>
      <c r="W92" s="15">
        <v>3661.0</v>
      </c>
      <c r="X92" s="11">
        <f t="shared" si="15"/>
        <v>0.003688460589</v>
      </c>
      <c r="Y92" s="15">
        <v>1472.0</v>
      </c>
      <c r="Z92" s="11">
        <f t="shared" si="16"/>
        <v>0.002502094995</v>
      </c>
      <c r="AA92" s="15">
        <v>1387.0</v>
      </c>
      <c r="AB92" s="11">
        <f t="shared" si="17"/>
        <v>0.002283349329</v>
      </c>
      <c r="AC92" s="15">
        <v>3201.0</v>
      </c>
      <c r="AD92" s="11">
        <f t="shared" si="18"/>
        <v>0.002469976018</v>
      </c>
      <c r="AE92" s="15">
        <v>1199.0</v>
      </c>
      <c r="AF92" s="20">
        <f t="shared" si="19"/>
        <v>0.002075615414</v>
      </c>
      <c r="AG92" s="19">
        <v>3125.0</v>
      </c>
      <c r="AH92" s="15">
        <v>2122.0</v>
      </c>
      <c r="AI92" s="15">
        <v>2594.0</v>
      </c>
      <c r="AJ92" s="15">
        <v>1704.0</v>
      </c>
    </row>
    <row r="93" ht="15.75" customHeight="1">
      <c r="A93" s="6" t="s">
        <v>78</v>
      </c>
      <c r="B93" s="6" t="s">
        <v>33</v>
      </c>
      <c r="C93" s="6" t="s">
        <v>52</v>
      </c>
      <c r="D93" s="4" t="s">
        <v>179</v>
      </c>
      <c r="E93" s="19">
        <f t="shared" si="2"/>
        <v>2547.7</v>
      </c>
      <c r="F93" s="11">
        <f t="shared" si="3"/>
        <v>0.002800205754</v>
      </c>
      <c r="G93" s="15">
        <f t="shared" si="4"/>
        <v>2504.2</v>
      </c>
      <c r="H93" s="11">
        <f t="shared" si="5"/>
        <v>0.002844080084</v>
      </c>
      <c r="I93" s="15">
        <f t="shared" si="6"/>
        <v>2591.2</v>
      </c>
      <c r="J93" s="20">
        <f t="shared" si="7"/>
        <v>0.002759071865</v>
      </c>
      <c r="K93" s="15">
        <f t="shared" si="8"/>
        <v>3230.333333</v>
      </c>
      <c r="L93" s="11">
        <f t="shared" si="9"/>
        <v>0.002768830246</v>
      </c>
      <c r="M93" s="19">
        <v>1572.0</v>
      </c>
      <c r="N93" s="11">
        <f t="shared" si="10"/>
        <v>0.002669170571</v>
      </c>
      <c r="O93" s="15">
        <v>3280.0</v>
      </c>
      <c r="P93" s="11">
        <f t="shared" si="11"/>
        <v>0.002782903807</v>
      </c>
      <c r="Q93" s="15">
        <v>3321.0</v>
      </c>
      <c r="R93" s="11">
        <f t="shared" si="12"/>
        <v>0.002756606809</v>
      </c>
      <c r="S93" s="17">
        <v>3090.0</v>
      </c>
      <c r="T93" s="29">
        <f t="shared" si="13"/>
        <v>0.002767163353</v>
      </c>
      <c r="U93" s="15">
        <v>3014.0</v>
      </c>
      <c r="V93" s="11">
        <f t="shared" si="14"/>
        <v>0.00318149959</v>
      </c>
      <c r="W93" s="15">
        <v>3117.0</v>
      </c>
      <c r="X93" s="11">
        <f t="shared" si="15"/>
        <v>0.00314038013</v>
      </c>
      <c r="Y93" s="15">
        <v>1489.0</v>
      </c>
      <c r="Z93" s="11">
        <f t="shared" si="16"/>
        <v>0.002530991472</v>
      </c>
      <c r="AA93" s="15">
        <v>1776.0</v>
      </c>
      <c r="AB93" s="11">
        <f t="shared" si="17"/>
        <v>0.002923740742</v>
      </c>
      <c r="AC93" s="15">
        <v>2840.0</v>
      </c>
      <c r="AD93" s="11">
        <f t="shared" si="18"/>
        <v>0.002191418897</v>
      </c>
      <c r="AE93" s="15">
        <v>1978.0</v>
      </c>
      <c r="AF93" s="20">
        <f t="shared" si="19"/>
        <v>0.00342415954</v>
      </c>
      <c r="AG93" s="19">
        <v>3144.0</v>
      </c>
      <c r="AH93" s="15">
        <v>2159.0</v>
      </c>
      <c r="AI93" s="15">
        <v>2461.0</v>
      </c>
      <c r="AJ93" s="15">
        <v>1678.0</v>
      </c>
    </row>
    <row r="94" ht="15.75" customHeight="1">
      <c r="A94" s="6" t="s">
        <v>75</v>
      </c>
      <c r="B94" s="6" t="s">
        <v>33</v>
      </c>
      <c r="C94" s="6" t="s">
        <v>58</v>
      </c>
      <c r="D94" s="4" t="s">
        <v>180</v>
      </c>
      <c r="E94" s="19">
        <f t="shared" si="2"/>
        <v>2530.7</v>
      </c>
      <c r="F94" s="11">
        <f t="shared" si="3"/>
        <v>0.002781520862</v>
      </c>
      <c r="G94" s="15">
        <f t="shared" si="4"/>
        <v>2541.6</v>
      </c>
      <c r="H94" s="11">
        <f t="shared" si="5"/>
        <v>0.002886556162</v>
      </c>
      <c r="I94" s="15">
        <f t="shared" si="6"/>
        <v>2519.8</v>
      </c>
      <c r="J94" s="20">
        <f t="shared" si="7"/>
        <v>0.002683046189</v>
      </c>
      <c r="K94" s="15">
        <f t="shared" si="8"/>
        <v>3088.333333</v>
      </c>
      <c r="L94" s="11">
        <f t="shared" si="9"/>
        <v>0.002647117142</v>
      </c>
      <c r="M94" s="19">
        <v>1891.0</v>
      </c>
      <c r="N94" s="11">
        <f t="shared" si="10"/>
        <v>0.003210815235</v>
      </c>
      <c r="O94" s="15">
        <v>3139.0</v>
      </c>
      <c r="P94" s="11">
        <f t="shared" si="11"/>
        <v>0.002663272882</v>
      </c>
      <c r="Q94" s="15">
        <v>3182.0</v>
      </c>
      <c r="R94" s="11">
        <f t="shared" si="12"/>
        <v>0.002641229408</v>
      </c>
      <c r="S94" s="17">
        <v>2944.0</v>
      </c>
      <c r="T94" s="29">
        <f t="shared" si="13"/>
        <v>0.002636417123</v>
      </c>
      <c r="U94" s="15">
        <v>2624.0</v>
      </c>
      <c r="V94" s="11">
        <f t="shared" si="14"/>
        <v>0.002769825788</v>
      </c>
      <c r="W94" s="15">
        <v>2703.0</v>
      </c>
      <c r="X94" s="11">
        <f t="shared" si="15"/>
        <v>0.002723274781</v>
      </c>
      <c r="Y94" s="15">
        <v>1351.0</v>
      </c>
      <c r="Z94" s="11">
        <f t="shared" si="16"/>
        <v>0.002296420066</v>
      </c>
      <c r="AA94" s="15">
        <v>1983.0</v>
      </c>
      <c r="AB94" s="11">
        <f t="shared" si="17"/>
        <v>0.003264514578</v>
      </c>
      <c r="AC94" s="15">
        <v>3056.0</v>
      </c>
      <c r="AD94" s="11">
        <f t="shared" si="18"/>
        <v>0.002358090194</v>
      </c>
      <c r="AE94" s="15">
        <v>2434.0</v>
      </c>
      <c r="AF94" s="20">
        <f t="shared" si="19"/>
        <v>0.004213551224</v>
      </c>
      <c r="AG94" s="19">
        <v>3106.0</v>
      </c>
      <c r="AH94" s="15">
        <v>2053.0</v>
      </c>
      <c r="AI94" s="15">
        <v>2702.0</v>
      </c>
      <c r="AJ94" s="15">
        <v>1984.0</v>
      </c>
    </row>
    <row r="95" ht="15.75" customHeight="1">
      <c r="A95" s="6" t="s">
        <v>78</v>
      </c>
      <c r="B95" s="6" t="s">
        <v>33</v>
      </c>
      <c r="C95" s="6" t="s">
        <v>59</v>
      </c>
      <c r="D95" s="4" t="s">
        <v>181</v>
      </c>
      <c r="E95" s="19">
        <f t="shared" si="2"/>
        <v>2500.8</v>
      </c>
      <c r="F95" s="11">
        <f t="shared" si="3"/>
        <v>0.002748657436</v>
      </c>
      <c r="G95" s="15">
        <f t="shared" si="4"/>
        <v>2719.2</v>
      </c>
      <c r="H95" s="11">
        <f t="shared" si="5"/>
        <v>0.003088260748</v>
      </c>
      <c r="I95" s="15">
        <f t="shared" si="6"/>
        <v>2282.4</v>
      </c>
      <c r="J95" s="20">
        <f t="shared" si="7"/>
        <v>0.002430266141</v>
      </c>
      <c r="K95" s="15">
        <f t="shared" si="8"/>
        <v>3025</v>
      </c>
      <c r="L95" s="11">
        <f t="shared" si="9"/>
        <v>0.002592831955</v>
      </c>
      <c r="M95" s="19">
        <v>1670.0</v>
      </c>
      <c r="N95" s="11">
        <f t="shared" si="10"/>
        <v>0.002835569245</v>
      </c>
      <c r="O95" s="15">
        <v>3084.0</v>
      </c>
      <c r="P95" s="11">
        <f t="shared" si="11"/>
        <v>0.002616608336</v>
      </c>
      <c r="Q95" s="15">
        <v>3158.0</v>
      </c>
      <c r="R95" s="11">
        <f t="shared" si="12"/>
        <v>0.002621308131</v>
      </c>
      <c r="S95" s="17">
        <v>2833.0</v>
      </c>
      <c r="T95" s="29">
        <f t="shared" si="13"/>
        <v>0.002537014168</v>
      </c>
      <c r="U95" s="15">
        <v>3442.0</v>
      </c>
      <c r="V95" s="11">
        <f t="shared" si="14"/>
        <v>0.003633285199</v>
      </c>
      <c r="W95" s="15">
        <v>3203.0</v>
      </c>
      <c r="X95" s="11">
        <f t="shared" si="15"/>
        <v>0.003227025203</v>
      </c>
      <c r="Y95" s="15">
        <v>941.0</v>
      </c>
      <c r="Z95" s="11">
        <f t="shared" si="16"/>
        <v>0.00159950502</v>
      </c>
      <c r="AA95" s="15">
        <v>1396.0</v>
      </c>
      <c r="AB95" s="11">
        <f t="shared" si="17"/>
        <v>0.002298165583</v>
      </c>
      <c r="AC95" s="15">
        <v>2383.0</v>
      </c>
      <c r="AD95" s="11">
        <f t="shared" si="18"/>
        <v>0.001838785645</v>
      </c>
      <c r="AE95" s="15">
        <v>2898.0</v>
      </c>
      <c r="AF95" s="20">
        <f t="shared" si="19"/>
        <v>0.005016791884</v>
      </c>
      <c r="AG95" s="19">
        <v>3075.0</v>
      </c>
      <c r="AH95" s="15">
        <v>2092.0</v>
      </c>
      <c r="AI95" s="15">
        <v>2537.0</v>
      </c>
      <c r="AJ95" s="15">
        <v>1853.0</v>
      </c>
    </row>
    <row r="96" ht="15.75" customHeight="1">
      <c r="A96" s="6" t="s">
        <v>75</v>
      </c>
      <c r="B96" s="6" t="s">
        <v>33</v>
      </c>
      <c r="C96" s="6" t="s">
        <v>53</v>
      </c>
      <c r="D96" s="4" t="s">
        <v>182</v>
      </c>
      <c r="E96" s="19">
        <f t="shared" si="2"/>
        <v>2465.2</v>
      </c>
      <c r="F96" s="11">
        <f t="shared" si="3"/>
        <v>0.002709529075</v>
      </c>
      <c r="G96" s="15">
        <f t="shared" si="4"/>
        <v>2317</v>
      </c>
      <c r="H96" s="11">
        <f t="shared" si="5"/>
        <v>0.002631472548</v>
      </c>
      <c r="I96" s="15">
        <f t="shared" si="6"/>
        <v>2613.4</v>
      </c>
      <c r="J96" s="20">
        <f t="shared" si="7"/>
        <v>0.0027827101</v>
      </c>
      <c r="K96" s="15">
        <f t="shared" si="8"/>
        <v>3341.666667</v>
      </c>
      <c r="L96" s="11">
        <f t="shared" si="9"/>
        <v>0.00286425789</v>
      </c>
      <c r="M96" s="19">
        <v>1930.0</v>
      </c>
      <c r="N96" s="11">
        <f t="shared" si="10"/>
        <v>0.003277035115</v>
      </c>
      <c r="O96" s="15">
        <v>3361.0</v>
      </c>
      <c r="P96" s="11">
        <f t="shared" si="11"/>
        <v>0.002851627956</v>
      </c>
      <c r="Q96" s="15">
        <v>3415.0</v>
      </c>
      <c r="R96" s="11">
        <f t="shared" si="12"/>
        <v>0.002834631813</v>
      </c>
      <c r="S96" s="17">
        <v>3249.0</v>
      </c>
      <c r="T96" s="29">
        <f t="shared" si="13"/>
        <v>0.00290955137</v>
      </c>
      <c r="U96" s="15">
        <v>2569.0</v>
      </c>
      <c r="V96" s="11">
        <f t="shared" si="14"/>
        <v>0.002711769226</v>
      </c>
      <c r="W96" s="15">
        <v>2591.0</v>
      </c>
      <c r="X96" s="11">
        <f t="shared" si="15"/>
        <v>0.002610434686</v>
      </c>
      <c r="Y96" s="15">
        <v>1568.0</v>
      </c>
      <c r="Z96" s="11">
        <f t="shared" si="16"/>
        <v>0.002665275103</v>
      </c>
      <c r="AA96" s="15">
        <v>1474.0</v>
      </c>
      <c r="AB96" s="11">
        <f t="shared" si="17"/>
        <v>0.002426573116</v>
      </c>
      <c r="AC96" s="15">
        <v>2983.0</v>
      </c>
      <c r="AD96" s="11">
        <f t="shared" si="18"/>
        <v>0.002301761469</v>
      </c>
      <c r="AE96" s="15">
        <v>1512.0</v>
      </c>
      <c r="AF96" s="20">
        <f t="shared" si="19"/>
        <v>0.002617456635</v>
      </c>
      <c r="AG96" s="19">
        <v>3350.0</v>
      </c>
      <c r="AH96" s="15">
        <v>2231.0</v>
      </c>
      <c r="AI96" s="15">
        <v>2798.0</v>
      </c>
      <c r="AJ96" s="15">
        <v>2033.0</v>
      </c>
    </row>
    <row r="97" ht="15.75" customHeight="1">
      <c r="A97" s="6" t="s">
        <v>78</v>
      </c>
      <c r="B97" s="6" t="s">
        <v>33</v>
      </c>
      <c r="C97" s="6" t="s">
        <v>61</v>
      </c>
      <c r="D97" s="4" t="s">
        <v>183</v>
      </c>
      <c r="E97" s="19">
        <f t="shared" si="2"/>
        <v>2462.3</v>
      </c>
      <c r="F97" s="11">
        <f t="shared" si="3"/>
        <v>0.002706341652</v>
      </c>
      <c r="G97" s="15">
        <f t="shared" si="4"/>
        <v>2550</v>
      </c>
      <c r="H97" s="11">
        <f t="shared" si="5"/>
        <v>0.002896096244</v>
      </c>
      <c r="I97" s="15">
        <f t="shared" si="6"/>
        <v>2374.6</v>
      </c>
      <c r="J97" s="20">
        <f t="shared" si="7"/>
        <v>0.002528439353</v>
      </c>
      <c r="K97" s="15">
        <f t="shared" si="8"/>
        <v>2965.333333</v>
      </c>
      <c r="L97" s="11">
        <f t="shared" si="9"/>
        <v>0.002541689595</v>
      </c>
      <c r="M97" s="19">
        <v>1449.0</v>
      </c>
      <c r="N97" s="11">
        <f t="shared" si="10"/>
        <v>0.002460323255</v>
      </c>
      <c r="O97" s="15">
        <v>3014.0</v>
      </c>
      <c r="P97" s="11">
        <f t="shared" si="11"/>
        <v>0.002557217096</v>
      </c>
      <c r="Q97" s="15">
        <v>3059.0</v>
      </c>
      <c r="R97" s="11">
        <f t="shared" si="12"/>
        <v>0.00253913286</v>
      </c>
      <c r="S97" s="17">
        <v>2823.0</v>
      </c>
      <c r="T97" s="29">
        <f t="shared" si="13"/>
        <v>0.002528058947</v>
      </c>
      <c r="U97" s="15">
        <v>3350.0</v>
      </c>
      <c r="V97" s="11">
        <f t="shared" si="14"/>
        <v>0.003536172405</v>
      </c>
      <c r="W97" s="15">
        <v>3188.0</v>
      </c>
      <c r="X97" s="11">
        <f t="shared" si="15"/>
        <v>0.00321191269</v>
      </c>
      <c r="Y97" s="15">
        <v>1298.0</v>
      </c>
      <c r="Z97" s="11">
        <f t="shared" si="16"/>
        <v>0.002206331048</v>
      </c>
      <c r="AA97" s="15">
        <v>1679.0</v>
      </c>
      <c r="AB97" s="11">
        <f t="shared" si="17"/>
        <v>0.002764054451</v>
      </c>
      <c r="AC97" s="15">
        <v>2558.0</v>
      </c>
      <c r="AD97" s="11">
        <f t="shared" si="18"/>
        <v>0.00197382026</v>
      </c>
      <c r="AE97" s="15">
        <v>2205.0</v>
      </c>
      <c r="AF97" s="20">
        <f t="shared" si="19"/>
        <v>0.00381712426</v>
      </c>
      <c r="AG97" s="19">
        <v>2875.0</v>
      </c>
      <c r="AH97" s="15">
        <v>1961.0</v>
      </c>
      <c r="AI97" s="15">
        <v>2318.0</v>
      </c>
      <c r="AJ97" s="15">
        <v>1638.0</v>
      </c>
    </row>
    <row r="98" ht="15.75" customHeight="1">
      <c r="A98" s="6" t="s">
        <v>77</v>
      </c>
      <c r="B98" s="6" t="s">
        <v>33</v>
      </c>
      <c r="C98" s="6" t="s">
        <v>55</v>
      </c>
      <c r="D98" s="4" t="s">
        <v>184</v>
      </c>
      <c r="E98" s="19">
        <f t="shared" si="2"/>
        <v>2449.2</v>
      </c>
      <c r="F98" s="11">
        <f t="shared" si="3"/>
        <v>0.002691943295</v>
      </c>
      <c r="G98" s="15">
        <f t="shared" si="4"/>
        <v>2502.4</v>
      </c>
      <c r="H98" s="11">
        <f t="shared" si="5"/>
        <v>0.002842035781</v>
      </c>
      <c r="I98" s="15">
        <f t="shared" si="6"/>
        <v>2396</v>
      </c>
      <c r="J98" s="20">
        <f t="shared" si="7"/>
        <v>0.00255122576</v>
      </c>
      <c r="K98" s="15">
        <f t="shared" si="8"/>
        <v>2981.666667</v>
      </c>
      <c r="L98" s="11">
        <f t="shared" si="9"/>
        <v>0.002555689459</v>
      </c>
      <c r="M98" s="19">
        <v>1746.0</v>
      </c>
      <c r="N98" s="11">
        <f t="shared" si="10"/>
        <v>0.002964613115</v>
      </c>
      <c r="O98" s="15">
        <v>3069.0</v>
      </c>
      <c r="P98" s="11">
        <f t="shared" si="11"/>
        <v>0.002603881642</v>
      </c>
      <c r="Q98" s="15">
        <v>3169.0</v>
      </c>
      <c r="R98" s="11">
        <f t="shared" si="12"/>
        <v>0.002630438716</v>
      </c>
      <c r="S98" s="17">
        <v>2707.0</v>
      </c>
      <c r="T98" s="29">
        <f t="shared" si="13"/>
        <v>0.002424178381</v>
      </c>
      <c r="U98" s="15">
        <v>3070.0</v>
      </c>
      <c r="V98" s="11">
        <f t="shared" si="14"/>
        <v>0.003240611726</v>
      </c>
      <c r="W98" s="15">
        <v>2932.0</v>
      </c>
      <c r="X98" s="11">
        <f t="shared" si="15"/>
        <v>0.002953992474</v>
      </c>
      <c r="Y98" s="15">
        <v>1037.0</v>
      </c>
      <c r="Z98" s="11">
        <f t="shared" si="16"/>
        <v>0.001762685129</v>
      </c>
      <c r="AA98" s="15">
        <v>1998.0</v>
      </c>
      <c r="AB98" s="11">
        <f t="shared" si="17"/>
        <v>0.003289208335</v>
      </c>
      <c r="AC98" s="15">
        <v>2795.0</v>
      </c>
      <c r="AD98" s="11">
        <f t="shared" si="18"/>
        <v>0.002156695711</v>
      </c>
      <c r="AE98" s="15">
        <v>1969.0</v>
      </c>
      <c r="AF98" s="20">
        <v>0.06</v>
      </c>
      <c r="AG98" s="19">
        <v>3056.0</v>
      </c>
      <c r="AH98" s="15">
        <v>2050.0</v>
      </c>
      <c r="AI98" s="15">
        <v>2416.0</v>
      </c>
      <c r="AJ98" s="15">
        <v>1904.0</v>
      </c>
    </row>
    <row r="99" ht="15.75" customHeight="1">
      <c r="A99" s="6" t="s">
        <v>78</v>
      </c>
      <c r="B99" s="6" t="s">
        <v>33</v>
      </c>
      <c r="C99" s="6" t="s">
        <v>56</v>
      </c>
      <c r="D99" s="4" t="s">
        <v>185</v>
      </c>
      <c r="E99" s="19">
        <f t="shared" si="2"/>
        <v>2422.1</v>
      </c>
      <c r="F99" s="11">
        <f t="shared" si="3"/>
        <v>0.00266215738</v>
      </c>
      <c r="G99" s="15">
        <f t="shared" si="4"/>
        <v>2513</v>
      </c>
      <c r="H99" s="11">
        <f t="shared" si="5"/>
        <v>0.002854074455</v>
      </c>
      <c r="I99" s="15">
        <f t="shared" si="6"/>
        <v>2331.2</v>
      </c>
      <c r="J99" s="20">
        <f t="shared" si="7"/>
        <v>0.002482227667</v>
      </c>
      <c r="K99" s="15">
        <f t="shared" si="8"/>
        <v>2842.666667</v>
      </c>
      <c r="L99" s="11">
        <f t="shared" si="9"/>
        <v>0.002436547759</v>
      </c>
      <c r="M99" s="19">
        <v>1356.0</v>
      </c>
      <c r="N99" s="11">
        <f t="shared" si="10"/>
        <v>0.002302414309</v>
      </c>
      <c r="O99" s="15">
        <v>2918.0</v>
      </c>
      <c r="P99" s="11">
        <f t="shared" si="11"/>
        <v>0.002475766253</v>
      </c>
      <c r="Q99" s="15">
        <v>2946.0</v>
      </c>
      <c r="R99" s="11">
        <f t="shared" si="12"/>
        <v>0.002445336844</v>
      </c>
      <c r="S99" s="17">
        <v>2664.0</v>
      </c>
      <c r="T99" s="29">
        <f t="shared" si="13"/>
        <v>0.00238567093</v>
      </c>
      <c r="U99" s="15">
        <v>2449.0</v>
      </c>
      <c r="V99" s="11">
        <f t="shared" si="14"/>
        <v>0.002585100364</v>
      </c>
      <c r="W99" s="15">
        <v>2495.0</v>
      </c>
      <c r="X99" s="11">
        <f t="shared" si="15"/>
        <v>0.002513714605</v>
      </c>
      <c r="Y99" s="15">
        <v>1332.0</v>
      </c>
      <c r="Z99" s="11">
        <f t="shared" si="16"/>
        <v>0.002264124003</v>
      </c>
      <c r="AA99" s="15">
        <v>1796.0</v>
      </c>
      <c r="AB99" s="11">
        <f t="shared" si="17"/>
        <v>0.00295666575</v>
      </c>
      <c r="AC99" s="15">
        <v>3010.0</v>
      </c>
      <c r="AD99" s="11">
        <f t="shared" si="18"/>
        <v>0.002322595381</v>
      </c>
      <c r="AE99" s="15">
        <v>3255.0</v>
      </c>
      <c r="AF99" s="20">
        <f t="shared" ref="AF99:AF164" si="20">AE99/$AE$4</f>
        <v>0.005634802479</v>
      </c>
      <c r="AG99" s="19">
        <v>2771.0</v>
      </c>
      <c r="AH99" s="15">
        <v>1878.0</v>
      </c>
      <c r="AI99" s="15">
        <v>2251.0</v>
      </c>
      <c r="AJ99" s="15">
        <v>1460.0</v>
      </c>
    </row>
    <row r="100" ht="15.75" customHeight="1">
      <c r="A100" s="6" t="s">
        <v>75</v>
      </c>
      <c r="B100" s="6" t="s">
        <v>33</v>
      </c>
      <c r="C100" s="6" t="s">
        <v>53</v>
      </c>
      <c r="D100" s="4" t="s">
        <v>186</v>
      </c>
      <c r="E100" s="19">
        <f t="shared" si="2"/>
        <v>2406.4</v>
      </c>
      <c r="F100" s="11">
        <f t="shared" si="3"/>
        <v>0.002644901333</v>
      </c>
      <c r="G100" s="15">
        <f t="shared" si="4"/>
        <v>2240.6</v>
      </c>
      <c r="H100" s="11">
        <f t="shared" si="5"/>
        <v>0.002544703233</v>
      </c>
      <c r="I100" s="15">
        <f t="shared" si="6"/>
        <v>2572.2</v>
      </c>
      <c r="J100" s="20">
        <f t="shared" si="7"/>
        <v>0.002738840943</v>
      </c>
      <c r="K100" s="15">
        <f t="shared" si="8"/>
        <v>3226.666667</v>
      </c>
      <c r="L100" s="11">
        <f t="shared" si="9"/>
        <v>0.002765687419</v>
      </c>
      <c r="M100" s="19">
        <v>1684.0</v>
      </c>
      <c r="N100" s="11">
        <f t="shared" si="10"/>
        <v>0.002859340484</v>
      </c>
      <c r="O100" s="15">
        <v>3222.0</v>
      </c>
      <c r="P100" s="11">
        <f t="shared" si="11"/>
        <v>0.002733693923</v>
      </c>
      <c r="Q100" s="15">
        <v>3295.0</v>
      </c>
      <c r="R100" s="11">
        <f t="shared" si="12"/>
        <v>0.002735025425</v>
      </c>
      <c r="S100" s="17">
        <v>3163.0</v>
      </c>
      <c r="T100" s="29">
        <f t="shared" si="13"/>
        <v>0.002832536468</v>
      </c>
      <c r="U100" s="15">
        <v>2490.0</v>
      </c>
      <c r="V100" s="11">
        <f t="shared" si="14"/>
        <v>0.002628378892</v>
      </c>
      <c r="W100" s="15">
        <v>2645.0</v>
      </c>
      <c r="X100" s="11">
        <f t="shared" si="15"/>
        <v>0.002664839732</v>
      </c>
      <c r="Y100" s="15">
        <v>1645.0</v>
      </c>
      <c r="Z100" s="11">
        <f t="shared" si="16"/>
        <v>0.002796159148</v>
      </c>
      <c r="AA100" s="15">
        <v>1536.0</v>
      </c>
      <c r="AB100" s="11">
        <f t="shared" si="17"/>
        <v>0.002528640642</v>
      </c>
      <c r="AC100" s="15">
        <v>3075.0</v>
      </c>
      <c r="AD100" s="11">
        <f t="shared" si="18"/>
        <v>0.002372751095</v>
      </c>
      <c r="AE100" s="15">
        <v>1309.0</v>
      </c>
      <c r="AF100" s="20">
        <f t="shared" si="20"/>
        <v>0.002266038846</v>
      </c>
      <c r="AG100" s="19">
        <v>3272.0</v>
      </c>
      <c r="AH100" s="15">
        <v>2136.0</v>
      </c>
      <c r="AI100" s="15">
        <v>2829.0</v>
      </c>
      <c r="AJ100" s="15">
        <v>2188.0</v>
      </c>
    </row>
    <row r="101" ht="15.75" customHeight="1">
      <c r="A101" s="6" t="s">
        <v>75</v>
      </c>
      <c r="B101" s="6" t="s">
        <v>33</v>
      </c>
      <c r="C101" s="6" t="s">
        <v>54</v>
      </c>
      <c r="D101" s="4" t="s">
        <v>187</v>
      </c>
      <c r="E101" s="19">
        <f t="shared" si="2"/>
        <v>2391.9</v>
      </c>
      <c r="F101" s="11">
        <f t="shared" si="3"/>
        <v>0.00262896422</v>
      </c>
      <c r="G101" s="15">
        <f t="shared" si="4"/>
        <v>2377</v>
      </c>
      <c r="H101" s="11">
        <f t="shared" si="5"/>
        <v>0.002699615989</v>
      </c>
      <c r="I101" s="15">
        <f t="shared" si="6"/>
        <v>2406.8</v>
      </c>
      <c r="J101" s="20">
        <f t="shared" si="7"/>
        <v>0.002562725442</v>
      </c>
      <c r="K101" s="15">
        <f t="shared" si="8"/>
        <v>3021.666667</v>
      </c>
      <c r="L101" s="11">
        <f t="shared" si="9"/>
        <v>0.00258997484</v>
      </c>
      <c r="M101" s="19">
        <v>1748.0</v>
      </c>
      <c r="N101" s="11">
        <f t="shared" si="10"/>
        <v>0.002968009006</v>
      </c>
      <c r="O101" s="15">
        <v>3048.0</v>
      </c>
      <c r="P101" s="11">
        <f t="shared" si="11"/>
        <v>0.00258606427</v>
      </c>
      <c r="Q101" s="15">
        <v>3074.0</v>
      </c>
      <c r="R101" s="11">
        <f t="shared" si="12"/>
        <v>0.002551583659</v>
      </c>
      <c r="S101" s="17">
        <v>2943.0</v>
      </c>
      <c r="T101" s="29">
        <f t="shared" si="13"/>
        <v>0.002635521601</v>
      </c>
      <c r="U101" s="15">
        <v>2068.0</v>
      </c>
      <c r="V101" s="11">
        <f t="shared" si="14"/>
        <v>0.002182926726</v>
      </c>
      <c r="W101" s="15">
        <v>2454.0</v>
      </c>
      <c r="X101" s="11">
        <f t="shared" si="15"/>
        <v>0.002472407071</v>
      </c>
      <c r="Y101" s="15">
        <v>1528.0</v>
      </c>
      <c r="Z101" s="11">
        <f t="shared" si="16"/>
        <v>0.002597283391</v>
      </c>
      <c r="AA101" s="15">
        <v>1441.0</v>
      </c>
      <c r="AB101" s="11">
        <f t="shared" si="17"/>
        <v>0.002372246852</v>
      </c>
      <c r="AC101" s="15">
        <v>3168.0</v>
      </c>
      <c r="AD101" s="11">
        <f t="shared" si="18"/>
        <v>0.002444512348</v>
      </c>
      <c r="AE101" s="15">
        <v>2447.0</v>
      </c>
      <c r="AF101" s="20">
        <f t="shared" si="20"/>
        <v>0.004236055811</v>
      </c>
      <c r="AG101" s="19">
        <v>2962.0</v>
      </c>
      <c r="AH101" s="15">
        <v>2029.0</v>
      </c>
      <c r="AI101" s="15">
        <v>2507.0</v>
      </c>
      <c r="AJ101" s="15">
        <v>1856.0</v>
      </c>
    </row>
    <row r="102" ht="15.75" customHeight="1">
      <c r="A102" s="6" t="s">
        <v>73</v>
      </c>
      <c r="B102" s="6" t="s">
        <v>33</v>
      </c>
      <c r="C102" s="6" t="s">
        <v>60</v>
      </c>
      <c r="D102" s="4" t="s">
        <v>188</v>
      </c>
      <c r="E102" s="19">
        <f t="shared" si="2"/>
        <v>2202.1</v>
      </c>
      <c r="F102" s="11">
        <f t="shared" si="3"/>
        <v>0.002420352903</v>
      </c>
      <c r="G102" s="15">
        <f t="shared" si="4"/>
        <v>2024</v>
      </c>
      <c r="H102" s="11">
        <f t="shared" si="5"/>
        <v>0.002298705411</v>
      </c>
      <c r="I102" s="15">
        <f t="shared" si="6"/>
        <v>2380.2</v>
      </c>
      <c r="J102" s="20">
        <f t="shared" si="7"/>
        <v>0.002534402151</v>
      </c>
      <c r="K102" s="15">
        <f t="shared" si="8"/>
        <v>2990.333333</v>
      </c>
      <c r="L102" s="11">
        <f t="shared" si="9"/>
        <v>0.002563117958</v>
      </c>
      <c r="M102" s="19">
        <v>1542.0</v>
      </c>
      <c r="N102" s="11">
        <f t="shared" si="10"/>
        <v>0.002618232201</v>
      </c>
      <c r="O102" s="15">
        <v>3022.0</v>
      </c>
      <c r="P102" s="11">
        <f t="shared" si="11"/>
        <v>0.002564004666</v>
      </c>
      <c r="Q102" s="15">
        <v>3066.0</v>
      </c>
      <c r="R102" s="11">
        <f t="shared" si="12"/>
        <v>0.002544943233</v>
      </c>
      <c r="S102" s="17">
        <v>2883.0</v>
      </c>
      <c r="T102" s="29">
        <f t="shared" si="13"/>
        <v>0.002581790274</v>
      </c>
      <c r="U102" s="15">
        <v>2068.0</v>
      </c>
      <c r="V102" s="11">
        <f t="shared" si="14"/>
        <v>0.002182926726</v>
      </c>
      <c r="W102" s="15">
        <v>2240.0</v>
      </c>
      <c r="X102" s="11">
        <f t="shared" si="15"/>
        <v>0.00225680189</v>
      </c>
      <c r="Y102" s="15">
        <v>1477.0</v>
      </c>
      <c r="Z102" s="11">
        <f t="shared" si="16"/>
        <v>0.002510593959</v>
      </c>
      <c r="AA102" s="15">
        <v>1453.0</v>
      </c>
      <c r="AB102" s="11">
        <f t="shared" si="17"/>
        <v>0.002392001857</v>
      </c>
      <c r="AC102" s="15">
        <v>3052.0</v>
      </c>
      <c r="AD102" s="11">
        <f t="shared" si="18"/>
        <v>0.002355003688</v>
      </c>
      <c r="AE102" s="15">
        <v>1218.0</v>
      </c>
      <c r="AF102" s="20">
        <f t="shared" si="20"/>
        <v>0.002108506734</v>
      </c>
      <c r="AG102" s="19">
        <v>2936.0</v>
      </c>
      <c r="AH102" s="15">
        <v>1954.0</v>
      </c>
      <c r="AI102" s="15">
        <v>2601.0</v>
      </c>
      <c r="AJ102" s="15">
        <v>1982.0</v>
      </c>
    </row>
    <row r="103" ht="15.75" customHeight="1">
      <c r="A103" s="6" t="s">
        <v>75</v>
      </c>
      <c r="B103" s="6" t="s">
        <v>33</v>
      </c>
      <c r="C103" s="6" t="s">
        <v>53</v>
      </c>
      <c r="D103" s="4" t="s">
        <v>189</v>
      </c>
      <c r="E103" s="19">
        <f t="shared" si="2"/>
        <v>2193.8</v>
      </c>
      <c r="F103" s="11">
        <f t="shared" si="3"/>
        <v>0.002411230279</v>
      </c>
      <c r="G103" s="15">
        <f t="shared" si="4"/>
        <v>2043.6</v>
      </c>
      <c r="H103" s="11">
        <f t="shared" si="5"/>
        <v>0.002320965602</v>
      </c>
      <c r="I103" s="15">
        <f t="shared" si="6"/>
        <v>2344</v>
      </c>
      <c r="J103" s="20">
        <f t="shared" si="7"/>
        <v>0.00249585692</v>
      </c>
      <c r="K103" s="15">
        <f t="shared" si="8"/>
        <v>2954</v>
      </c>
      <c r="L103" s="11">
        <f t="shared" si="9"/>
        <v>0.002531975404</v>
      </c>
      <c r="M103" s="19">
        <v>1847.0</v>
      </c>
      <c r="N103" s="11">
        <f t="shared" si="10"/>
        <v>0.003136105626</v>
      </c>
      <c r="O103" s="15">
        <v>2946.0</v>
      </c>
      <c r="P103" s="11">
        <f t="shared" si="11"/>
        <v>0.002499522749</v>
      </c>
      <c r="Q103" s="15">
        <v>2982.0</v>
      </c>
      <c r="R103" s="11">
        <f t="shared" si="12"/>
        <v>0.002475218761</v>
      </c>
      <c r="S103" s="17">
        <v>2934.0</v>
      </c>
      <c r="T103" s="29">
        <f t="shared" si="13"/>
        <v>0.002627461902</v>
      </c>
      <c r="U103" s="15">
        <v>2289.0</v>
      </c>
      <c r="V103" s="11">
        <f t="shared" si="14"/>
        <v>0.002416208548</v>
      </c>
      <c r="W103" s="15">
        <v>2436.0</v>
      </c>
      <c r="X103" s="11">
        <f t="shared" si="15"/>
        <v>0.002454272055</v>
      </c>
      <c r="Y103" s="15">
        <v>1502.0</v>
      </c>
      <c r="Z103" s="11">
        <f t="shared" si="16"/>
        <v>0.002553088778</v>
      </c>
      <c r="AA103" s="15">
        <v>1356.0</v>
      </c>
      <c r="AB103" s="11">
        <f t="shared" si="17"/>
        <v>0.002232315566</v>
      </c>
      <c r="AC103" s="15">
        <v>2499.0</v>
      </c>
      <c r="AD103" s="11">
        <f t="shared" si="18"/>
        <v>0.001928294304</v>
      </c>
      <c r="AE103" s="15">
        <v>1147.0</v>
      </c>
      <c r="AF103" s="20">
        <f t="shared" si="20"/>
        <v>0.001985597064</v>
      </c>
      <c r="AG103" s="19">
        <v>3079.0</v>
      </c>
      <c r="AH103" s="15">
        <v>2020.0</v>
      </c>
      <c r="AI103" s="15">
        <v>2681.0</v>
      </c>
      <c r="AJ103" s="15">
        <v>2149.0</v>
      </c>
    </row>
    <row r="104" ht="15.75" customHeight="1">
      <c r="A104" s="6" t="s">
        <v>78</v>
      </c>
      <c r="B104" s="6" t="s">
        <v>33</v>
      </c>
      <c r="C104" s="6" t="s">
        <v>52</v>
      </c>
      <c r="D104" s="4" t="s">
        <v>190</v>
      </c>
      <c r="E104" s="19">
        <f t="shared" si="2"/>
        <v>2181.5</v>
      </c>
      <c r="F104" s="11">
        <f t="shared" si="3"/>
        <v>0.002397711211</v>
      </c>
      <c r="G104" s="15">
        <f t="shared" si="4"/>
        <v>2291.6</v>
      </c>
      <c r="H104" s="11">
        <f t="shared" si="5"/>
        <v>0.002602625158</v>
      </c>
      <c r="I104" s="15">
        <f t="shared" si="6"/>
        <v>2071.4</v>
      </c>
      <c r="J104" s="20">
        <f t="shared" si="7"/>
        <v>0.002205596427</v>
      </c>
      <c r="K104" s="15">
        <f t="shared" si="8"/>
        <v>2665</v>
      </c>
      <c r="L104" s="11">
        <f t="shared" si="9"/>
        <v>0.002284263524</v>
      </c>
      <c r="M104" s="19">
        <v>1203.0</v>
      </c>
      <c r="N104" s="11">
        <f t="shared" si="10"/>
        <v>0.002042628624</v>
      </c>
      <c r="O104" s="15">
        <v>2723.0</v>
      </c>
      <c r="P104" s="11">
        <f t="shared" si="11"/>
        <v>0.002310319228</v>
      </c>
      <c r="Q104" s="15">
        <v>2742.0</v>
      </c>
      <c r="R104" s="11">
        <f t="shared" si="12"/>
        <v>0.002276005983</v>
      </c>
      <c r="S104" s="17">
        <v>2530.0</v>
      </c>
      <c r="T104" s="29">
        <f t="shared" si="13"/>
        <v>0.002265670965</v>
      </c>
      <c r="U104" s="15">
        <v>2685.0</v>
      </c>
      <c r="V104" s="11">
        <f t="shared" si="14"/>
        <v>0.002834215793</v>
      </c>
      <c r="W104" s="15">
        <v>2796.0</v>
      </c>
      <c r="X104" s="11">
        <f t="shared" si="15"/>
        <v>0.002816972359</v>
      </c>
      <c r="Y104" s="15">
        <v>1188.0</v>
      </c>
      <c r="Z104" s="11">
        <f t="shared" si="16"/>
        <v>0.002019353841</v>
      </c>
      <c r="AA104" s="15">
        <v>1174.0</v>
      </c>
      <c r="AB104" s="11">
        <f t="shared" si="17"/>
        <v>0.00193269799</v>
      </c>
      <c r="AC104" s="15">
        <v>2399.0</v>
      </c>
      <c r="AD104" s="11">
        <f t="shared" si="18"/>
        <v>0.001851131667</v>
      </c>
      <c r="AE104" s="15">
        <v>2375.0</v>
      </c>
      <c r="AF104" s="20">
        <f t="shared" si="20"/>
        <v>0.004111415019</v>
      </c>
      <c r="AG104" s="19">
        <v>2565.0</v>
      </c>
      <c r="AH104" s="15">
        <v>1757.0</v>
      </c>
      <c r="AI104" s="15">
        <v>2286.0</v>
      </c>
      <c r="AJ104" s="15">
        <v>1717.0</v>
      </c>
    </row>
    <row r="105" ht="15.75" customHeight="1">
      <c r="A105" s="6" t="s">
        <v>78</v>
      </c>
      <c r="B105" s="6" t="s">
        <v>33</v>
      </c>
      <c r="C105" s="6" t="s">
        <v>62</v>
      </c>
      <c r="D105" s="4" t="s">
        <v>191</v>
      </c>
      <c r="E105" s="19">
        <f t="shared" si="2"/>
        <v>1998.3</v>
      </c>
      <c r="F105" s="11">
        <f t="shared" si="3"/>
        <v>0.002196354028</v>
      </c>
      <c r="G105" s="15">
        <f t="shared" si="4"/>
        <v>1703.6</v>
      </c>
      <c r="H105" s="11">
        <f t="shared" si="5"/>
        <v>0.001934819436</v>
      </c>
      <c r="I105" s="15">
        <f t="shared" si="6"/>
        <v>2293</v>
      </c>
      <c r="J105" s="20">
        <f t="shared" si="7"/>
        <v>0.002441552866</v>
      </c>
      <c r="K105" s="15">
        <f t="shared" si="8"/>
        <v>2968.666667</v>
      </c>
      <c r="L105" s="11">
        <f t="shared" si="9"/>
        <v>0.00254454671</v>
      </c>
      <c r="M105" s="19">
        <v>1508.0</v>
      </c>
      <c r="N105" s="11">
        <f t="shared" si="10"/>
        <v>0.002560502049</v>
      </c>
      <c r="O105" s="15">
        <v>3044.0</v>
      </c>
      <c r="P105" s="11">
        <f t="shared" si="11"/>
        <v>0.002582670485</v>
      </c>
      <c r="Q105" s="15">
        <v>3088.0</v>
      </c>
      <c r="R105" s="11">
        <f t="shared" si="12"/>
        <v>0.002563204404</v>
      </c>
      <c r="S105" s="17">
        <v>2774.0</v>
      </c>
      <c r="T105" s="29">
        <f t="shared" si="13"/>
        <v>0.002484178363</v>
      </c>
      <c r="U105" s="15">
        <v>1497.0</v>
      </c>
      <c r="V105" s="11">
        <f t="shared" si="14"/>
        <v>0.001580194057</v>
      </c>
      <c r="W105" s="15">
        <v>1538.0</v>
      </c>
      <c r="X105" s="11">
        <f t="shared" si="15"/>
        <v>0.001549536298</v>
      </c>
      <c r="Y105" s="15">
        <v>1451.0</v>
      </c>
      <c r="Z105" s="11">
        <f t="shared" si="16"/>
        <v>0.002466399346</v>
      </c>
      <c r="AA105" s="15">
        <v>1108.0</v>
      </c>
      <c r="AB105" s="11">
        <f t="shared" si="17"/>
        <v>0.001824045463</v>
      </c>
      <c r="AC105" s="15">
        <v>3161.0</v>
      </c>
      <c r="AD105" s="11">
        <f t="shared" si="18"/>
        <v>0.002439110963</v>
      </c>
      <c r="AE105" s="15">
        <v>814.0</v>
      </c>
      <c r="AF105" s="20">
        <f t="shared" si="20"/>
        <v>0.0014091334</v>
      </c>
      <c r="AG105" s="19">
        <v>2939.0</v>
      </c>
      <c r="AH105" s="15">
        <v>2005.0</v>
      </c>
      <c r="AI105" s="15">
        <v>2551.0</v>
      </c>
      <c r="AJ105" s="15">
        <v>1850.0</v>
      </c>
    </row>
    <row r="106" ht="15.75" customHeight="1">
      <c r="A106" s="6" t="s">
        <v>70</v>
      </c>
      <c r="B106" s="6" t="s">
        <v>33</v>
      </c>
      <c r="C106" s="6" t="s">
        <v>61</v>
      </c>
      <c r="D106" s="4" t="s">
        <v>192</v>
      </c>
      <c r="E106" s="19">
        <f t="shared" si="2"/>
        <v>1989.7</v>
      </c>
      <c r="F106" s="11">
        <f t="shared" si="3"/>
        <v>0.002186901671</v>
      </c>
      <c r="G106" s="15">
        <f t="shared" si="4"/>
        <v>1626.2</v>
      </c>
      <c r="H106" s="11">
        <f t="shared" si="5"/>
        <v>0.001846914397</v>
      </c>
      <c r="I106" s="15">
        <f t="shared" si="6"/>
        <v>2353.2</v>
      </c>
      <c r="J106" s="20">
        <f t="shared" si="7"/>
        <v>0.002505652946</v>
      </c>
      <c r="K106" s="15">
        <f t="shared" si="8"/>
        <v>2884</v>
      </c>
      <c r="L106" s="11">
        <f t="shared" si="9"/>
        <v>0.002471975987</v>
      </c>
      <c r="M106" s="19">
        <v>1450.0</v>
      </c>
      <c r="N106" s="11">
        <f t="shared" si="10"/>
        <v>0.002462021201</v>
      </c>
      <c r="O106" s="15">
        <v>2908.0</v>
      </c>
      <c r="P106" s="11">
        <f t="shared" si="11"/>
        <v>0.00246728179</v>
      </c>
      <c r="Q106" s="15">
        <v>2976.0</v>
      </c>
      <c r="R106" s="11">
        <f t="shared" si="12"/>
        <v>0.002470238441</v>
      </c>
      <c r="S106" s="17">
        <v>2768.0</v>
      </c>
      <c r="T106" s="29">
        <f t="shared" si="13"/>
        <v>0.00247880523</v>
      </c>
      <c r="U106" s="15">
        <v>1606.0</v>
      </c>
      <c r="V106" s="11">
        <f t="shared" si="14"/>
        <v>0.001695251607</v>
      </c>
      <c r="W106" s="15">
        <v>1706.0</v>
      </c>
      <c r="X106" s="11">
        <f t="shared" si="15"/>
        <v>0.001718796439</v>
      </c>
      <c r="Y106" s="15">
        <v>1297.0</v>
      </c>
      <c r="Z106" s="11">
        <f t="shared" si="16"/>
        <v>0.002204631255</v>
      </c>
      <c r="AA106" s="15">
        <v>1817.0</v>
      </c>
      <c r="AB106" s="11">
        <f t="shared" si="17"/>
        <v>0.002991237009</v>
      </c>
      <c r="AC106" s="15">
        <v>2907.0</v>
      </c>
      <c r="AD106" s="11">
        <f t="shared" si="18"/>
        <v>0.002243117864</v>
      </c>
      <c r="AE106" s="15">
        <v>462.0</v>
      </c>
      <c r="AF106" s="20">
        <f t="shared" si="20"/>
        <v>0.0007997784164</v>
      </c>
      <c r="AG106" s="19">
        <v>2808.0</v>
      </c>
      <c r="AH106" s="15">
        <v>2015.0</v>
      </c>
      <c r="AI106" s="15">
        <v>2379.0</v>
      </c>
      <c r="AJ106" s="15">
        <v>1861.0</v>
      </c>
    </row>
    <row r="107" ht="15.75" customHeight="1">
      <c r="A107" s="6" t="s">
        <v>75</v>
      </c>
      <c r="B107" s="6" t="s">
        <v>33</v>
      </c>
      <c r="C107" s="6" t="s">
        <v>60</v>
      </c>
      <c r="D107" s="4" t="s">
        <v>193</v>
      </c>
      <c r="E107" s="19">
        <f t="shared" si="2"/>
        <v>1943.8</v>
      </c>
      <c r="F107" s="11">
        <f t="shared" si="3"/>
        <v>0.002136452465</v>
      </c>
      <c r="G107" s="15">
        <f t="shared" si="4"/>
        <v>1828.2</v>
      </c>
      <c r="H107" s="11">
        <f t="shared" si="5"/>
        <v>0.002076330648</v>
      </c>
      <c r="I107" s="15">
        <f t="shared" si="6"/>
        <v>2059.4</v>
      </c>
      <c r="J107" s="20">
        <f t="shared" si="7"/>
        <v>0.002192819002</v>
      </c>
      <c r="K107" s="15">
        <f t="shared" si="8"/>
        <v>2506.666667</v>
      </c>
      <c r="L107" s="11">
        <f t="shared" si="9"/>
        <v>0.002148550557</v>
      </c>
      <c r="M107" s="19">
        <v>1064.0</v>
      </c>
      <c r="N107" s="11">
        <f t="shared" si="10"/>
        <v>0.001806614178</v>
      </c>
      <c r="O107" s="15">
        <v>2537.0</v>
      </c>
      <c r="P107" s="11">
        <f t="shared" si="11"/>
        <v>0.002152508219</v>
      </c>
      <c r="Q107" s="15">
        <v>2563.0</v>
      </c>
      <c r="R107" s="11">
        <f t="shared" si="12"/>
        <v>0.002127426453</v>
      </c>
      <c r="S107" s="17">
        <v>2420.0</v>
      </c>
      <c r="T107" s="29">
        <f t="shared" si="13"/>
        <v>0.002167163532</v>
      </c>
      <c r="U107" s="15">
        <v>1684.0</v>
      </c>
      <c r="V107" s="11">
        <f t="shared" si="14"/>
        <v>0.001777586367</v>
      </c>
      <c r="W107" s="15">
        <v>1756.0</v>
      </c>
      <c r="X107" s="11">
        <f t="shared" si="15"/>
        <v>0.001769171482</v>
      </c>
      <c r="Y107" s="15">
        <v>1164.0</v>
      </c>
      <c r="Z107" s="11">
        <f t="shared" si="16"/>
        <v>0.001978558814</v>
      </c>
      <c r="AA107" s="15">
        <v>1613.0</v>
      </c>
      <c r="AB107" s="11">
        <f t="shared" si="17"/>
        <v>0.002655401924</v>
      </c>
      <c r="AC107" s="15">
        <v>2144.0</v>
      </c>
      <c r="AD107" s="11">
        <f t="shared" si="18"/>
        <v>0.001654366942</v>
      </c>
      <c r="AE107" s="15">
        <v>2493.0</v>
      </c>
      <c r="AF107" s="20">
        <f t="shared" si="20"/>
        <v>0.004315687429</v>
      </c>
      <c r="AG107" s="19">
        <v>2426.0</v>
      </c>
      <c r="AH107" s="15">
        <v>1576.0</v>
      </c>
      <c r="AI107" s="15">
        <v>1990.0</v>
      </c>
      <c r="AJ107" s="15">
        <v>1406.0</v>
      </c>
    </row>
    <row r="108" ht="15.75" customHeight="1">
      <c r="A108" s="6" t="s">
        <v>70</v>
      </c>
      <c r="B108" s="6" t="s">
        <v>33</v>
      </c>
      <c r="C108" s="6" t="s">
        <v>61</v>
      </c>
      <c r="D108" s="4" t="s">
        <v>194</v>
      </c>
      <c r="E108" s="19">
        <f t="shared" si="2"/>
        <v>1888.3</v>
      </c>
      <c r="F108" s="11">
        <f t="shared" si="3"/>
        <v>0.00207545179</v>
      </c>
      <c r="G108" s="15">
        <f t="shared" si="4"/>
        <v>1854.6</v>
      </c>
      <c r="H108" s="11">
        <f t="shared" si="5"/>
        <v>0.002106313762</v>
      </c>
      <c r="I108" s="15">
        <f t="shared" si="6"/>
        <v>1922</v>
      </c>
      <c r="J108" s="20">
        <f t="shared" si="7"/>
        <v>0.002046517492</v>
      </c>
      <c r="K108" s="15">
        <f t="shared" si="8"/>
        <v>2470</v>
      </c>
      <c r="L108" s="11">
        <f t="shared" si="9"/>
        <v>0.002117122291</v>
      </c>
      <c r="M108" s="19">
        <v>1308.0</v>
      </c>
      <c r="N108" s="11">
        <f t="shared" si="10"/>
        <v>0.002220912917</v>
      </c>
      <c r="O108" s="15">
        <v>2508.0</v>
      </c>
      <c r="P108" s="11">
        <f t="shared" si="11"/>
        <v>0.002127903277</v>
      </c>
      <c r="Q108" s="15">
        <v>2567.0</v>
      </c>
      <c r="R108" s="11">
        <f t="shared" si="12"/>
        <v>0.002130746666</v>
      </c>
      <c r="S108" s="17">
        <v>2335.0</v>
      </c>
      <c r="T108" s="29">
        <f t="shared" si="13"/>
        <v>0.002091044152</v>
      </c>
      <c r="U108" s="15">
        <v>2098.0</v>
      </c>
      <c r="V108" s="11">
        <f t="shared" si="14"/>
        <v>0.002214593942</v>
      </c>
      <c r="W108" s="15">
        <v>2144.0</v>
      </c>
      <c r="X108" s="11">
        <f t="shared" si="15"/>
        <v>0.002160081809</v>
      </c>
      <c r="Y108" s="15">
        <v>1040.0</v>
      </c>
      <c r="Z108" s="11">
        <f t="shared" si="16"/>
        <v>0.001767784507</v>
      </c>
      <c r="AA108" s="15">
        <v>1160.0</v>
      </c>
      <c r="AB108" s="11">
        <f t="shared" si="17"/>
        <v>0.001909650485</v>
      </c>
      <c r="AC108" s="15">
        <v>1999.0</v>
      </c>
      <c r="AD108" s="11">
        <f t="shared" si="18"/>
        <v>0.001542481118</v>
      </c>
      <c r="AE108" s="15">
        <v>1724.0</v>
      </c>
      <c r="AF108" s="20">
        <f t="shared" si="20"/>
        <v>0.002984454523</v>
      </c>
      <c r="AG108" s="19">
        <v>1842.0</v>
      </c>
      <c r="AH108" s="15">
        <v>1359.0</v>
      </c>
      <c r="AI108" s="15">
        <v>1606.0</v>
      </c>
      <c r="AJ108" s="15">
        <v>1196.0</v>
      </c>
    </row>
    <row r="109" ht="15.75" customHeight="1">
      <c r="A109" s="6" t="s">
        <v>78</v>
      </c>
      <c r="B109" s="6" t="s">
        <v>33</v>
      </c>
      <c r="C109" s="6" t="s">
        <v>52</v>
      </c>
      <c r="D109" s="4" t="s">
        <v>195</v>
      </c>
      <c r="E109" s="19">
        <f t="shared" si="2"/>
        <v>1882</v>
      </c>
      <c r="F109" s="11">
        <f t="shared" si="3"/>
        <v>0.002068527389</v>
      </c>
      <c r="G109" s="15">
        <f t="shared" si="4"/>
        <v>1795.6</v>
      </c>
      <c r="H109" s="11">
        <f t="shared" si="5"/>
        <v>0.002039306045</v>
      </c>
      <c r="I109" s="15">
        <f t="shared" si="6"/>
        <v>1968.4</v>
      </c>
      <c r="J109" s="20">
        <f t="shared" si="7"/>
        <v>0.002095923533</v>
      </c>
      <c r="K109" s="15">
        <f t="shared" si="8"/>
        <v>2562.666667</v>
      </c>
      <c r="L109" s="11">
        <f t="shared" si="9"/>
        <v>0.002196550091</v>
      </c>
      <c r="M109" s="19">
        <v>1218.0</v>
      </c>
      <c r="N109" s="11">
        <f t="shared" si="10"/>
        <v>0.002068097808</v>
      </c>
      <c r="O109" s="15">
        <v>2597.0</v>
      </c>
      <c r="P109" s="11">
        <f t="shared" si="11"/>
        <v>0.002203414996</v>
      </c>
      <c r="Q109" s="15">
        <v>2615.0</v>
      </c>
      <c r="R109" s="11">
        <f t="shared" si="12"/>
        <v>0.002170589222</v>
      </c>
      <c r="S109" s="17">
        <v>2476.0</v>
      </c>
      <c r="T109" s="29">
        <f t="shared" si="13"/>
        <v>0.002217312771</v>
      </c>
      <c r="U109" s="15">
        <v>2137.0</v>
      </c>
      <c r="V109" s="11">
        <f t="shared" si="14"/>
        <v>0.002255761322</v>
      </c>
      <c r="W109" s="15">
        <v>2191.0</v>
      </c>
      <c r="X109" s="11">
        <f t="shared" si="15"/>
        <v>0.002207434349</v>
      </c>
      <c r="Y109" s="15">
        <v>1125.0</v>
      </c>
      <c r="Z109" s="11">
        <f t="shared" si="16"/>
        <v>0.001912266895</v>
      </c>
      <c r="AA109" s="15">
        <v>1029.0</v>
      </c>
      <c r="AB109" s="11">
        <f t="shared" si="17"/>
        <v>0.00169399168</v>
      </c>
      <c r="AC109" s="15">
        <v>2279.0</v>
      </c>
      <c r="AD109" s="11">
        <f t="shared" si="18"/>
        <v>0.001758536503</v>
      </c>
      <c r="AE109" s="15">
        <v>1153.0</v>
      </c>
      <c r="AF109" s="20">
        <f t="shared" si="20"/>
        <v>0.001995983797</v>
      </c>
      <c r="AG109" s="19">
        <v>2330.0</v>
      </c>
      <c r="AH109" s="15">
        <v>1602.0</v>
      </c>
      <c r="AI109" s="15">
        <v>1976.0</v>
      </c>
      <c r="AJ109" s="15">
        <v>1436.0</v>
      </c>
    </row>
    <row r="110" ht="15.75" customHeight="1">
      <c r="A110" s="6" t="s">
        <v>78</v>
      </c>
      <c r="B110" s="6" t="s">
        <v>33</v>
      </c>
      <c r="C110" s="6" t="s">
        <v>61</v>
      </c>
      <c r="D110" s="4" t="s">
        <v>196</v>
      </c>
      <c r="E110" s="19">
        <f t="shared" si="2"/>
        <v>1837.9</v>
      </c>
      <c r="F110" s="11">
        <f t="shared" si="3"/>
        <v>0.002020056582</v>
      </c>
      <c r="G110" s="15">
        <f t="shared" si="4"/>
        <v>2054.2</v>
      </c>
      <c r="H110" s="11">
        <f t="shared" si="5"/>
        <v>0.002333004276</v>
      </c>
      <c r="I110" s="15">
        <f t="shared" si="6"/>
        <v>1621.6</v>
      </c>
      <c r="J110" s="20">
        <f t="shared" si="7"/>
        <v>0.001726655965</v>
      </c>
      <c r="K110" s="15">
        <f t="shared" si="8"/>
        <v>2071.333333</v>
      </c>
      <c r="L110" s="11">
        <f t="shared" si="9"/>
        <v>0.001775411325</v>
      </c>
      <c r="M110" s="19">
        <v>1095.0</v>
      </c>
      <c r="N110" s="11">
        <f t="shared" si="10"/>
        <v>0.001859250493</v>
      </c>
      <c r="O110" s="15">
        <v>2098.0</v>
      </c>
      <c r="P110" s="11">
        <f t="shared" si="11"/>
        <v>0.001780040301</v>
      </c>
      <c r="Q110" s="15">
        <v>2147.0</v>
      </c>
      <c r="R110" s="11">
        <f t="shared" si="12"/>
        <v>0.001782124305</v>
      </c>
      <c r="S110" s="17">
        <v>1969.0</v>
      </c>
      <c r="T110" s="29">
        <f t="shared" si="13"/>
        <v>0.001763283056</v>
      </c>
      <c r="U110" s="15">
        <v>2579.0</v>
      </c>
      <c r="V110" s="11">
        <f t="shared" si="14"/>
        <v>0.002722324965</v>
      </c>
      <c r="W110" s="15">
        <v>2401.0</v>
      </c>
      <c r="X110" s="11">
        <f t="shared" si="15"/>
        <v>0.002419009526</v>
      </c>
      <c r="Y110" s="15">
        <v>862.0</v>
      </c>
      <c r="Z110" s="11">
        <f t="shared" si="16"/>
        <v>0.00146522139</v>
      </c>
      <c r="AA110" s="15">
        <v>1032.0</v>
      </c>
      <c r="AB110" s="11">
        <f t="shared" si="17"/>
        <v>0.001698930431</v>
      </c>
      <c r="AC110" s="15">
        <v>2287.0</v>
      </c>
      <c r="AD110" s="11">
        <f t="shared" si="18"/>
        <v>0.001764709514</v>
      </c>
      <c r="AE110" s="15">
        <v>1909.0</v>
      </c>
      <c r="AF110" s="20">
        <f t="shared" si="20"/>
        <v>0.003304712114</v>
      </c>
      <c r="AG110" s="19">
        <v>2036.0</v>
      </c>
      <c r="AH110" s="15">
        <v>1390.0</v>
      </c>
      <c r="AI110" s="15">
        <v>1621.0</v>
      </c>
      <c r="AJ110" s="15">
        <v>1080.0</v>
      </c>
    </row>
    <row r="111" ht="15.75" customHeight="1">
      <c r="A111" s="6" t="s">
        <v>75</v>
      </c>
      <c r="B111" s="6" t="s">
        <v>33</v>
      </c>
      <c r="C111" s="6" t="s">
        <v>54</v>
      </c>
      <c r="D111" s="4" t="s">
        <v>197</v>
      </c>
      <c r="E111" s="19">
        <f t="shared" si="2"/>
        <v>1788.6</v>
      </c>
      <c r="F111" s="11">
        <f t="shared" si="3"/>
        <v>0.001965870397</v>
      </c>
      <c r="G111" s="15">
        <f t="shared" si="4"/>
        <v>1638.4</v>
      </c>
      <c r="H111" s="11">
        <f t="shared" si="5"/>
        <v>0.00186077023</v>
      </c>
      <c r="I111" s="15">
        <f t="shared" si="6"/>
        <v>1938.8</v>
      </c>
      <c r="J111" s="20">
        <f t="shared" si="7"/>
        <v>0.002064405886</v>
      </c>
      <c r="K111" s="15">
        <f t="shared" si="8"/>
        <v>2512.666667</v>
      </c>
      <c r="L111" s="11">
        <f t="shared" si="9"/>
        <v>0.002153693364</v>
      </c>
      <c r="M111" s="19">
        <v>1275.0</v>
      </c>
      <c r="N111" s="11">
        <f t="shared" si="10"/>
        <v>0.002164880711</v>
      </c>
      <c r="O111" s="15">
        <v>2550.0</v>
      </c>
      <c r="P111" s="11">
        <f t="shared" si="11"/>
        <v>0.002163538021</v>
      </c>
      <c r="Q111" s="15">
        <v>2583.0</v>
      </c>
      <c r="R111" s="11">
        <f t="shared" si="12"/>
        <v>0.002144027518</v>
      </c>
      <c r="S111" s="17">
        <v>2405.0</v>
      </c>
      <c r="T111" s="29">
        <f t="shared" si="13"/>
        <v>0.0021537307</v>
      </c>
      <c r="U111" s="15">
        <v>1569.0</v>
      </c>
      <c r="V111" s="11">
        <f t="shared" si="14"/>
        <v>0.001656195374</v>
      </c>
      <c r="W111" s="15">
        <v>1596.0</v>
      </c>
      <c r="X111" s="11">
        <f t="shared" si="15"/>
        <v>0.001607971347</v>
      </c>
      <c r="Y111" s="15">
        <v>1040.0</v>
      </c>
      <c r="Z111" s="11">
        <f t="shared" si="16"/>
        <v>0.001767784507</v>
      </c>
      <c r="AA111" s="15">
        <v>1116.0</v>
      </c>
      <c r="AB111" s="11">
        <f t="shared" si="17"/>
        <v>0.001837215466</v>
      </c>
      <c r="AC111" s="15">
        <v>2617.0</v>
      </c>
      <c r="AD111" s="11">
        <f t="shared" si="18"/>
        <v>0.002019346216</v>
      </c>
      <c r="AE111" s="15">
        <v>1135.0</v>
      </c>
      <c r="AF111" s="20">
        <f t="shared" si="20"/>
        <v>0.001964823599</v>
      </c>
      <c r="AG111" s="19">
        <v>2488.0</v>
      </c>
      <c r="AH111" s="15">
        <v>1700.0</v>
      </c>
      <c r="AI111" s="15">
        <v>2042.0</v>
      </c>
      <c r="AJ111" s="15">
        <v>1525.0</v>
      </c>
    </row>
    <row r="112" ht="15.75" customHeight="1">
      <c r="A112" s="6" t="s">
        <v>78</v>
      </c>
      <c r="B112" s="6" t="s">
        <v>33</v>
      </c>
      <c r="C112" s="6" t="s">
        <v>61</v>
      </c>
      <c r="D112" s="4" t="s">
        <v>198</v>
      </c>
      <c r="E112" s="19">
        <f t="shared" si="2"/>
        <v>1778.1</v>
      </c>
      <c r="F112" s="11">
        <f t="shared" si="3"/>
        <v>0.001954329729</v>
      </c>
      <c r="G112" s="15">
        <f t="shared" si="4"/>
        <v>1883.8</v>
      </c>
      <c r="H112" s="11">
        <f t="shared" si="5"/>
        <v>0.002139476904</v>
      </c>
      <c r="I112" s="15">
        <f t="shared" si="6"/>
        <v>1672.4</v>
      </c>
      <c r="J112" s="20">
        <f t="shared" si="7"/>
        <v>0.001780747062</v>
      </c>
      <c r="K112" s="15">
        <f t="shared" si="8"/>
        <v>2257.333333</v>
      </c>
      <c r="L112" s="11">
        <f t="shared" si="9"/>
        <v>0.001934838347</v>
      </c>
      <c r="M112" s="19">
        <v>1113.0</v>
      </c>
      <c r="N112" s="11">
        <f t="shared" si="10"/>
        <v>0.001889813515</v>
      </c>
      <c r="O112" s="15">
        <v>2312.0</v>
      </c>
      <c r="P112" s="11">
        <f t="shared" si="11"/>
        <v>0.001961607806</v>
      </c>
      <c r="Q112" s="15">
        <v>2388.0</v>
      </c>
      <c r="R112" s="11">
        <f t="shared" si="12"/>
        <v>0.001982167136</v>
      </c>
      <c r="S112" s="17">
        <v>2072.0</v>
      </c>
      <c r="T112" s="29">
        <f t="shared" si="13"/>
        <v>0.001855521834</v>
      </c>
      <c r="U112" s="15">
        <v>2310.0</v>
      </c>
      <c r="V112" s="11">
        <f t="shared" si="14"/>
        <v>0.002438375599</v>
      </c>
      <c r="W112" s="15">
        <v>2214.0</v>
      </c>
      <c r="X112" s="11">
        <f t="shared" si="15"/>
        <v>0.002230606868</v>
      </c>
      <c r="Y112" s="15">
        <v>759.0</v>
      </c>
      <c r="Z112" s="11">
        <f t="shared" si="16"/>
        <v>0.001290142732</v>
      </c>
      <c r="AA112" s="15">
        <v>831.0</v>
      </c>
      <c r="AB112" s="11">
        <f t="shared" si="17"/>
        <v>0.001368034097</v>
      </c>
      <c r="AC112" s="15">
        <v>1680.0</v>
      </c>
      <c r="AD112" s="11">
        <f t="shared" si="18"/>
        <v>0.001296332306</v>
      </c>
      <c r="AE112" s="15">
        <v>2102.0</v>
      </c>
      <c r="AF112" s="20">
        <f t="shared" si="20"/>
        <v>0.003638818682</v>
      </c>
      <c r="AG112" s="19">
        <v>2252.0</v>
      </c>
      <c r="AH112" s="15">
        <v>1525.0</v>
      </c>
      <c r="AI112" s="15">
        <v>1757.0</v>
      </c>
      <c r="AJ112" s="15">
        <v>1134.0</v>
      </c>
    </row>
    <row r="113" ht="15.75" customHeight="1">
      <c r="A113" s="6" t="s">
        <v>78</v>
      </c>
      <c r="B113" s="6" t="s">
        <v>33</v>
      </c>
      <c r="C113" s="6" t="s">
        <v>52</v>
      </c>
      <c r="D113" s="4" t="s">
        <v>199</v>
      </c>
      <c r="E113" s="19">
        <f t="shared" si="2"/>
        <v>1749.9</v>
      </c>
      <c r="F113" s="11">
        <f t="shared" si="3"/>
        <v>0.001923334791</v>
      </c>
      <c r="G113" s="15">
        <f t="shared" si="4"/>
        <v>1634.2</v>
      </c>
      <c r="H113" s="11">
        <f t="shared" si="5"/>
        <v>0.001856000189</v>
      </c>
      <c r="I113" s="15">
        <f t="shared" si="6"/>
        <v>1865.6</v>
      </c>
      <c r="J113" s="20">
        <f t="shared" si="7"/>
        <v>0.001986463596</v>
      </c>
      <c r="K113" s="15">
        <f t="shared" si="8"/>
        <v>2416.666667</v>
      </c>
      <c r="L113" s="11">
        <f t="shared" si="9"/>
        <v>0.002071408449</v>
      </c>
      <c r="M113" s="19">
        <v>1142.0</v>
      </c>
      <c r="N113" s="11">
        <f t="shared" si="10"/>
        <v>0.001939053939</v>
      </c>
      <c r="O113" s="15">
        <v>2458.0</v>
      </c>
      <c r="P113" s="11">
        <f t="shared" si="11"/>
        <v>0.002085480963</v>
      </c>
      <c r="Q113" s="15">
        <v>2476.0</v>
      </c>
      <c r="R113" s="11">
        <f t="shared" si="12"/>
        <v>0.002055211821</v>
      </c>
      <c r="S113" s="17">
        <v>2316.0</v>
      </c>
      <c r="T113" s="29">
        <f t="shared" si="13"/>
        <v>0.002074029232</v>
      </c>
      <c r="U113" s="15">
        <v>1854.0</v>
      </c>
      <c r="V113" s="11">
        <f t="shared" si="14"/>
        <v>0.001957033922</v>
      </c>
      <c r="W113" s="15">
        <v>2090.0</v>
      </c>
      <c r="X113" s="11">
        <f t="shared" si="15"/>
        <v>0.002105676764</v>
      </c>
      <c r="Y113" s="15">
        <v>1011.0</v>
      </c>
      <c r="Z113" s="11">
        <f t="shared" si="16"/>
        <v>0.001718490516</v>
      </c>
      <c r="AA113" s="15">
        <v>1067.0</v>
      </c>
      <c r="AB113" s="11">
        <f t="shared" si="17"/>
        <v>0.001756549196</v>
      </c>
      <c r="AC113" s="15">
        <v>2248.0</v>
      </c>
      <c r="AD113" s="11">
        <f t="shared" si="18"/>
        <v>0.001734616085</v>
      </c>
      <c r="AE113" s="15">
        <v>837.0</v>
      </c>
      <c r="AF113" s="20">
        <f t="shared" si="20"/>
        <v>0.001448949209</v>
      </c>
      <c r="AG113" s="19">
        <v>2349.0</v>
      </c>
      <c r="AH113" s="15">
        <v>1571.0</v>
      </c>
      <c r="AI113" s="15">
        <v>1899.0</v>
      </c>
      <c r="AJ113" s="15">
        <v>1311.0</v>
      </c>
    </row>
    <row r="114" ht="15.75" customHeight="1">
      <c r="A114" s="6" t="s">
        <v>75</v>
      </c>
      <c r="B114" s="6" t="s">
        <v>33</v>
      </c>
      <c r="C114" s="6" t="s">
        <v>53</v>
      </c>
      <c r="D114" s="4" t="s">
        <v>200</v>
      </c>
      <c r="E114" s="19">
        <f t="shared" si="2"/>
        <v>1740.4</v>
      </c>
      <c r="F114" s="11">
        <f t="shared" si="3"/>
        <v>0.001912893235</v>
      </c>
      <c r="G114" s="15">
        <f t="shared" si="4"/>
        <v>1818.2</v>
      </c>
      <c r="H114" s="11">
        <f t="shared" si="5"/>
        <v>0.002064973408</v>
      </c>
      <c r="I114" s="15">
        <f t="shared" si="6"/>
        <v>1662.6</v>
      </c>
      <c r="J114" s="20">
        <f t="shared" si="7"/>
        <v>0.001770312165</v>
      </c>
      <c r="K114" s="15">
        <f t="shared" si="8"/>
        <v>2075</v>
      </c>
      <c r="L114" s="11">
        <f t="shared" si="9"/>
        <v>0.001778554151</v>
      </c>
      <c r="M114" s="19">
        <v>1479.0</v>
      </c>
      <c r="N114" s="11">
        <f t="shared" si="10"/>
        <v>0.002511261625</v>
      </c>
      <c r="O114" s="15">
        <v>2088.0</v>
      </c>
      <c r="P114" s="11">
        <f t="shared" si="11"/>
        <v>0.001771555838</v>
      </c>
      <c r="Q114" s="15">
        <v>2122.0</v>
      </c>
      <c r="R114" s="11">
        <f t="shared" si="12"/>
        <v>0.001761372974</v>
      </c>
      <c r="S114" s="17">
        <v>2015.0</v>
      </c>
      <c r="T114" s="29">
        <f t="shared" si="13"/>
        <v>0.001804477073</v>
      </c>
      <c r="U114" s="15">
        <v>2120.0</v>
      </c>
      <c r="V114" s="11">
        <f t="shared" si="14"/>
        <v>0.002237816567</v>
      </c>
      <c r="W114" s="15">
        <v>2282.0</v>
      </c>
      <c r="X114" s="11">
        <f t="shared" si="15"/>
        <v>0.002299116926</v>
      </c>
      <c r="Y114" s="15">
        <v>998.0</v>
      </c>
      <c r="Z114" s="11">
        <f t="shared" si="16"/>
        <v>0.00169639321</v>
      </c>
      <c r="AA114" s="15">
        <v>1090.0</v>
      </c>
      <c r="AB114" s="11">
        <f t="shared" si="17"/>
        <v>0.001794412955</v>
      </c>
      <c r="AC114" s="15">
        <v>1940.0</v>
      </c>
      <c r="AD114" s="11">
        <f t="shared" si="18"/>
        <v>0.001496955162</v>
      </c>
      <c r="AE114" s="15">
        <v>1270.0</v>
      </c>
      <c r="AF114" s="20">
        <f t="shared" si="20"/>
        <v>0.002198525084</v>
      </c>
      <c r="AG114" s="19">
        <v>2079.0</v>
      </c>
      <c r="AH114" s="15">
        <v>1351.0</v>
      </c>
      <c r="AI114" s="15">
        <v>1822.0</v>
      </c>
      <c r="AJ114" s="15">
        <v>1435.0</v>
      </c>
    </row>
    <row r="115" ht="15.75" customHeight="1">
      <c r="A115" s="6" t="s">
        <v>73</v>
      </c>
      <c r="B115" s="6" t="s">
        <v>33</v>
      </c>
      <c r="C115" s="6" t="s">
        <v>60</v>
      </c>
      <c r="D115" s="4" t="s">
        <v>201</v>
      </c>
      <c r="E115" s="19">
        <f t="shared" si="2"/>
        <v>1502.6</v>
      </c>
      <c r="F115" s="11">
        <f t="shared" si="3"/>
        <v>0.001651524577</v>
      </c>
      <c r="G115" s="15">
        <f t="shared" si="4"/>
        <v>1377.2</v>
      </c>
      <c r="H115" s="11">
        <f t="shared" si="5"/>
        <v>0.001564119117</v>
      </c>
      <c r="I115" s="15">
        <f t="shared" si="6"/>
        <v>1628</v>
      </c>
      <c r="J115" s="20">
        <f t="shared" si="7"/>
        <v>0.001733470591</v>
      </c>
      <c r="K115" s="15">
        <f t="shared" si="8"/>
        <v>2035</v>
      </c>
      <c r="L115" s="11">
        <f t="shared" si="9"/>
        <v>0.00174426877</v>
      </c>
      <c r="M115" s="19">
        <v>1143.0</v>
      </c>
      <c r="N115" s="11">
        <f t="shared" si="10"/>
        <v>0.001940751884</v>
      </c>
      <c r="O115" s="15">
        <v>2056.0</v>
      </c>
      <c r="P115" s="11">
        <f t="shared" si="11"/>
        <v>0.001744405557</v>
      </c>
      <c r="Q115" s="15">
        <v>2073.0</v>
      </c>
      <c r="R115" s="11">
        <f t="shared" si="12"/>
        <v>0.001720700366</v>
      </c>
      <c r="S115" s="17">
        <v>1976.0</v>
      </c>
      <c r="T115" s="29">
        <f t="shared" si="13"/>
        <v>0.001769551711</v>
      </c>
      <c r="U115" s="15">
        <v>1593.0</v>
      </c>
      <c r="V115" s="11">
        <f t="shared" si="14"/>
        <v>0.001681529147</v>
      </c>
      <c r="W115" s="15">
        <v>1648.0</v>
      </c>
      <c r="X115" s="11">
        <f t="shared" si="15"/>
        <v>0.001660361391</v>
      </c>
      <c r="Y115" s="15">
        <v>980.0</v>
      </c>
      <c r="Z115" s="11">
        <f t="shared" si="16"/>
        <v>0.001665796939</v>
      </c>
      <c r="AA115" s="15">
        <v>1055.0</v>
      </c>
      <c r="AB115" s="11">
        <f t="shared" si="17"/>
        <v>0.001736794191</v>
      </c>
      <c r="AC115" s="15">
        <v>1796.0</v>
      </c>
      <c r="AD115" s="11">
        <f t="shared" si="18"/>
        <v>0.001385840965</v>
      </c>
      <c r="AE115" s="15">
        <v>706.0</v>
      </c>
      <c r="AF115" s="20">
        <f t="shared" si="20"/>
        <v>0.001222172212</v>
      </c>
      <c r="AG115" s="19">
        <v>1978.0</v>
      </c>
      <c r="AH115" s="15">
        <v>1312.0</v>
      </c>
      <c r="AI115" s="15">
        <v>1636.0</v>
      </c>
      <c r="AJ115" s="15">
        <v>1231.0</v>
      </c>
    </row>
    <row r="116" ht="15.75" customHeight="1">
      <c r="A116" s="6" t="s">
        <v>78</v>
      </c>
      <c r="B116" s="6" t="s">
        <v>33</v>
      </c>
      <c r="C116" s="6" t="s">
        <v>62</v>
      </c>
      <c r="D116" s="4" t="s">
        <v>202</v>
      </c>
      <c r="E116" s="19">
        <f t="shared" si="2"/>
        <v>1488.6</v>
      </c>
      <c r="F116" s="11">
        <f t="shared" si="3"/>
        <v>0.00163613702</v>
      </c>
      <c r="G116" s="15">
        <f t="shared" si="4"/>
        <v>1399</v>
      </c>
      <c r="H116" s="11">
        <f t="shared" si="5"/>
        <v>0.0015888779</v>
      </c>
      <c r="I116" s="15">
        <f t="shared" si="6"/>
        <v>1578.2</v>
      </c>
      <c r="J116" s="20">
        <f t="shared" si="7"/>
        <v>0.00168044428</v>
      </c>
      <c r="K116" s="15">
        <f t="shared" si="8"/>
        <v>1944.333333</v>
      </c>
      <c r="L116" s="11">
        <f t="shared" si="9"/>
        <v>0.001666555239</v>
      </c>
      <c r="M116" s="19">
        <v>1011.0</v>
      </c>
      <c r="N116" s="11">
        <f t="shared" si="10"/>
        <v>0.001716623058</v>
      </c>
      <c r="O116" s="15">
        <v>2004.0</v>
      </c>
      <c r="P116" s="11">
        <f t="shared" si="11"/>
        <v>0.001700286351</v>
      </c>
      <c r="Q116" s="15">
        <v>2022.0</v>
      </c>
      <c r="R116" s="11">
        <f t="shared" si="12"/>
        <v>0.001678367651</v>
      </c>
      <c r="S116" s="17">
        <v>1807.0</v>
      </c>
      <c r="T116" s="29">
        <f t="shared" si="13"/>
        <v>0.001618208472</v>
      </c>
      <c r="U116" s="15">
        <v>1680.0</v>
      </c>
      <c r="V116" s="11">
        <f t="shared" si="14"/>
        <v>0.001773364072</v>
      </c>
      <c r="W116" s="15">
        <v>1651.0</v>
      </c>
      <c r="X116" s="11">
        <f t="shared" si="15"/>
        <v>0.001663383893</v>
      </c>
      <c r="Y116" s="15">
        <v>815.0</v>
      </c>
      <c r="Z116" s="11">
        <f t="shared" si="16"/>
        <v>0.001385331128</v>
      </c>
      <c r="AA116" s="15">
        <v>1243.0</v>
      </c>
      <c r="AB116" s="11">
        <f t="shared" si="17"/>
        <v>0.002046289269</v>
      </c>
      <c r="AC116" s="15">
        <v>1955.0</v>
      </c>
      <c r="AD116" s="11">
        <f t="shared" si="18"/>
        <v>0.001508529558</v>
      </c>
      <c r="AE116" s="15">
        <v>698.0</v>
      </c>
      <c r="AF116" s="20">
        <f t="shared" si="20"/>
        <v>0.001208323235</v>
      </c>
      <c r="AG116" s="19">
        <v>1946.0</v>
      </c>
      <c r="AH116" s="15">
        <v>1311.0</v>
      </c>
      <c r="AI116" s="15">
        <v>1601.0</v>
      </c>
      <c r="AJ116" s="15">
        <v>1136.0</v>
      </c>
    </row>
    <row r="117" ht="15.75" customHeight="1">
      <c r="A117" s="6" t="s">
        <v>75</v>
      </c>
      <c r="B117" s="6" t="s">
        <v>33</v>
      </c>
      <c r="C117" s="6" t="s">
        <v>54</v>
      </c>
      <c r="D117" s="4" t="s">
        <v>203</v>
      </c>
      <c r="E117" s="19">
        <f t="shared" si="2"/>
        <v>1472.1</v>
      </c>
      <c r="F117" s="11">
        <f t="shared" si="3"/>
        <v>0.001618001684</v>
      </c>
      <c r="G117" s="15">
        <f t="shared" si="4"/>
        <v>1372.8</v>
      </c>
      <c r="H117" s="11">
        <f t="shared" si="5"/>
        <v>0.001559121931</v>
      </c>
      <c r="I117" s="15">
        <f t="shared" si="6"/>
        <v>1571.4</v>
      </c>
      <c r="J117" s="20">
        <f t="shared" si="7"/>
        <v>0.001673203739</v>
      </c>
      <c r="K117" s="15">
        <f t="shared" si="8"/>
        <v>1874.666667</v>
      </c>
      <c r="L117" s="11">
        <f t="shared" si="9"/>
        <v>0.001606841534</v>
      </c>
      <c r="M117" s="19">
        <v>1031.0</v>
      </c>
      <c r="N117" s="11">
        <f t="shared" si="10"/>
        <v>0.001750581971</v>
      </c>
      <c r="O117" s="15">
        <v>1908.0</v>
      </c>
      <c r="P117" s="11">
        <f t="shared" si="11"/>
        <v>0.001618835507</v>
      </c>
      <c r="Q117" s="15">
        <v>1941.0</v>
      </c>
      <c r="R117" s="11">
        <f t="shared" si="12"/>
        <v>0.001611133338</v>
      </c>
      <c r="S117" s="17">
        <v>1775.0</v>
      </c>
      <c r="T117" s="29">
        <f t="shared" si="13"/>
        <v>0.001589551764</v>
      </c>
      <c r="U117" s="15">
        <v>1615.0</v>
      </c>
      <c r="V117" s="11">
        <f t="shared" si="14"/>
        <v>0.001704751771</v>
      </c>
      <c r="W117" s="15">
        <v>1666.0</v>
      </c>
      <c r="X117" s="11">
        <f t="shared" si="15"/>
        <v>0.001678496406</v>
      </c>
      <c r="Y117" s="15">
        <v>894.0</v>
      </c>
      <c r="Z117" s="11">
        <f t="shared" si="16"/>
        <v>0.001519614759</v>
      </c>
      <c r="AA117" s="15">
        <v>1339.0</v>
      </c>
      <c r="AB117" s="11">
        <f t="shared" si="17"/>
        <v>0.002204329309</v>
      </c>
      <c r="AC117" s="15">
        <v>1678.0</v>
      </c>
      <c r="AD117" s="11">
        <f t="shared" si="18"/>
        <v>0.001294789053</v>
      </c>
      <c r="AE117" s="15">
        <v>874.0</v>
      </c>
      <c r="AF117" s="20">
        <f t="shared" si="20"/>
        <v>0.001513000727</v>
      </c>
      <c r="AG117" s="19">
        <v>1897.0</v>
      </c>
      <c r="AH117" s="15">
        <v>1284.0</v>
      </c>
      <c r="AI117" s="15">
        <v>1639.0</v>
      </c>
      <c r="AJ117" s="15">
        <v>1090.0</v>
      </c>
    </row>
    <row r="118" ht="15.75" customHeight="1">
      <c r="A118" s="6" t="s">
        <v>78</v>
      </c>
      <c r="B118" s="6" t="s">
        <v>33</v>
      </c>
      <c r="C118" s="6" t="s">
        <v>52</v>
      </c>
      <c r="D118" s="4" t="s">
        <v>204</v>
      </c>
      <c r="E118" s="19">
        <f t="shared" si="2"/>
        <v>1467.1</v>
      </c>
      <c r="F118" s="11">
        <f t="shared" si="3"/>
        <v>0.001612506128</v>
      </c>
      <c r="G118" s="15">
        <f t="shared" si="4"/>
        <v>1471</v>
      </c>
      <c r="H118" s="11">
        <f t="shared" si="5"/>
        <v>0.001670650029</v>
      </c>
      <c r="I118" s="15">
        <f t="shared" si="6"/>
        <v>1463.2</v>
      </c>
      <c r="J118" s="20">
        <f t="shared" si="7"/>
        <v>0.001557993961</v>
      </c>
      <c r="K118" s="15">
        <f t="shared" si="8"/>
        <v>1844.666667</v>
      </c>
      <c r="L118" s="11">
        <f t="shared" si="9"/>
        <v>0.001581127498</v>
      </c>
      <c r="M118" s="19">
        <v>1168.0</v>
      </c>
      <c r="N118" s="11">
        <f t="shared" si="10"/>
        <v>0.001983200526</v>
      </c>
      <c r="O118" s="15">
        <v>1869.0</v>
      </c>
      <c r="P118" s="11">
        <f t="shared" si="11"/>
        <v>0.001585746102</v>
      </c>
      <c r="Q118" s="15">
        <v>1884.0</v>
      </c>
      <c r="R118" s="11">
        <f t="shared" si="12"/>
        <v>0.001563820303</v>
      </c>
      <c r="S118" s="17">
        <v>1781.0</v>
      </c>
      <c r="T118" s="29">
        <f t="shared" si="13"/>
        <v>0.001594924897</v>
      </c>
      <c r="U118" s="15">
        <v>1529.0</v>
      </c>
      <c r="V118" s="11">
        <f t="shared" si="14"/>
        <v>0.00161397242</v>
      </c>
      <c r="W118" s="15">
        <v>1636.0</v>
      </c>
      <c r="X118" s="11">
        <f t="shared" si="15"/>
        <v>0.00164827138</v>
      </c>
      <c r="Y118" s="15">
        <v>823.0</v>
      </c>
      <c r="Z118" s="11">
        <f t="shared" si="16"/>
        <v>0.00139892947</v>
      </c>
      <c r="AA118" s="15">
        <v>959.0</v>
      </c>
      <c r="AB118" s="11">
        <f t="shared" si="17"/>
        <v>0.001578754151</v>
      </c>
      <c r="AC118" s="15">
        <v>1834.0</v>
      </c>
      <c r="AD118" s="11">
        <f t="shared" si="18"/>
        <v>0.001415162767</v>
      </c>
      <c r="AE118" s="15">
        <v>1188.0</v>
      </c>
      <c r="AF118" s="20">
        <f t="shared" si="20"/>
        <v>0.002056573071</v>
      </c>
      <c r="AG118" s="19">
        <v>1786.0</v>
      </c>
      <c r="AH118" s="15">
        <v>1255.0</v>
      </c>
      <c r="AI118" s="15">
        <v>1607.0</v>
      </c>
      <c r="AJ118" s="15">
        <v>1059.0</v>
      </c>
    </row>
    <row r="119" ht="15.75" customHeight="1">
      <c r="A119" s="6" t="s">
        <v>78</v>
      </c>
      <c r="B119" s="6" t="s">
        <v>33</v>
      </c>
      <c r="C119" s="6" t="s">
        <v>61</v>
      </c>
      <c r="D119" s="4" t="s">
        <v>205</v>
      </c>
      <c r="E119" s="19">
        <f t="shared" si="2"/>
        <v>1440.5</v>
      </c>
      <c r="F119" s="11">
        <f t="shared" si="3"/>
        <v>0.001583269768</v>
      </c>
      <c r="G119" s="15">
        <f t="shared" si="4"/>
        <v>1484.2</v>
      </c>
      <c r="H119" s="11">
        <f t="shared" si="5"/>
        <v>0.001685641586</v>
      </c>
      <c r="I119" s="15">
        <f t="shared" si="6"/>
        <v>1396.8</v>
      </c>
      <c r="J119" s="20">
        <f t="shared" si="7"/>
        <v>0.001487292212</v>
      </c>
      <c r="K119" s="15">
        <f t="shared" si="8"/>
        <v>1584.666667</v>
      </c>
      <c r="L119" s="11">
        <f t="shared" si="9"/>
        <v>0.00135827252</v>
      </c>
      <c r="M119" s="19">
        <v>739.0</v>
      </c>
      <c r="N119" s="11">
        <f t="shared" si="10"/>
        <v>0.001254781839</v>
      </c>
      <c r="O119" s="15">
        <v>1608.0</v>
      </c>
      <c r="P119" s="11">
        <f t="shared" si="11"/>
        <v>0.001364301623</v>
      </c>
      <c r="Q119" s="15">
        <v>1632.0</v>
      </c>
      <c r="R119" s="11">
        <f t="shared" si="12"/>
        <v>0.001354646887</v>
      </c>
      <c r="S119" s="17">
        <v>1514.0</v>
      </c>
      <c r="T119" s="29">
        <f t="shared" si="13"/>
        <v>0.001355820491</v>
      </c>
      <c r="U119" s="15">
        <v>1711.0</v>
      </c>
      <c r="V119" s="11">
        <f t="shared" si="14"/>
        <v>0.001806086861</v>
      </c>
      <c r="W119" s="15">
        <v>1659.0</v>
      </c>
      <c r="X119" s="11">
        <f t="shared" si="15"/>
        <v>0.0016714439</v>
      </c>
      <c r="Y119" s="15">
        <v>1012.0</v>
      </c>
      <c r="Z119" s="11">
        <f t="shared" si="16"/>
        <v>0.001720190309</v>
      </c>
      <c r="AA119" s="15">
        <v>1218.0</v>
      </c>
      <c r="AB119" s="11">
        <f t="shared" si="17"/>
        <v>0.002005133009</v>
      </c>
      <c r="AC119" s="15">
        <v>1455.0</v>
      </c>
      <c r="AD119" s="11">
        <f t="shared" si="18"/>
        <v>0.001122716372</v>
      </c>
      <c r="AE119" s="15">
        <v>1857.0</v>
      </c>
      <c r="AF119" s="20">
        <f t="shared" si="20"/>
        <v>0.003214693764</v>
      </c>
      <c r="AG119" s="19">
        <v>1515.0</v>
      </c>
      <c r="AH119" s="15">
        <v>1005.0</v>
      </c>
      <c r="AI119" s="15">
        <v>1219.0</v>
      </c>
      <c r="AJ119" s="15">
        <v>849.0</v>
      </c>
    </row>
    <row r="120" ht="15.75" customHeight="1">
      <c r="A120" s="6" t="s">
        <v>75</v>
      </c>
      <c r="B120" s="6" t="s">
        <v>33</v>
      </c>
      <c r="C120" s="6" t="s">
        <v>61</v>
      </c>
      <c r="D120" s="4" t="s">
        <v>206</v>
      </c>
      <c r="E120" s="19">
        <f t="shared" si="2"/>
        <v>1386.1</v>
      </c>
      <c r="F120" s="11">
        <f t="shared" si="3"/>
        <v>0.001523478116</v>
      </c>
      <c r="G120" s="15">
        <f t="shared" si="4"/>
        <v>1225.8</v>
      </c>
      <c r="H120" s="11">
        <f t="shared" si="5"/>
        <v>0.0013921705</v>
      </c>
      <c r="I120" s="15">
        <f t="shared" si="6"/>
        <v>1546.4</v>
      </c>
      <c r="J120" s="20">
        <f t="shared" si="7"/>
        <v>0.001646584105</v>
      </c>
      <c r="K120" s="15">
        <f t="shared" si="8"/>
        <v>2013.333333</v>
      </c>
      <c r="L120" s="11">
        <f t="shared" si="9"/>
        <v>0.001725697522</v>
      </c>
      <c r="M120" s="19">
        <v>977.0</v>
      </c>
      <c r="N120" s="11">
        <f t="shared" si="10"/>
        <v>0.001658892905</v>
      </c>
      <c r="O120" s="15">
        <v>2051.0</v>
      </c>
      <c r="P120" s="11">
        <f t="shared" si="11"/>
        <v>0.001740163326</v>
      </c>
      <c r="Q120" s="15">
        <v>2088.0</v>
      </c>
      <c r="R120" s="11">
        <f t="shared" si="12"/>
        <v>0.001733151164</v>
      </c>
      <c r="S120" s="17">
        <v>1901.0</v>
      </c>
      <c r="T120" s="29">
        <f t="shared" si="13"/>
        <v>0.001702387552</v>
      </c>
      <c r="U120" s="15">
        <v>1157.0</v>
      </c>
      <c r="V120" s="11">
        <f t="shared" si="14"/>
        <v>0.001221298947</v>
      </c>
      <c r="W120" s="15">
        <v>1160.0</v>
      </c>
      <c r="X120" s="11">
        <f t="shared" si="15"/>
        <v>0.001168700979</v>
      </c>
      <c r="Y120" s="15">
        <v>786.0</v>
      </c>
      <c r="Z120" s="11">
        <f t="shared" si="16"/>
        <v>0.001336037137</v>
      </c>
      <c r="AA120" s="15">
        <v>906.0</v>
      </c>
      <c r="AB120" s="11">
        <f t="shared" si="17"/>
        <v>0.001491502878</v>
      </c>
      <c r="AC120" s="15">
        <v>1751.0</v>
      </c>
      <c r="AD120" s="11">
        <f t="shared" si="18"/>
        <v>0.001351117778</v>
      </c>
      <c r="AE120" s="15">
        <v>1084.0</v>
      </c>
      <c r="AF120" s="20">
        <f t="shared" si="20"/>
        <v>0.001876536371</v>
      </c>
      <c r="AG120" s="19">
        <v>1994.0</v>
      </c>
      <c r="AH120" s="15">
        <v>1333.0</v>
      </c>
      <c r="AI120" s="15">
        <v>1771.0</v>
      </c>
      <c r="AJ120" s="15">
        <v>1263.0</v>
      </c>
    </row>
    <row r="121" ht="15.75" customHeight="1">
      <c r="A121" s="6" t="s">
        <v>78</v>
      </c>
      <c r="B121" s="6" t="s">
        <v>33</v>
      </c>
      <c r="C121" s="6" t="s">
        <v>60</v>
      </c>
      <c r="D121" s="4" t="s">
        <v>207</v>
      </c>
      <c r="E121" s="19">
        <f t="shared" si="2"/>
        <v>1287.9</v>
      </c>
      <c r="F121" s="11">
        <f t="shared" si="3"/>
        <v>0.00141554539</v>
      </c>
      <c r="G121" s="15">
        <f t="shared" si="4"/>
        <v>1491</v>
      </c>
      <c r="H121" s="11">
        <f t="shared" si="5"/>
        <v>0.00169336451</v>
      </c>
      <c r="I121" s="15">
        <f t="shared" si="6"/>
        <v>1084.8</v>
      </c>
      <c r="J121" s="20">
        <f t="shared" si="7"/>
        <v>0.001155079175</v>
      </c>
      <c r="K121" s="15">
        <f t="shared" si="8"/>
        <v>1379.666667</v>
      </c>
      <c r="L121" s="11">
        <f t="shared" si="9"/>
        <v>0.001182559941</v>
      </c>
      <c r="M121" s="19">
        <v>811.0</v>
      </c>
      <c r="N121" s="11">
        <f t="shared" si="10"/>
        <v>0.001377033927</v>
      </c>
      <c r="O121" s="15">
        <v>1399.0</v>
      </c>
      <c r="P121" s="11">
        <f t="shared" si="11"/>
        <v>0.00118697635</v>
      </c>
      <c r="Q121" s="15">
        <v>1401.0</v>
      </c>
      <c r="R121" s="11">
        <f t="shared" si="12"/>
        <v>0.001162904589</v>
      </c>
      <c r="S121" s="17">
        <v>1339.0</v>
      </c>
      <c r="T121" s="29">
        <f t="shared" si="13"/>
        <v>0.00119910412</v>
      </c>
      <c r="U121" s="15">
        <v>1525.0</v>
      </c>
      <c r="V121" s="11">
        <f t="shared" si="14"/>
        <v>0.001609750125</v>
      </c>
      <c r="W121" s="15">
        <v>1927.0</v>
      </c>
      <c r="X121" s="11">
        <f t="shared" si="15"/>
        <v>0.001941454126</v>
      </c>
      <c r="Y121" s="15">
        <v>679.0</v>
      </c>
      <c r="Z121" s="11">
        <f t="shared" si="16"/>
        <v>0.001154159308</v>
      </c>
      <c r="AA121" s="15">
        <v>606.0</v>
      </c>
      <c r="AB121" s="11">
        <f t="shared" si="17"/>
        <v>0.0009976277531</v>
      </c>
      <c r="AC121" s="15">
        <v>1339.0</v>
      </c>
      <c r="AD121" s="11">
        <f t="shared" si="18"/>
        <v>0.001033207713</v>
      </c>
      <c r="AE121" s="15">
        <v>1853.0</v>
      </c>
      <c r="AF121" s="20">
        <f t="shared" si="20"/>
        <v>0.003207769276</v>
      </c>
      <c r="AG121" s="19">
        <v>1302.0</v>
      </c>
      <c r="AH121" s="15">
        <v>914.0</v>
      </c>
      <c r="AI121" s="15">
        <v>1081.0</v>
      </c>
      <c r="AJ121" s="15">
        <v>752.0</v>
      </c>
    </row>
    <row r="122" ht="15.75" customHeight="1">
      <c r="A122" s="6" t="s">
        <v>78</v>
      </c>
      <c r="B122" s="6" t="s">
        <v>33</v>
      </c>
      <c r="C122" s="6" t="s">
        <v>52</v>
      </c>
      <c r="D122" s="4" t="s">
        <v>208</v>
      </c>
      <c r="E122" s="19">
        <f t="shared" si="2"/>
        <v>1270.2</v>
      </c>
      <c r="F122" s="11">
        <f t="shared" si="3"/>
        <v>0.001396091121</v>
      </c>
      <c r="G122" s="15">
        <f t="shared" si="4"/>
        <v>1290</v>
      </c>
      <c r="H122" s="11">
        <f t="shared" si="5"/>
        <v>0.001465083982</v>
      </c>
      <c r="I122" s="15">
        <f t="shared" si="6"/>
        <v>1250.4</v>
      </c>
      <c r="J122" s="20">
        <f t="shared" si="7"/>
        <v>0.001331407633</v>
      </c>
      <c r="K122" s="15">
        <f t="shared" si="8"/>
        <v>1652</v>
      </c>
      <c r="L122" s="11">
        <f t="shared" si="9"/>
        <v>0.001415986245</v>
      </c>
      <c r="M122" s="19">
        <v>822.0</v>
      </c>
      <c r="N122" s="11">
        <f t="shared" si="10"/>
        <v>0.001395711329</v>
      </c>
      <c r="O122" s="15">
        <v>1682.0</v>
      </c>
      <c r="P122" s="11">
        <f t="shared" si="11"/>
        <v>0.001427086648</v>
      </c>
      <c r="Q122" s="15">
        <v>1690.0</v>
      </c>
      <c r="R122" s="11">
        <f t="shared" si="12"/>
        <v>0.001402789975</v>
      </c>
      <c r="S122" s="17">
        <v>1584.0</v>
      </c>
      <c r="T122" s="29">
        <f t="shared" si="13"/>
        <v>0.001418507039</v>
      </c>
      <c r="U122" s="15">
        <v>1866.0</v>
      </c>
      <c r="V122" s="11">
        <f t="shared" si="14"/>
        <v>0.001969700808</v>
      </c>
      <c r="W122" s="15">
        <v>1862.0</v>
      </c>
      <c r="X122" s="11">
        <f t="shared" si="15"/>
        <v>0.001875966571</v>
      </c>
      <c r="Y122" s="15">
        <v>651.0</v>
      </c>
      <c r="Z122" s="11">
        <f t="shared" si="16"/>
        <v>0.00110656511</v>
      </c>
      <c r="AA122" s="15">
        <v>645.0</v>
      </c>
      <c r="AB122" s="11">
        <f t="shared" si="17"/>
        <v>0.001061831519</v>
      </c>
      <c r="AC122" s="15">
        <v>1530.0</v>
      </c>
      <c r="AD122" s="11">
        <f t="shared" si="18"/>
        <v>0.00118058835</v>
      </c>
      <c r="AE122" s="15">
        <v>370.0</v>
      </c>
      <c r="AF122" s="20">
        <f t="shared" si="20"/>
        <v>0.0006405151819</v>
      </c>
      <c r="AG122" s="19">
        <v>1594.0</v>
      </c>
      <c r="AH122" s="15">
        <v>1080.0</v>
      </c>
      <c r="AI122" s="15">
        <v>1297.0</v>
      </c>
      <c r="AJ122" s="15">
        <v>839.0</v>
      </c>
    </row>
    <row r="123" ht="15.75" customHeight="1">
      <c r="A123" s="6" t="s">
        <v>75</v>
      </c>
      <c r="B123" s="6" t="s">
        <v>33</v>
      </c>
      <c r="C123" s="6" t="s">
        <v>60</v>
      </c>
      <c r="D123" s="4" t="s">
        <v>209</v>
      </c>
      <c r="E123" s="19">
        <f t="shared" si="2"/>
        <v>1258.7</v>
      </c>
      <c r="F123" s="11">
        <f t="shared" si="3"/>
        <v>0.001383451341</v>
      </c>
      <c r="G123" s="15">
        <f t="shared" si="4"/>
        <v>1126.2</v>
      </c>
      <c r="H123" s="11">
        <f t="shared" si="5"/>
        <v>0.001279052388</v>
      </c>
      <c r="I123" s="15">
        <f t="shared" si="6"/>
        <v>1391.2</v>
      </c>
      <c r="J123" s="20">
        <f t="shared" si="7"/>
        <v>0.001481329414</v>
      </c>
      <c r="K123" s="15">
        <f t="shared" si="8"/>
        <v>1677.333333</v>
      </c>
      <c r="L123" s="11">
        <f t="shared" si="9"/>
        <v>0.001437700319</v>
      </c>
      <c r="M123" s="19">
        <v>859.0</v>
      </c>
      <c r="N123" s="11">
        <f t="shared" si="10"/>
        <v>0.001458535318</v>
      </c>
      <c r="O123" s="15">
        <v>1712.0</v>
      </c>
      <c r="P123" s="11">
        <f t="shared" si="11"/>
        <v>0.001452540036</v>
      </c>
      <c r="Q123" s="15">
        <v>1712.0</v>
      </c>
      <c r="R123" s="11">
        <f t="shared" si="12"/>
        <v>0.001421051146</v>
      </c>
      <c r="S123" s="17">
        <v>1608.0</v>
      </c>
      <c r="T123" s="29">
        <f t="shared" si="13"/>
        <v>0.00143999957</v>
      </c>
      <c r="U123" s="15">
        <v>1676.0</v>
      </c>
      <c r="V123" s="11">
        <f t="shared" si="14"/>
        <v>0.001769141776</v>
      </c>
      <c r="W123" s="15">
        <v>1661.0</v>
      </c>
      <c r="X123" s="11">
        <f t="shared" si="15"/>
        <v>0.001673458902</v>
      </c>
      <c r="Y123" s="15">
        <v>848.0</v>
      </c>
      <c r="Z123" s="11">
        <f t="shared" si="16"/>
        <v>0.00144142429</v>
      </c>
      <c r="AA123" s="15">
        <v>1076.0</v>
      </c>
      <c r="AB123" s="11">
        <f t="shared" si="17"/>
        <v>0.001771365449</v>
      </c>
      <c r="AC123" s="15">
        <v>1280.0</v>
      </c>
      <c r="AD123" s="11">
        <f t="shared" si="18"/>
        <v>0.0009876817566</v>
      </c>
      <c r="AE123" s="15">
        <v>155.0</v>
      </c>
      <c r="AF123" s="20">
        <f t="shared" si="20"/>
        <v>0.0002683239276</v>
      </c>
      <c r="AG123" s="19">
        <v>1643.0</v>
      </c>
      <c r="AH123" s="15">
        <v>1094.0</v>
      </c>
      <c r="AI123" s="15">
        <v>1238.0</v>
      </c>
      <c r="AJ123" s="15">
        <v>817.0</v>
      </c>
    </row>
    <row r="124" ht="15.75" customHeight="1">
      <c r="A124" s="6" t="s">
        <v>78</v>
      </c>
      <c r="B124" s="6" t="s">
        <v>33</v>
      </c>
      <c r="C124" s="6" t="s">
        <v>59</v>
      </c>
      <c r="D124" s="4" t="s">
        <v>210</v>
      </c>
      <c r="E124" s="19">
        <f t="shared" si="2"/>
        <v>1227.3</v>
      </c>
      <c r="F124" s="11">
        <f t="shared" si="3"/>
        <v>0.001348939248</v>
      </c>
      <c r="G124" s="15">
        <f t="shared" si="4"/>
        <v>1381.2</v>
      </c>
      <c r="H124" s="11">
        <f t="shared" si="5"/>
        <v>0.001568662013</v>
      </c>
      <c r="I124" s="15">
        <f t="shared" si="6"/>
        <v>1073.4</v>
      </c>
      <c r="J124" s="20">
        <f t="shared" si="7"/>
        <v>0.001142940622</v>
      </c>
      <c r="K124" s="15">
        <f t="shared" si="8"/>
        <v>1438.333333</v>
      </c>
      <c r="L124" s="11">
        <f t="shared" si="9"/>
        <v>0.001232845167</v>
      </c>
      <c r="M124" s="19">
        <v>831.0</v>
      </c>
      <c r="N124" s="11">
        <f t="shared" si="10"/>
        <v>0.00141099284</v>
      </c>
      <c r="O124" s="15">
        <v>1478.0</v>
      </c>
      <c r="P124" s="11">
        <f t="shared" si="11"/>
        <v>0.001254003606</v>
      </c>
      <c r="Q124" s="15">
        <v>1502.0</v>
      </c>
      <c r="R124" s="11">
        <f t="shared" si="12"/>
        <v>0.001246739966</v>
      </c>
      <c r="S124" s="17">
        <v>1335.0</v>
      </c>
      <c r="T124" s="29">
        <f t="shared" si="13"/>
        <v>0.001195522031</v>
      </c>
      <c r="U124" s="15">
        <v>1921.0</v>
      </c>
      <c r="V124" s="11">
        <f t="shared" si="14"/>
        <v>0.00202775737</v>
      </c>
      <c r="W124" s="15">
        <v>1953.0</v>
      </c>
      <c r="X124" s="11">
        <f t="shared" si="15"/>
        <v>0.001967649148</v>
      </c>
      <c r="Y124" s="15">
        <v>486.0</v>
      </c>
      <c r="Z124" s="11">
        <f t="shared" si="16"/>
        <v>0.0008260992985</v>
      </c>
      <c r="AA124" s="15">
        <v>566.0</v>
      </c>
      <c r="AB124" s="11">
        <f t="shared" si="17"/>
        <v>0.0009317777364</v>
      </c>
      <c r="AC124" s="15">
        <v>1274.0</v>
      </c>
      <c r="AD124" s="11">
        <f t="shared" si="18"/>
        <v>0.0009830519984</v>
      </c>
      <c r="AE124" s="15">
        <v>927.0</v>
      </c>
      <c r="AF124" s="20">
        <f t="shared" si="20"/>
        <v>0.001604750199</v>
      </c>
      <c r="AG124" s="19">
        <v>1397.0</v>
      </c>
      <c r="AH124" s="15">
        <v>936.0</v>
      </c>
      <c r="AI124" s="15">
        <v>1132.0</v>
      </c>
      <c r="AJ124" s="15">
        <v>813.0</v>
      </c>
    </row>
    <row r="125" ht="15.75" customHeight="1">
      <c r="A125" s="6" t="s">
        <v>75</v>
      </c>
      <c r="B125" s="6" t="s">
        <v>33</v>
      </c>
      <c r="C125" s="6" t="s">
        <v>60</v>
      </c>
      <c r="D125" s="4" t="s">
        <v>211</v>
      </c>
      <c r="E125" s="19">
        <f t="shared" si="2"/>
        <v>1217.2</v>
      </c>
      <c r="F125" s="11">
        <f t="shared" si="3"/>
        <v>0.001337838224</v>
      </c>
      <c r="G125" s="15">
        <f t="shared" si="4"/>
        <v>992.4</v>
      </c>
      <c r="H125" s="11">
        <f t="shared" si="5"/>
        <v>0.001127092515</v>
      </c>
      <c r="I125" s="15">
        <f t="shared" si="6"/>
        <v>1442</v>
      </c>
      <c r="J125" s="20">
        <f t="shared" si="7"/>
        <v>0.001535420511</v>
      </c>
      <c r="K125" s="15">
        <f t="shared" si="8"/>
        <v>1854.333333</v>
      </c>
      <c r="L125" s="11">
        <f t="shared" si="9"/>
        <v>0.001589413131</v>
      </c>
      <c r="M125" s="19">
        <v>1001.0</v>
      </c>
      <c r="N125" s="11">
        <f t="shared" si="10"/>
        <v>0.001699643601</v>
      </c>
      <c r="O125" s="15">
        <v>1899.0</v>
      </c>
      <c r="P125" s="11">
        <f t="shared" si="11"/>
        <v>0.001611199491</v>
      </c>
      <c r="Q125" s="15">
        <v>1916.0</v>
      </c>
      <c r="R125" s="11">
        <f t="shared" si="12"/>
        <v>0.001590382007</v>
      </c>
      <c r="S125" s="17">
        <v>1748.0</v>
      </c>
      <c r="T125" s="29">
        <f t="shared" si="13"/>
        <v>0.001565372667</v>
      </c>
      <c r="U125" s="15">
        <v>588.0</v>
      </c>
      <c r="V125" s="11">
        <f t="shared" si="14"/>
        <v>0.0006206774251</v>
      </c>
      <c r="W125" s="15">
        <v>591.0</v>
      </c>
      <c r="X125" s="11">
        <f t="shared" si="15"/>
        <v>0.0005954329987</v>
      </c>
      <c r="Y125" s="15">
        <v>814.0</v>
      </c>
      <c r="Z125" s="11">
        <f t="shared" si="16"/>
        <v>0.001383631335</v>
      </c>
      <c r="AA125" s="15">
        <v>833.0</v>
      </c>
      <c r="AB125" s="11">
        <f t="shared" si="17"/>
        <v>0.001371326598</v>
      </c>
      <c r="AC125" s="15">
        <v>2302.0</v>
      </c>
      <c r="AD125" s="11">
        <f t="shared" si="18"/>
        <v>0.001776283909</v>
      </c>
      <c r="AE125" s="15">
        <v>480.0</v>
      </c>
      <c r="AF125" s="20">
        <f t="shared" si="20"/>
        <v>0.0008309386144</v>
      </c>
      <c r="AG125" s="19">
        <v>1821.0</v>
      </c>
      <c r="AH125" s="15">
        <v>1257.0</v>
      </c>
      <c r="AI125" s="15">
        <v>1611.0</v>
      </c>
      <c r="AJ125" s="15">
        <v>1173.0</v>
      </c>
    </row>
    <row r="126" ht="15.75" customHeight="1">
      <c r="A126" s="6" t="s">
        <v>78</v>
      </c>
      <c r="B126" s="6" t="s">
        <v>33</v>
      </c>
      <c r="C126" s="6" t="s">
        <v>61</v>
      </c>
      <c r="D126" s="4" t="s">
        <v>212</v>
      </c>
      <c r="E126" s="19">
        <f t="shared" si="2"/>
        <v>1191.3</v>
      </c>
      <c r="F126" s="11">
        <f t="shared" si="3"/>
        <v>0.001309371242</v>
      </c>
      <c r="G126" s="15">
        <f t="shared" si="4"/>
        <v>1331.4</v>
      </c>
      <c r="H126" s="11">
        <f t="shared" si="5"/>
        <v>0.001512102957</v>
      </c>
      <c r="I126" s="15">
        <f t="shared" si="6"/>
        <v>1051.2</v>
      </c>
      <c r="J126" s="20">
        <f t="shared" si="7"/>
        <v>0.001119302387</v>
      </c>
      <c r="K126" s="15">
        <f t="shared" si="8"/>
        <v>1321.333333</v>
      </c>
      <c r="L126" s="11">
        <f t="shared" si="9"/>
        <v>0.001132560427</v>
      </c>
      <c r="M126" s="19">
        <v>765.0</v>
      </c>
      <c r="N126" s="11">
        <f t="shared" si="10"/>
        <v>0.001298928426</v>
      </c>
      <c r="O126" s="15">
        <v>1341.0</v>
      </c>
      <c r="P126" s="11">
        <f t="shared" si="11"/>
        <v>0.001137766465</v>
      </c>
      <c r="Q126" s="15">
        <v>1347.0</v>
      </c>
      <c r="R126" s="11">
        <f t="shared" si="12"/>
        <v>0.001118081714</v>
      </c>
      <c r="S126" s="17">
        <v>1276.0</v>
      </c>
      <c r="T126" s="29">
        <f t="shared" si="13"/>
        <v>0.001142686226</v>
      </c>
      <c r="U126" s="15">
        <v>1510.0</v>
      </c>
      <c r="V126" s="11">
        <f t="shared" si="14"/>
        <v>0.001593916517</v>
      </c>
      <c r="W126" s="15">
        <v>1551.0</v>
      </c>
      <c r="X126" s="11">
        <f t="shared" si="15"/>
        <v>0.001562633809</v>
      </c>
      <c r="Y126" s="15">
        <v>595.0</v>
      </c>
      <c r="Z126" s="11">
        <f t="shared" si="16"/>
        <v>0.001011376713</v>
      </c>
      <c r="AA126" s="15">
        <v>697.0</v>
      </c>
      <c r="AB126" s="11">
        <f t="shared" si="17"/>
        <v>0.001147436541</v>
      </c>
      <c r="AC126" s="15">
        <v>1835.0</v>
      </c>
      <c r="AD126" s="11">
        <f t="shared" si="18"/>
        <v>0.001415934393</v>
      </c>
      <c r="AE126" s="15">
        <v>996.0</v>
      </c>
      <c r="AF126" s="20">
        <f t="shared" si="20"/>
        <v>0.001724197625</v>
      </c>
      <c r="AG126" s="19">
        <v>1308.0</v>
      </c>
      <c r="AH126" s="15">
        <v>898.0</v>
      </c>
      <c r="AI126" s="15">
        <v>1125.0</v>
      </c>
      <c r="AJ126" s="15">
        <v>807.0</v>
      </c>
    </row>
    <row r="127" ht="15.75" customHeight="1">
      <c r="A127" s="6" t="s">
        <v>78</v>
      </c>
      <c r="B127" s="6" t="s">
        <v>33</v>
      </c>
      <c r="C127" s="6" t="s">
        <v>57</v>
      </c>
      <c r="D127" s="4" t="s">
        <v>213</v>
      </c>
      <c r="E127" s="19">
        <f t="shared" si="2"/>
        <v>1154.5</v>
      </c>
      <c r="F127" s="11">
        <f t="shared" si="3"/>
        <v>0.001268923948</v>
      </c>
      <c r="G127" s="15">
        <f t="shared" si="4"/>
        <v>1122.2</v>
      </c>
      <c r="H127" s="11">
        <f t="shared" si="5"/>
        <v>0.001274509492</v>
      </c>
      <c r="I127" s="15">
        <f t="shared" si="6"/>
        <v>1186.8</v>
      </c>
      <c r="J127" s="20">
        <f t="shared" si="7"/>
        <v>0.001263687284</v>
      </c>
      <c r="K127" s="15">
        <f t="shared" si="8"/>
        <v>1389.666667</v>
      </c>
      <c r="L127" s="11">
        <f t="shared" si="9"/>
        <v>0.001191131286</v>
      </c>
      <c r="M127" s="19">
        <v>720.0</v>
      </c>
      <c r="N127" s="11">
        <f t="shared" si="10"/>
        <v>0.001222520872</v>
      </c>
      <c r="O127" s="15">
        <v>1421.0</v>
      </c>
      <c r="P127" s="11">
        <f t="shared" si="11"/>
        <v>0.001205642168</v>
      </c>
      <c r="Q127" s="15">
        <v>1432.0</v>
      </c>
      <c r="R127" s="11">
        <f t="shared" si="12"/>
        <v>0.001188636239</v>
      </c>
      <c r="S127" s="17">
        <v>1316.0</v>
      </c>
      <c r="T127" s="29">
        <f t="shared" si="13"/>
        <v>0.001178507111</v>
      </c>
      <c r="U127" s="15">
        <v>1241.0</v>
      </c>
      <c r="V127" s="11">
        <f t="shared" si="14"/>
        <v>0.001309967151</v>
      </c>
      <c r="W127" s="15">
        <v>1417.0</v>
      </c>
      <c r="X127" s="11">
        <f t="shared" si="15"/>
        <v>0.001427628696</v>
      </c>
      <c r="Y127" s="15">
        <v>826.0</v>
      </c>
      <c r="Z127" s="11">
        <f t="shared" si="16"/>
        <v>0.001404028849</v>
      </c>
      <c r="AA127" s="15">
        <v>939.0</v>
      </c>
      <c r="AB127" s="11">
        <f t="shared" si="17"/>
        <v>0.001545829142</v>
      </c>
      <c r="AC127" s="15">
        <v>1354.0</v>
      </c>
      <c r="AD127" s="11">
        <f t="shared" si="18"/>
        <v>0.001044782108</v>
      </c>
      <c r="AE127" s="15">
        <v>879.0</v>
      </c>
      <c r="AF127" s="20">
        <f t="shared" si="20"/>
        <v>0.001521656338</v>
      </c>
      <c r="AG127" s="19">
        <v>1348.0</v>
      </c>
      <c r="AH127" s="15">
        <v>914.0</v>
      </c>
      <c r="AI127" s="15">
        <v>1082.0</v>
      </c>
      <c r="AJ127" s="15">
        <v>665.0</v>
      </c>
    </row>
    <row r="128" ht="15.75" customHeight="1">
      <c r="A128" s="6" t="s">
        <v>75</v>
      </c>
      <c r="B128" s="6" t="s">
        <v>33</v>
      </c>
      <c r="C128" s="6" t="s">
        <v>54</v>
      </c>
      <c r="D128" s="4" t="s">
        <v>214</v>
      </c>
      <c r="E128" s="19">
        <f t="shared" si="2"/>
        <v>1151.2</v>
      </c>
      <c r="F128" s="11">
        <f t="shared" si="3"/>
        <v>0.001265296881</v>
      </c>
      <c r="G128" s="15">
        <f t="shared" si="4"/>
        <v>826.6</v>
      </c>
      <c r="H128" s="11">
        <f t="shared" si="5"/>
        <v>0.0009387894727</v>
      </c>
      <c r="I128" s="15">
        <f t="shared" si="6"/>
        <v>1475.8</v>
      </c>
      <c r="J128" s="20">
        <f t="shared" si="7"/>
        <v>0.001571410257</v>
      </c>
      <c r="K128" s="15">
        <f t="shared" si="8"/>
        <v>1846</v>
      </c>
      <c r="L128" s="11">
        <f t="shared" si="9"/>
        <v>0.001582270344</v>
      </c>
      <c r="M128" s="19">
        <v>983.0</v>
      </c>
      <c r="N128" s="11">
        <f t="shared" si="10"/>
        <v>0.001669080579</v>
      </c>
      <c r="O128" s="15">
        <v>1881.0</v>
      </c>
      <c r="P128" s="11">
        <f t="shared" si="11"/>
        <v>0.001595927458</v>
      </c>
      <c r="Q128" s="15">
        <v>1894.0</v>
      </c>
      <c r="R128" s="11">
        <f t="shared" si="12"/>
        <v>0.001572120836</v>
      </c>
      <c r="S128" s="17">
        <v>1763.0</v>
      </c>
      <c r="T128" s="29">
        <f t="shared" si="13"/>
        <v>0.001578805499</v>
      </c>
      <c r="U128" s="15">
        <v>638.0</v>
      </c>
      <c r="V128" s="11">
        <f t="shared" si="14"/>
        <v>0.0006734561177</v>
      </c>
      <c r="W128" s="15">
        <v>628.0</v>
      </c>
      <c r="X128" s="11">
        <f t="shared" si="15"/>
        <v>0.0006327105299</v>
      </c>
      <c r="Y128" s="15">
        <v>834.0</v>
      </c>
      <c r="Z128" s="11">
        <f t="shared" si="16"/>
        <v>0.001417627191</v>
      </c>
      <c r="AA128" s="15">
        <v>1007.0</v>
      </c>
      <c r="AB128" s="11">
        <f t="shared" si="17"/>
        <v>0.001657774171</v>
      </c>
      <c r="AC128" s="15">
        <v>1804.0</v>
      </c>
      <c r="AD128" s="11">
        <f t="shared" si="18"/>
        <v>0.001392013976</v>
      </c>
      <c r="AE128" s="15">
        <v>80.0</v>
      </c>
      <c r="AF128" s="20">
        <f t="shared" si="20"/>
        <v>0.0001384897691</v>
      </c>
      <c r="AG128" s="19">
        <v>1821.0</v>
      </c>
      <c r="AH128" s="15">
        <v>1250.0</v>
      </c>
      <c r="AI128" s="15">
        <v>1465.0</v>
      </c>
      <c r="AJ128" s="15">
        <v>1063.0</v>
      </c>
    </row>
    <row r="129" ht="15.75" customHeight="1">
      <c r="A129" s="6" t="s">
        <v>78</v>
      </c>
      <c r="B129" s="6" t="s">
        <v>33</v>
      </c>
      <c r="C129" s="6" t="s">
        <v>61</v>
      </c>
      <c r="D129" s="4" t="s">
        <v>215</v>
      </c>
      <c r="E129" s="19">
        <f t="shared" si="2"/>
        <v>1134.2</v>
      </c>
      <c r="F129" s="11">
        <f t="shared" si="3"/>
        <v>0.00124661199</v>
      </c>
      <c r="G129" s="15">
        <f t="shared" si="4"/>
        <v>1080.4</v>
      </c>
      <c r="H129" s="11">
        <f t="shared" si="5"/>
        <v>0.001227036228</v>
      </c>
      <c r="I129" s="15">
        <f t="shared" si="6"/>
        <v>1188</v>
      </c>
      <c r="J129" s="20">
        <f t="shared" si="7"/>
        <v>0.001264965026</v>
      </c>
      <c r="K129" s="15">
        <f t="shared" si="8"/>
        <v>1401</v>
      </c>
      <c r="L129" s="11">
        <f t="shared" si="9"/>
        <v>0.001200845478</v>
      </c>
      <c r="M129" s="19">
        <v>700.0</v>
      </c>
      <c r="N129" s="11">
        <f t="shared" si="10"/>
        <v>0.001188561959</v>
      </c>
      <c r="O129" s="15">
        <v>1415.0</v>
      </c>
      <c r="P129" s="11">
        <f t="shared" si="11"/>
        <v>0.00120055149</v>
      </c>
      <c r="Q129" s="15">
        <v>1432.0</v>
      </c>
      <c r="R129" s="11">
        <f t="shared" si="12"/>
        <v>0.001188636239</v>
      </c>
      <c r="S129" s="17">
        <v>1356.0</v>
      </c>
      <c r="T129" s="29">
        <f t="shared" si="13"/>
        <v>0.001214327996</v>
      </c>
      <c r="U129" s="15">
        <v>1216.0</v>
      </c>
      <c r="V129" s="11">
        <f t="shared" si="14"/>
        <v>0.001283577804</v>
      </c>
      <c r="W129" s="15">
        <v>1338.0</v>
      </c>
      <c r="X129" s="11">
        <f t="shared" si="15"/>
        <v>0.001348036129</v>
      </c>
      <c r="Y129" s="15">
        <v>692.0</v>
      </c>
      <c r="Z129" s="11">
        <f t="shared" si="16"/>
        <v>0.001176256614</v>
      </c>
      <c r="AA129" s="15">
        <v>1045.0</v>
      </c>
      <c r="AB129" s="11">
        <f t="shared" si="17"/>
        <v>0.001720331687</v>
      </c>
      <c r="AC129" s="15">
        <v>1268.0</v>
      </c>
      <c r="AD129" s="11">
        <f t="shared" si="18"/>
        <v>0.0009784222401</v>
      </c>
      <c r="AE129" s="15">
        <v>880.0</v>
      </c>
      <c r="AF129" s="20">
        <f t="shared" si="20"/>
        <v>0.00152338746</v>
      </c>
      <c r="AG129" s="19">
        <v>1338.0</v>
      </c>
      <c r="AH129" s="15">
        <v>915.0</v>
      </c>
      <c r="AI129" s="15">
        <v>1168.0</v>
      </c>
      <c r="AJ129" s="15">
        <v>857.0</v>
      </c>
    </row>
    <row r="130" ht="15.75" customHeight="1">
      <c r="A130" s="6" t="s">
        <v>78</v>
      </c>
      <c r="B130" s="6" t="s">
        <v>33</v>
      </c>
      <c r="C130" s="6" t="s">
        <v>61</v>
      </c>
      <c r="D130" s="4" t="s">
        <v>216</v>
      </c>
      <c r="E130" s="19">
        <f t="shared" si="2"/>
        <v>1074.2</v>
      </c>
      <c r="F130" s="11">
        <f t="shared" si="3"/>
        <v>0.001180665314</v>
      </c>
      <c r="G130" s="15">
        <f t="shared" si="4"/>
        <v>1086.2</v>
      </c>
      <c r="H130" s="11">
        <f t="shared" si="5"/>
        <v>0.001233623428</v>
      </c>
      <c r="I130" s="15">
        <f t="shared" si="6"/>
        <v>1062.2</v>
      </c>
      <c r="J130" s="20">
        <f t="shared" si="7"/>
        <v>0.001131015026</v>
      </c>
      <c r="K130" s="15">
        <f t="shared" si="8"/>
        <v>1417</v>
      </c>
      <c r="L130" s="11">
        <f t="shared" si="9"/>
        <v>0.00121455963</v>
      </c>
      <c r="M130" s="19">
        <v>850.0</v>
      </c>
      <c r="N130" s="11">
        <f t="shared" si="10"/>
        <v>0.001443253807</v>
      </c>
      <c r="O130" s="15">
        <v>1434.0</v>
      </c>
      <c r="P130" s="11">
        <f t="shared" si="11"/>
        <v>0.001216671969</v>
      </c>
      <c r="Q130" s="15">
        <v>1470.0</v>
      </c>
      <c r="R130" s="11">
        <f t="shared" si="12"/>
        <v>0.001220178262</v>
      </c>
      <c r="S130" s="17">
        <v>1347.0</v>
      </c>
      <c r="T130" s="29">
        <f t="shared" si="13"/>
        <v>0.001206268297</v>
      </c>
      <c r="U130" s="15">
        <v>1623.0</v>
      </c>
      <c r="V130" s="11">
        <f t="shared" si="14"/>
        <v>0.001713196362</v>
      </c>
      <c r="W130" s="15">
        <v>1535.0</v>
      </c>
      <c r="X130" s="11">
        <f t="shared" si="15"/>
        <v>0.001546513795</v>
      </c>
      <c r="Y130" s="15">
        <v>485.0</v>
      </c>
      <c r="Z130" s="11">
        <f t="shared" si="16"/>
        <v>0.0008243995057</v>
      </c>
      <c r="AA130" s="15">
        <v>575.0</v>
      </c>
      <c r="AB130" s="11">
        <f t="shared" si="17"/>
        <v>0.0009465939902</v>
      </c>
      <c r="AC130" s="15">
        <v>1152.0</v>
      </c>
      <c r="AD130" s="11">
        <f t="shared" si="18"/>
        <v>0.0008889135809</v>
      </c>
      <c r="AE130" s="15">
        <v>271.0</v>
      </c>
      <c r="AF130" s="20">
        <f t="shared" si="20"/>
        <v>0.0004691340927</v>
      </c>
      <c r="AG130" s="19">
        <v>1422.0</v>
      </c>
      <c r="AH130" s="15">
        <v>977.0</v>
      </c>
      <c r="AI130" s="15">
        <v>1112.0</v>
      </c>
      <c r="AJ130" s="15">
        <v>867.0</v>
      </c>
    </row>
    <row r="131" ht="15.75" customHeight="1">
      <c r="A131" s="6" t="s">
        <v>78</v>
      </c>
      <c r="B131" s="6" t="s">
        <v>33</v>
      </c>
      <c r="C131" s="6" t="s">
        <v>60</v>
      </c>
      <c r="D131" s="4" t="s">
        <v>217</v>
      </c>
      <c r="E131" s="19">
        <f t="shared" si="2"/>
        <v>1071.8</v>
      </c>
      <c r="F131" s="11">
        <f t="shared" si="3"/>
        <v>0.001178027447</v>
      </c>
      <c r="G131" s="15">
        <f t="shared" si="4"/>
        <v>1127.8</v>
      </c>
      <c r="H131" s="11">
        <f t="shared" si="5"/>
        <v>0.001280869547</v>
      </c>
      <c r="I131" s="15">
        <f t="shared" si="6"/>
        <v>1015.8</v>
      </c>
      <c r="J131" s="20">
        <f t="shared" si="7"/>
        <v>0.001081608984</v>
      </c>
      <c r="K131" s="15">
        <f t="shared" si="8"/>
        <v>1212.666667</v>
      </c>
      <c r="L131" s="11">
        <f t="shared" si="9"/>
        <v>0.001039418474</v>
      </c>
      <c r="M131" s="19">
        <v>646.0</v>
      </c>
      <c r="N131" s="11">
        <f t="shared" si="10"/>
        <v>0.001096872893</v>
      </c>
      <c r="O131" s="15">
        <v>1229.0</v>
      </c>
      <c r="P131" s="11">
        <f t="shared" si="11"/>
        <v>0.001042740481</v>
      </c>
      <c r="Q131" s="15">
        <v>1236.0</v>
      </c>
      <c r="R131" s="11">
        <f t="shared" si="12"/>
        <v>0.001025945804</v>
      </c>
      <c r="S131" s="17">
        <v>1173.0</v>
      </c>
      <c r="T131" s="29">
        <f t="shared" si="13"/>
        <v>0.001050447448</v>
      </c>
      <c r="U131" s="15">
        <v>1189.0</v>
      </c>
      <c r="V131" s="11">
        <f t="shared" si="14"/>
        <v>0.00125507731</v>
      </c>
      <c r="W131" s="15">
        <v>1327.0</v>
      </c>
      <c r="X131" s="11">
        <f t="shared" si="15"/>
        <v>0.00133695362</v>
      </c>
      <c r="Y131" s="15">
        <v>629.0</v>
      </c>
      <c r="Z131" s="11">
        <f t="shared" si="16"/>
        <v>0.001069169668</v>
      </c>
      <c r="AA131" s="15">
        <v>812.0</v>
      </c>
      <c r="AB131" s="11">
        <f t="shared" si="17"/>
        <v>0.001336755339</v>
      </c>
      <c r="AC131" s="15">
        <v>1092.0</v>
      </c>
      <c r="AD131" s="11">
        <f t="shared" si="18"/>
        <v>0.0008426159986</v>
      </c>
      <c r="AE131" s="15">
        <v>1385.0</v>
      </c>
      <c r="AF131" s="20">
        <f t="shared" si="20"/>
        <v>0.002397604127</v>
      </c>
      <c r="AG131" s="19">
        <v>1199.0</v>
      </c>
      <c r="AH131" s="15">
        <v>808.0</v>
      </c>
      <c r="AI131" s="15">
        <v>919.0</v>
      </c>
      <c r="AJ131" s="15">
        <v>679.0</v>
      </c>
    </row>
    <row r="132" ht="15.75" customHeight="1">
      <c r="A132" s="6" t="s">
        <v>75</v>
      </c>
      <c r="B132" s="6" t="s">
        <v>33</v>
      </c>
      <c r="C132" s="6" t="s">
        <v>60</v>
      </c>
      <c r="D132" s="4" t="s">
        <v>218</v>
      </c>
      <c r="E132" s="19">
        <f t="shared" si="2"/>
        <v>1057.1</v>
      </c>
      <c r="F132" s="11">
        <f t="shared" si="3"/>
        <v>0.001161870512</v>
      </c>
      <c r="G132" s="15">
        <f t="shared" si="4"/>
        <v>906</v>
      </c>
      <c r="H132" s="11">
        <f t="shared" si="5"/>
        <v>0.00102896596</v>
      </c>
      <c r="I132" s="15">
        <f t="shared" si="6"/>
        <v>1208.2</v>
      </c>
      <c r="J132" s="20">
        <f t="shared" si="7"/>
        <v>0.001286473691</v>
      </c>
      <c r="K132" s="15">
        <f t="shared" si="8"/>
        <v>1618.666667</v>
      </c>
      <c r="L132" s="11">
        <f t="shared" si="9"/>
        <v>0.001387415094</v>
      </c>
      <c r="M132" s="19">
        <v>1185.0</v>
      </c>
      <c r="N132" s="11">
        <f t="shared" si="10"/>
        <v>0.002012065602</v>
      </c>
      <c r="O132" s="15">
        <v>1643.0</v>
      </c>
      <c r="P132" s="11">
        <f t="shared" si="11"/>
        <v>0.001393997243</v>
      </c>
      <c r="Q132" s="15">
        <v>1663.0</v>
      </c>
      <c r="R132" s="11">
        <f t="shared" si="12"/>
        <v>0.001380378537</v>
      </c>
      <c r="S132" s="17">
        <v>1550.0</v>
      </c>
      <c r="T132" s="29">
        <f t="shared" si="13"/>
        <v>0.001388059287</v>
      </c>
      <c r="U132" s="15">
        <v>890.0</v>
      </c>
      <c r="V132" s="11">
        <f t="shared" si="14"/>
        <v>0.0009394607284</v>
      </c>
      <c r="W132" s="15">
        <v>877.0</v>
      </c>
      <c r="X132" s="11">
        <f t="shared" si="15"/>
        <v>0.00088357824</v>
      </c>
      <c r="Y132" s="15">
        <v>542.0</v>
      </c>
      <c r="Z132" s="11">
        <f t="shared" si="16"/>
        <v>0.000921287695</v>
      </c>
      <c r="AA132" s="15">
        <v>643.0</v>
      </c>
      <c r="AB132" s="11">
        <f t="shared" si="17"/>
        <v>0.001058539019</v>
      </c>
      <c r="AC132" s="15">
        <v>1284.0</v>
      </c>
      <c r="AD132" s="11">
        <f t="shared" si="18"/>
        <v>0.0009907682621</v>
      </c>
      <c r="AE132" s="15">
        <v>294.0</v>
      </c>
      <c r="AF132" s="20">
        <f t="shared" si="20"/>
        <v>0.0005089499013</v>
      </c>
      <c r="AG132" s="19">
        <v>1594.0</v>
      </c>
      <c r="AH132" s="15">
        <v>1048.0</v>
      </c>
      <c r="AI132" s="15">
        <v>1322.0</v>
      </c>
      <c r="AJ132" s="15">
        <v>937.0</v>
      </c>
    </row>
    <row r="133" ht="15.75" customHeight="1">
      <c r="A133" s="6" t="s">
        <v>78</v>
      </c>
      <c r="B133" s="6" t="s">
        <v>33</v>
      </c>
      <c r="C133" s="6" t="s">
        <v>60</v>
      </c>
      <c r="D133" s="4" t="s">
        <v>219</v>
      </c>
      <c r="E133" s="19">
        <f t="shared" si="2"/>
        <v>1054.6</v>
      </c>
      <c r="F133" s="11">
        <f t="shared" si="3"/>
        <v>0.001159122733</v>
      </c>
      <c r="G133" s="15">
        <f t="shared" si="4"/>
        <v>953.6</v>
      </c>
      <c r="H133" s="11">
        <f t="shared" si="5"/>
        <v>0.001083026423</v>
      </c>
      <c r="I133" s="15">
        <f t="shared" si="6"/>
        <v>1155.6</v>
      </c>
      <c r="J133" s="20">
        <f t="shared" si="7"/>
        <v>0.00123046598</v>
      </c>
      <c r="K133" s="15">
        <f t="shared" si="8"/>
        <v>1420.333333</v>
      </c>
      <c r="L133" s="11">
        <f t="shared" si="9"/>
        <v>0.001217416745</v>
      </c>
      <c r="M133" s="19">
        <v>749.0</v>
      </c>
      <c r="N133" s="11">
        <f t="shared" si="10"/>
        <v>0.001271761296</v>
      </c>
      <c r="O133" s="15">
        <v>1436.0</v>
      </c>
      <c r="P133" s="11">
        <f t="shared" si="11"/>
        <v>0.001218368862</v>
      </c>
      <c r="Q133" s="15">
        <v>1464.0</v>
      </c>
      <c r="R133" s="11">
        <f t="shared" si="12"/>
        <v>0.001215197943</v>
      </c>
      <c r="S133" s="17">
        <v>1361.0</v>
      </c>
      <c r="T133" s="29">
        <f t="shared" si="13"/>
        <v>0.001218805606</v>
      </c>
      <c r="U133" s="15">
        <v>1196.0</v>
      </c>
      <c r="V133" s="11">
        <f t="shared" si="14"/>
        <v>0.001262466327</v>
      </c>
      <c r="W133" s="15">
        <v>1137.0</v>
      </c>
      <c r="X133" s="11">
        <f t="shared" si="15"/>
        <v>0.001145528459</v>
      </c>
      <c r="Y133" s="15">
        <v>882.0</v>
      </c>
      <c r="Z133" s="11">
        <f t="shared" si="16"/>
        <v>0.001499217245</v>
      </c>
      <c r="AA133" s="15">
        <v>635.0</v>
      </c>
      <c r="AB133" s="11">
        <f t="shared" si="17"/>
        <v>0.001045369015</v>
      </c>
      <c r="AC133" s="15">
        <v>1215.0</v>
      </c>
      <c r="AD133" s="11">
        <f t="shared" si="18"/>
        <v>0.0009375260424</v>
      </c>
      <c r="AE133" s="15">
        <v>471.0</v>
      </c>
      <c r="AF133" s="20">
        <f t="shared" si="20"/>
        <v>0.0008153585154</v>
      </c>
      <c r="AG133" s="19">
        <v>1385.0</v>
      </c>
      <c r="AH133" s="15">
        <v>923.0</v>
      </c>
      <c r="AI133" s="15">
        <v>1028.0</v>
      </c>
      <c r="AJ133" s="15">
        <v>666.0</v>
      </c>
    </row>
    <row r="134" ht="15.75" customHeight="1">
      <c r="A134" s="6" t="s">
        <v>75</v>
      </c>
      <c r="B134" s="6" t="s">
        <v>33</v>
      </c>
      <c r="C134" s="6" t="s">
        <v>54</v>
      </c>
      <c r="D134" s="4" t="s">
        <v>220</v>
      </c>
      <c r="E134" s="19">
        <f t="shared" si="2"/>
        <v>1005.9</v>
      </c>
      <c r="F134" s="11">
        <f t="shared" si="3"/>
        <v>0.001105596015</v>
      </c>
      <c r="G134" s="15">
        <f t="shared" si="4"/>
        <v>846.4</v>
      </c>
      <c r="H134" s="11">
        <f t="shared" si="5"/>
        <v>0.0009612768082</v>
      </c>
      <c r="I134" s="15">
        <f t="shared" si="6"/>
        <v>1165.4</v>
      </c>
      <c r="J134" s="20">
        <f t="shared" si="7"/>
        <v>0.001240900877</v>
      </c>
      <c r="K134" s="15">
        <f t="shared" si="8"/>
        <v>1480</v>
      </c>
      <c r="L134" s="11">
        <f t="shared" si="9"/>
        <v>0.001268559105</v>
      </c>
      <c r="M134" s="19">
        <v>722.0</v>
      </c>
      <c r="N134" s="11">
        <f t="shared" si="10"/>
        <v>0.001225916763</v>
      </c>
      <c r="O134" s="15">
        <v>1513.0</v>
      </c>
      <c r="P134" s="11">
        <f t="shared" si="11"/>
        <v>0.001283699226</v>
      </c>
      <c r="Q134" s="15">
        <v>1529.0</v>
      </c>
      <c r="R134" s="11">
        <f t="shared" si="12"/>
        <v>0.001269151403</v>
      </c>
      <c r="S134" s="17">
        <v>1398.0</v>
      </c>
      <c r="T134" s="29">
        <f t="shared" si="13"/>
        <v>0.001251939925</v>
      </c>
      <c r="U134" s="15">
        <v>915.0</v>
      </c>
      <c r="V134" s="11">
        <f t="shared" si="14"/>
        <v>0.0009658500747</v>
      </c>
      <c r="W134" s="15">
        <v>967.0</v>
      </c>
      <c r="X134" s="11">
        <f t="shared" si="15"/>
        <v>0.0009742533159</v>
      </c>
      <c r="Y134" s="15">
        <v>734.0</v>
      </c>
      <c r="Z134" s="11">
        <f t="shared" si="16"/>
        <v>0.001247647912</v>
      </c>
      <c r="AA134" s="15">
        <v>653.0</v>
      </c>
      <c r="AB134" s="11">
        <f t="shared" si="17"/>
        <v>0.001075001523</v>
      </c>
      <c r="AC134" s="15">
        <v>1511.0</v>
      </c>
      <c r="AD134" s="11">
        <f t="shared" si="18"/>
        <v>0.001165927449</v>
      </c>
      <c r="AE134" s="15">
        <v>117.0</v>
      </c>
      <c r="AF134" s="20">
        <f t="shared" si="20"/>
        <v>0.0002025412873</v>
      </c>
      <c r="AG134" s="19">
        <v>1450.0</v>
      </c>
      <c r="AH134" s="15">
        <v>994.0</v>
      </c>
      <c r="AI134" s="15">
        <v>1299.0</v>
      </c>
      <c r="AJ134" s="15">
        <v>882.0</v>
      </c>
    </row>
    <row r="135" ht="15.75" customHeight="1">
      <c r="A135" s="6" t="s">
        <v>78</v>
      </c>
      <c r="B135" s="6" t="s">
        <v>33</v>
      </c>
      <c r="C135" s="6" t="s">
        <v>62</v>
      </c>
      <c r="D135" s="4" t="s">
        <v>221</v>
      </c>
      <c r="E135" s="19">
        <f t="shared" si="2"/>
        <v>977.4</v>
      </c>
      <c r="F135" s="11">
        <f t="shared" si="3"/>
        <v>0.001074271344</v>
      </c>
      <c r="G135" s="15">
        <f t="shared" si="4"/>
        <v>843.4</v>
      </c>
      <c r="H135" s="11">
        <f t="shared" si="5"/>
        <v>0.0009578696361</v>
      </c>
      <c r="I135" s="15">
        <f t="shared" si="6"/>
        <v>1111.4</v>
      </c>
      <c r="J135" s="20">
        <f t="shared" si="7"/>
        <v>0.001183402466</v>
      </c>
      <c r="K135" s="15">
        <f t="shared" si="8"/>
        <v>1280.666667</v>
      </c>
      <c r="L135" s="11">
        <f t="shared" si="9"/>
        <v>0.001097703622</v>
      </c>
      <c r="M135" s="19">
        <v>706.0</v>
      </c>
      <c r="N135" s="11">
        <f t="shared" si="10"/>
        <v>0.001198749633</v>
      </c>
      <c r="O135" s="15">
        <v>1301.0</v>
      </c>
      <c r="P135" s="11">
        <f t="shared" si="11"/>
        <v>0.001103828614</v>
      </c>
      <c r="Q135" s="15">
        <v>1329.0</v>
      </c>
      <c r="R135" s="11">
        <f t="shared" si="12"/>
        <v>0.001103140755</v>
      </c>
      <c r="S135" s="17">
        <v>1212.0</v>
      </c>
      <c r="T135" s="29">
        <f t="shared" si="13"/>
        <v>0.00108537281</v>
      </c>
      <c r="U135" s="15">
        <v>984.0</v>
      </c>
      <c r="V135" s="11">
        <f t="shared" si="14"/>
        <v>0.001038684671</v>
      </c>
      <c r="W135" s="15">
        <v>994.0</v>
      </c>
      <c r="X135" s="11">
        <f t="shared" si="15"/>
        <v>0.001001455839</v>
      </c>
      <c r="Y135" s="15">
        <v>875.0</v>
      </c>
      <c r="Z135" s="11">
        <f t="shared" si="16"/>
        <v>0.001487318696</v>
      </c>
      <c r="AA135" s="15">
        <v>840.0</v>
      </c>
      <c r="AB135" s="11">
        <f t="shared" si="17"/>
        <v>0.001382850351</v>
      </c>
      <c r="AC135" s="15">
        <v>1408.0</v>
      </c>
      <c r="AD135" s="11">
        <f t="shared" si="18"/>
        <v>0.001086449932</v>
      </c>
      <c r="AE135" s="15">
        <v>125.0</v>
      </c>
      <c r="AF135" s="20">
        <f t="shared" si="20"/>
        <v>0.0002163902642</v>
      </c>
      <c r="AG135" s="19">
        <v>1291.0</v>
      </c>
      <c r="AH135" s="15">
        <v>902.0</v>
      </c>
      <c r="AI135" s="15">
        <v>1064.0</v>
      </c>
      <c r="AJ135" s="15">
        <v>708.0</v>
      </c>
    </row>
    <row r="136" ht="15.75" customHeight="1">
      <c r="A136" s="6" t="s">
        <v>78</v>
      </c>
      <c r="B136" s="6" t="s">
        <v>34</v>
      </c>
      <c r="C136" s="6" t="s">
        <v>52</v>
      </c>
      <c r="D136" s="4" t="s">
        <v>222</v>
      </c>
      <c r="E136" s="19">
        <f t="shared" si="2"/>
        <v>957.2</v>
      </c>
      <c r="F136" s="11">
        <f t="shared" si="3"/>
        <v>0.001052069297</v>
      </c>
      <c r="G136" s="15">
        <f t="shared" si="4"/>
        <v>940.4</v>
      </c>
      <c r="H136" s="11">
        <f t="shared" si="5"/>
        <v>0.001068034866</v>
      </c>
      <c r="I136" s="15">
        <f t="shared" si="6"/>
        <v>974</v>
      </c>
      <c r="J136" s="20">
        <f t="shared" si="7"/>
        <v>0.001037100956</v>
      </c>
      <c r="K136" s="15">
        <f t="shared" si="8"/>
        <v>1158</v>
      </c>
      <c r="L136" s="11">
        <f t="shared" si="9"/>
        <v>0.0009925617865</v>
      </c>
      <c r="M136" s="19">
        <v>705.0</v>
      </c>
      <c r="N136" s="11">
        <f t="shared" si="10"/>
        <v>0.001197051687</v>
      </c>
      <c r="O136" s="15">
        <v>1173.0</v>
      </c>
      <c r="P136" s="11">
        <f t="shared" si="11"/>
        <v>0.0009952274897</v>
      </c>
      <c r="Q136" s="15">
        <v>1191.0</v>
      </c>
      <c r="R136" s="11">
        <f t="shared" si="12"/>
        <v>0.0009885934084</v>
      </c>
      <c r="S136" s="17">
        <v>1110.0</v>
      </c>
      <c r="T136" s="29">
        <f t="shared" si="13"/>
        <v>0.000994029554</v>
      </c>
      <c r="U136" s="15">
        <v>1107.0</v>
      </c>
      <c r="V136" s="11">
        <f t="shared" si="14"/>
        <v>0.001168520254</v>
      </c>
      <c r="W136" s="15">
        <v>1223.0</v>
      </c>
      <c r="X136" s="11">
        <f t="shared" si="15"/>
        <v>0.001232173532</v>
      </c>
      <c r="Y136" s="15">
        <v>617.0</v>
      </c>
      <c r="Z136" s="11">
        <f t="shared" si="16"/>
        <v>0.001048772155</v>
      </c>
      <c r="AA136" s="15">
        <v>779.0</v>
      </c>
      <c r="AB136" s="11">
        <f t="shared" si="17"/>
        <v>0.001282429075</v>
      </c>
      <c r="AC136" s="15">
        <v>1147.0</v>
      </c>
      <c r="AD136" s="11">
        <f t="shared" si="18"/>
        <v>0.0008850554491</v>
      </c>
      <c r="AE136" s="15">
        <v>520.0</v>
      </c>
      <c r="AF136" s="20">
        <f t="shared" si="20"/>
        <v>0.0009001834989</v>
      </c>
      <c r="AG136" s="19">
        <v>1131.0</v>
      </c>
      <c r="AH136" s="15">
        <v>757.0</v>
      </c>
      <c r="AI136" s="15">
        <v>938.0</v>
      </c>
      <c r="AJ136" s="15">
        <v>608.0</v>
      </c>
    </row>
    <row r="137" ht="15.75" customHeight="1">
      <c r="A137" s="6" t="s">
        <v>75</v>
      </c>
      <c r="B137" s="6" t="s">
        <v>34</v>
      </c>
      <c r="C137" s="6" t="s">
        <v>60</v>
      </c>
      <c r="D137" s="4" t="s">
        <v>223</v>
      </c>
      <c r="E137" s="19">
        <f t="shared" si="2"/>
        <v>909.9</v>
      </c>
      <c r="F137" s="11">
        <f t="shared" si="3"/>
        <v>0.001000081334</v>
      </c>
      <c r="G137" s="15">
        <f t="shared" si="4"/>
        <v>898.2</v>
      </c>
      <c r="H137" s="11">
        <f t="shared" si="5"/>
        <v>0.001020107312</v>
      </c>
      <c r="I137" s="15">
        <f t="shared" si="6"/>
        <v>921.6</v>
      </c>
      <c r="J137" s="20">
        <f t="shared" si="7"/>
        <v>0.000981306202</v>
      </c>
      <c r="K137" s="15">
        <f t="shared" si="8"/>
        <v>1177.333333</v>
      </c>
      <c r="L137" s="11">
        <f t="shared" si="9"/>
        <v>0.001009133054</v>
      </c>
      <c r="M137" s="19">
        <v>618.0</v>
      </c>
      <c r="N137" s="11">
        <f t="shared" si="10"/>
        <v>0.001049330415</v>
      </c>
      <c r="O137" s="15">
        <v>1189.0</v>
      </c>
      <c r="P137" s="11">
        <f t="shared" si="11"/>
        <v>0.00100880263</v>
      </c>
      <c r="Q137" s="15">
        <v>1203.0</v>
      </c>
      <c r="R137" s="11">
        <f t="shared" si="12"/>
        <v>0.0009985540473</v>
      </c>
      <c r="S137" s="17">
        <v>1140.0</v>
      </c>
      <c r="T137" s="29">
        <f t="shared" si="13"/>
        <v>0.001020895218</v>
      </c>
      <c r="U137" s="15">
        <v>1234.0</v>
      </c>
      <c r="V137" s="11">
        <f t="shared" si="14"/>
        <v>0.001302578134</v>
      </c>
      <c r="W137" s="15">
        <v>1227.0</v>
      </c>
      <c r="X137" s="11">
        <f t="shared" si="15"/>
        <v>0.001236203535</v>
      </c>
      <c r="Y137" s="15">
        <v>548.0</v>
      </c>
      <c r="Z137" s="11">
        <f t="shared" si="16"/>
        <v>0.0009314864518</v>
      </c>
      <c r="AA137" s="15">
        <v>528.0</v>
      </c>
      <c r="AB137" s="11">
        <f t="shared" si="17"/>
        <v>0.0008692202206</v>
      </c>
      <c r="AC137" s="15">
        <v>1064.0</v>
      </c>
      <c r="AD137" s="11">
        <f t="shared" si="18"/>
        <v>0.0008210104602</v>
      </c>
      <c r="AE137" s="15">
        <v>348.0</v>
      </c>
      <c r="AF137" s="20">
        <f t="shared" si="20"/>
        <v>0.0006024304954</v>
      </c>
      <c r="AG137" s="19">
        <v>1164.0</v>
      </c>
      <c r="AH137" s="15">
        <v>800.0</v>
      </c>
      <c r="AI137" s="15">
        <v>925.0</v>
      </c>
      <c r="AJ137" s="15">
        <v>615.0</v>
      </c>
    </row>
    <row r="138" ht="15.75" customHeight="1">
      <c r="A138" s="6" t="s">
        <v>75</v>
      </c>
      <c r="B138" s="6" t="s">
        <v>34</v>
      </c>
      <c r="C138" s="6" t="s">
        <v>56</v>
      </c>
      <c r="D138" s="4" t="s">
        <v>224</v>
      </c>
      <c r="E138" s="19">
        <f t="shared" si="2"/>
        <v>889.2</v>
      </c>
      <c r="F138" s="11">
        <f t="shared" si="3"/>
        <v>0.0009773297312</v>
      </c>
      <c r="G138" s="15">
        <f t="shared" si="4"/>
        <v>880</v>
      </c>
      <c r="H138" s="11">
        <f t="shared" si="5"/>
        <v>0.0009994371352</v>
      </c>
      <c r="I138" s="15">
        <f t="shared" si="6"/>
        <v>898.4</v>
      </c>
      <c r="J138" s="20">
        <f t="shared" si="7"/>
        <v>0.0009566031813</v>
      </c>
      <c r="K138" s="15">
        <f t="shared" si="8"/>
        <v>1180</v>
      </c>
      <c r="L138" s="11">
        <f t="shared" si="9"/>
        <v>0.001011418746</v>
      </c>
      <c r="M138" s="19">
        <v>536.0</v>
      </c>
      <c r="N138" s="11">
        <f t="shared" si="10"/>
        <v>0.0009100988714</v>
      </c>
      <c r="O138" s="15">
        <v>1204.0</v>
      </c>
      <c r="P138" s="11">
        <f t="shared" si="11"/>
        <v>0.001021529324</v>
      </c>
      <c r="Q138" s="15">
        <v>1243.0</v>
      </c>
      <c r="R138" s="11">
        <f t="shared" si="12"/>
        <v>0.001031756177</v>
      </c>
      <c r="S138" s="17">
        <v>1093.0</v>
      </c>
      <c r="T138" s="29">
        <f t="shared" si="13"/>
        <v>0.000978805678</v>
      </c>
      <c r="U138" s="15">
        <v>1113.0</v>
      </c>
      <c r="V138" s="11">
        <f t="shared" si="14"/>
        <v>0.001174853697</v>
      </c>
      <c r="W138" s="15">
        <v>1094.0</v>
      </c>
      <c r="X138" s="11">
        <f t="shared" si="15"/>
        <v>0.001102205923</v>
      </c>
      <c r="Y138" s="15">
        <v>351.0</v>
      </c>
      <c r="Z138" s="11">
        <f t="shared" si="16"/>
        <v>0.0005966272711</v>
      </c>
      <c r="AA138" s="15">
        <v>601.0</v>
      </c>
      <c r="AB138" s="11">
        <f t="shared" si="17"/>
        <v>0.0009893965011</v>
      </c>
      <c r="AC138" s="15">
        <v>882.0</v>
      </c>
      <c r="AD138" s="11">
        <f t="shared" si="18"/>
        <v>0.0006805744604</v>
      </c>
      <c r="AE138" s="15">
        <v>775.0</v>
      </c>
      <c r="AF138" s="20">
        <f t="shared" si="20"/>
        <v>0.001341619638</v>
      </c>
      <c r="AG138" s="19">
        <v>1111.0</v>
      </c>
      <c r="AH138" s="15">
        <v>743.0</v>
      </c>
      <c r="AI138" s="15">
        <v>839.0</v>
      </c>
      <c r="AJ138" s="15">
        <v>585.0</v>
      </c>
    </row>
    <row r="139" ht="15.75" customHeight="1">
      <c r="A139" s="6" t="s">
        <v>78</v>
      </c>
      <c r="B139" s="6" t="s">
        <v>34</v>
      </c>
      <c r="C139" s="6" t="s">
        <v>62</v>
      </c>
      <c r="D139" s="4" t="s">
        <v>225</v>
      </c>
      <c r="E139" s="19">
        <f t="shared" si="2"/>
        <v>866.9</v>
      </c>
      <c r="F139" s="11">
        <f t="shared" si="3"/>
        <v>0.0009528195501</v>
      </c>
      <c r="G139" s="15">
        <f t="shared" si="4"/>
        <v>755.6</v>
      </c>
      <c r="H139" s="11">
        <f t="shared" si="5"/>
        <v>0.0008581530674</v>
      </c>
      <c r="I139" s="15">
        <f t="shared" si="6"/>
        <v>978.2</v>
      </c>
      <c r="J139" s="20">
        <f t="shared" si="7"/>
        <v>0.001041573054</v>
      </c>
      <c r="K139" s="15">
        <f t="shared" si="8"/>
        <v>1156.333333</v>
      </c>
      <c r="L139" s="11">
        <f t="shared" si="9"/>
        <v>0.000991133229</v>
      </c>
      <c r="M139" s="19">
        <v>457.0</v>
      </c>
      <c r="N139" s="11">
        <f t="shared" si="10"/>
        <v>0.0007759611646</v>
      </c>
      <c r="O139" s="15">
        <v>1179.0</v>
      </c>
      <c r="P139" s="11">
        <f t="shared" si="11"/>
        <v>0.001000318167</v>
      </c>
      <c r="Q139" s="15">
        <v>1199.0</v>
      </c>
      <c r="R139" s="11">
        <f t="shared" si="12"/>
        <v>0.0009952338343</v>
      </c>
      <c r="S139" s="17">
        <v>1091.0</v>
      </c>
      <c r="T139" s="29">
        <f t="shared" si="13"/>
        <v>0.0009770146337</v>
      </c>
      <c r="U139" s="15">
        <v>1054.0</v>
      </c>
      <c r="V139" s="11">
        <f t="shared" si="14"/>
        <v>0.00111257484</v>
      </c>
      <c r="W139" s="15">
        <v>1073.0</v>
      </c>
      <c r="X139" s="11">
        <f t="shared" si="15"/>
        <v>0.001081048405</v>
      </c>
      <c r="Y139" s="15">
        <v>642.0</v>
      </c>
      <c r="Z139" s="11">
        <f t="shared" si="16"/>
        <v>0.001091266975</v>
      </c>
      <c r="AA139" s="15">
        <v>780.0</v>
      </c>
      <c r="AB139" s="11">
        <f t="shared" si="17"/>
        <v>0.001284075326</v>
      </c>
      <c r="AC139" s="15">
        <v>906.0</v>
      </c>
      <c r="AD139" s="11">
        <f t="shared" si="18"/>
        <v>0.0006990934933</v>
      </c>
      <c r="AE139" s="15">
        <v>288.0</v>
      </c>
      <c r="AF139" s="20">
        <f t="shared" si="20"/>
        <v>0.0004985631686</v>
      </c>
      <c r="AG139" s="19">
        <v>828.0</v>
      </c>
      <c r="AH139" s="15">
        <v>628.0</v>
      </c>
      <c r="AI139" s="15">
        <v>660.0</v>
      </c>
      <c r="AJ139" s="15">
        <v>481.0</v>
      </c>
    </row>
    <row r="140" ht="15.75" customHeight="1">
      <c r="A140" s="6" t="s">
        <v>78</v>
      </c>
      <c r="B140" s="6" t="s">
        <v>34</v>
      </c>
      <c r="C140" s="6" t="s">
        <v>62</v>
      </c>
      <c r="D140" s="4" t="s">
        <v>226</v>
      </c>
      <c r="E140" s="19">
        <f t="shared" si="2"/>
        <v>833.3</v>
      </c>
      <c r="F140" s="11">
        <f t="shared" si="3"/>
        <v>0.0009158894118</v>
      </c>
      <c r="G140" s="15">
        <f t="shared" si="4"/>
        <v>1063.6</v>
      </c>
      <c r="H140" s="11">
        <f t="shared" si="5"/>
        <v>0.001207956065</v>
      </c>
      <c r="I140" s="15">
        <f t="shared" si="6"/>
        <v>603</v>
      </c>
      <c r="J140" s="20">
        <f t="shared" si="7"/>
        <v>0.0006420655814</v>
      </c>
      <c r="K140" s="15">
        <f t="shared" si="8"/>
        <v>818.6666667</v>
      </c>
      <c r="L140" s="11">
        <f t="shared" si="9"/>
        <v>0.0007017074691</v>
      </c>
      <c r="M140" s="19">
        <v>478.0</v>
      </c>
      <c r="N140" s="11">
        <f t="shared" si="10"/>
        <v>0.0008116180234</v>
      </c>
      <c r="O140" s="15">
        <v>847.0</v>
      </c>
      <c r="P140" s="11">
        <f t="shared" si="11"/>
        <v>0.0007186340015</v>
      </c>
      <c r="Q140" s="15">
        <v>853.0</v>
      </c>
      <c r="R140" s="11">
        <f t="shared" si="12"/>
        <v>0.0007080354134</v>
      </c>
      <c r="S140" s="17">
        <v>756.0</v>
      </c>
      <c r="T140" s="29">
        <f t="shared" si="13"/>
        <v>0.0006770147233</v>
      </c>
      <c r="U140" s="15">
        <v>1530.0</v>
      </c>
      <c r="V140" s="11">
        <f t="shared" si="14"/>
        <v>0.001615027994</v>
      </c>
      <c r="W140" s="15">
        <v>1451.0</v>
      </c>
      <c r="X140" s="11">
        <f t="shared" si="15"/>
        <v>0.001461883724</v>
      </c>
      <c r="Y140" s="15">
        <v>237.0</v>
      </c>
      <c r="Z140" s="11">
        <f t="shared" si="16"/>
        <v>0.0004028508925</v>
      </c>
      <c r="AA140" s="15">
        <v>322.0</v>
      </c>
      <c r="AB140" s="11">
        <f t="shared" si="17"/>
        <v>0.0005300926345</v>
      </c>
      <c r="AC140" s="15">
        <v>812.0</v>
      </c>
      <c r="AD140" s="11">
        <f t="shared" si="18"/>
        <v>0.0006265606143</v>
      </c>
      <c r="AE140" s="15">
        <v>1047.0</v>
      </c>
      <c r="AF140" s="20">
        <f t="shared" si="20"/>
        <v>0.001812484853</v>
      </c>
      <c r="AG140" s="19">
        <v>790.0</v>
      </c>
      <c r="AH140" s="15">
        <v>552.0</v>
      </c>
      <c r="AI140" s="15">
        <v>636.0</v>
      </c>
      <c r="AJ140" s="15">
        <v>448.0</v>
      </c>
    </row>
    <row r="141" ht="15.75" customHeight="1">
      <c r="A141" s="6" t="s">
        <v>78</v>
      </c>
      <c r="B141" s="6" t="s">
        <v>34</v>
      </c>
      <c r="C141" s="6" t="s">
        <v>52</v>
      </c>
      <c r="D141" s="4" t="s">
        <v>227</v>
      </c>
      <c r="E141" s="19">
        <f t="shared" si="2"/>
        <v>800.6</v>
      </c>
      <c r="F141" s="11">
        <f t="shared" si="3"/>
        <v>0.0008799484737</v>
      </c>
      <c r="G141" s="15">
        <f t="shared" si="4"/>
        <v>825.2</v>
      </c>
      <c r="H141" s="11">
        <f t="shared" si="5"/>
        <v>0.000937199459</v>
      </c>
      <c r="I141" s="15">
        <f t="shared" si="6"/>
        <v>776</v>
      </c>
      <c r="J141" s="20">
        <f t="shared" si="7"/>
        <v>0.0008262734514</v>
      </c>
      <c r="K141" s="15">
        <f t="shared" si="8"/>
        <v>958.6666667</v>
      </c>
      <c r="L141" s="11">
        <f t="shared" si="9"/>
        <v>0.0008217063034</v>
      </c>
      <c r="M141" s="19">
        <v>477.0</v>
      </c>
      <c r="N141" s="11">
        <f t="shared" si="10"/>
        <v>0.0008099200777</v>
      </c>
      <c r="O141" s="15">
        <v>976.0</v>
      </c>
      <c r="P141" s="11">
        <f t="shared" si="11"/>
        <v>0.000828083572</v>
      </c>
      <c r="Q141" s="15">
        <v>997.0</v>
      </c>
      <c r="R141" s="11">
        <f t="shared" si="12"/>
        <v>0.0008275630799</v>
      </c>
      <c r="S141" s="17">
        <v>903.0</v>
      </c>
      <c r="T141" s="29">
        <f t="shared" si="13"/>
        <v>0.000808656475</v>
      </c>
      <c r="U141" s="15">
        <v>1361.0</v>
      </c>
      <c r="V141" s="11">
        <f t="shared" si="14"/>
        <v>0.001436636013</v>
      </c>
      <c r="W141" s="15">
        <v>1228.0</v>
      </c>
      <c r="X141" s="11">
        <f t="shared" si="15"/>
        <v>0.001237211036</v>
      </c>
      <c r="Y141" s="15">
        <v>539.0</v>
      </c>
      <c r="Z141" s="11">
        <f t="shared" si="16"/>
        <v>0.0009161883166</v>
      </c>
      <c r="AA141" s="15">
        <v>465.0</v>
      </c>
      <c r="AB141" s="11">
        <f t="shared" si="17"/>
        <v>0.0007655064442</v>
      </c>
      <c r="AC141" s="15">
        <v>945.0</v>
      </c>
      <c r="AD141" s="11">
        <f t="shared" si="18"/>
        <v>0.0007291869219</v>
      </c>
      <c r="AE141" s="15">
        <v>115.0</v>
      </c>
      <c r="AF141" s="20">
        <f t="shared" si="20"/>
        <v>0.000199079043</v>
      </c>
      <c r="AG141" s="19">
        <v>953.0</v>
      </c>
      <c r="AH141" s="15">
        <v>674.0</v>
      </c>
      <c r="AI141" s="15">
        <v>774.0</v>
      </c>
      <c r="AJ141" s="15">
        <v>419.0</v>
      </c>
    </row>
    <row r="142" ht="15.75" customHeight="1">
      <c r="A142" s="6" t="s">
        <v>73</v>
      </c>
      <c r="B142" s="6" t="s">
        <v>34</v>
      </c>
      <c r="C142" s="6" t="s">
        <v>60</v>
      </c>
      <c r="D142" s="4" t="s">
        <v>228</v>
      </c>
      <c r="E142" s="19">
        <f t="shared" si="2"/>
        <v>789.1</v>
      </c>
      <c r="F142" s="11">
        <f t="shared" si="3"/>
        <v>0.0008673086942</v>
      </c>
      <c r="G142" s="15">
        <f t="shared" si="4"/>
        <v>623.4</v>
      </c>
      <c r="H142" s="11">
        <f t="shared" si="5"/>
        <v>0.0007080103524</v>
      </c>
      <c r="I142" s="15">
        <f t="shared" si="6"/>
        <v>954.8</v>
      </c>
      <c r="J142" s="20">
        <f t="shared" si="7"/>
        <v>0.001016657076</v>
      </c>
      <c r="K142" s="15">
        <f t="shared" si="8"/>
        <v>1162.333333</v>
      </c>
      <c r="L142" s="11">
        <f t="shared" si="9"/>
        <v>0.0009962760362</v>
      </c>
      <c r="M142" s="19">
        <v>622.0</v>
      </c>
      <c r="N142" s="11">
        <f t="shared" si="10"/>
        <v>0.001056122198</v>
      </c>
      <c r="O142" s="15">
        <v>1175.0</v>
      </c>
      <c r="P142" s="11">
        <f t="shared" si="11"/>
        <v>0.0009969243822</v>
      </c>
      <c r="Q142" s="15">
        <v>1188.0</v>
      </c>
      <c r="R142" s="11">
        <f t="shared" si="12"/>
        <v>0.0009861032487</v>
      </c>
      <c r="S142" s="17">
        <v>1124.0</v>
      </c>
      <c r="T142" s="29">
        <f t="shared" si="13"/>
        <v>0.001006566864</v>
      </c>
      <c r="U142" s="15">
        <v>556.0</v>
      </c>
      <c r="V142" s="11">
        <f t="shared" si="14"/>
        <v>0.0005868990618</v>
      </c>
      <c r="W142" s="15">
        <v>559.0</v>
      </c>
      <c r="X142" s="11">
        <f t="shared" si="15"/>
        <v>0.0005631929717</v>
      </c>
      <c r="Y142" s="15">
        <v>601.0</v>
      </c>
      <c r="Z142" s="11">
        <f t="shared" si="16"/>
        <v>0.00102157547</v>
      </c>
      <c r="AA142" s="15">
        <v>686.0</v>
      </c>
      <c r="AB142" s="11">
        <f t="shared" si="17"/>
        <v>0.001129327787</v>
      </c>
      <c r="AC142" s="15">
        <v>1079.0</v>
      </c>
      <c r="AD142" s="11">
        <f t="shared" si="18"/>
        <v>0.0008325848558</v>
      </c>
      <c r="AE142" s="15">
        <v>301.0</v>
      </c>
      <c r="AF142" s="20">
        <f t="shared" si="20"/>
        <v>0.0005210677561</v>
      </c>
      <c r="AG142" s="19">
        <v>1145.0</v>
      </c>
      <c r="AH142" s="15">
        <v>765.0</v>
      </c>
      <c r="AI142" s="15">
        <v>946.0</v>
      </c>
      <c r="AJ142" s="15">
        <v>692.0</v>
      </c>
    </row>
    <row r="143" ht="15.75" customHeight="1">
      <c r="A143" s="6" t="s">
        <v>75</v>
      </c>
      <c r="B143" s="6" t="s">
        <v>34</v>
      </c>
      <c r="C143" s="6" t="s">
        <v>56</v>
      </c>
      <c r="D143" s="4" t="s">
        <v>229</v>
      </c>
      <c r="E143" s="19">
        <f t="shared" si="2"/>
        <v>787.1</v>
      </c>
      <c r="F143" s="11">
        <f t="shared" si="3"/>
        <v>0.0008651104717</v>
      </c>
      <c r="G143" s="15">
        <f t="shared" si="4"/>
        <v>885.6</v>
      </c>
      <c r="H143" s="11">
        <f t="shared" si="5"/>
        <v>0.00100579719</v>
      </c>
      <c r="I143" s="15">
        <f t="shared" si="6"/>
        <v>688.6</v>
      </c>
      <c r="J143" s="20">
        <f t="shared" si="7"/>
        <v>0.0007332112095</v>
      </c>
      <c r="K143" s="15">
        <f t="shared" si="8"/>
        <v>860.3333333</v>
      </c>
      <c r="L143" s="11">
        <f t="shared" si="9"/>
        <v>0.0007374214079</v>
      </c>
      <c r="M143" s="19">
        <v>545.0</v>
      </c>
      <c r="N143" s="11">
        <f t="shared" si="10"/>
        <v>0.0009253803823</v>
      </c>
      <c r="O143" s="15">
        <v>887.0</v>
      </c>
      <c r="P143" s="11">
        <f t="shared" si="11"/>
        <v>0.0007525718528</v>
      </c>
      <c r="Q143" s="15">
        <v>897.0</v>
      </c>
      <c r="R143" s="11">
        <f t="shared" si="12"/>
        <v>0.0007445577559</v>
      </c>
      <c r="S143" s="17">
        <v>797.0</v>
      </c>
      <c r="T143" s="29">
        <f t="shared" si="13"/>
        <v>0.0007137311302</v>
      </c>
      <c r="U143" s="15">
        <v>1103.0</v>
      </c>
      <c r="V143" s="11">
        <f t="shared" si="14"/>
        <v>0.001164297959</v>
      </c>
      <c r="W143" s="15">
        <v>1120.0</v>
      </c>
      <c r="X143" s="11">
        <f t="shared" si="15"/>
        <v>0.001128400945</v>
      </c>
      <c r="Y143" s="15">
        <v>330.0</v>
      </c>
      <c r="Z143" s="11">
        <f t="shared" si="16"/>
        <v>0.0005609316224</v>
      </c>
      <c r="AA143" s="15">
        <v>532.0</v>
      </c>
      <c r="AB143" s="11">
        <f t="shared" si="17"/>
        <v>0.0008758052222</v>
      </c>
      <c r="AC143" s="15">
        <v>773.0</v>
      </c>
      <c r="AD143" s="11">
        <f t="shared" si="18"/>
        <v>0.0005964671858</v>
      </c>
      <c r="AE143" s="15">
        <v>887.0</v>
      </c>
      <c r="AF143" s="20">
        <f t="shared" si="20"/>
        <v>0.001535505315</v>
      </c>
      <c r="AG143" s="19">
        <v>842.0</v>
      </c>
      <c r="AH143" s="15">
        <v>547.0</v>
      </c>
      <c r="AI143" s="15">
        <v>644.0</v>
      </c>
      <c r="AJ143" s="15">
        <v>474.0</v>
      </c>
    </row>
    <row r="144" ht="15.75" customHeight="1">
      <c r="A144" s="6" t="s">
        <v>75</v>
      </c>
      <c r="B144" s="6" t="s">
        <v>34</v>
      </c>
      <c r="C144" s="6" t="s">
        <v>60</v>
      </c>
      <c r="D144" s="4" t="s">
        <v>230</v>
      </c>
      <c r="E144" s="19">
        <f t="shared" si="2"/>
        <v>746.4</v>
      </c>
      <c r="F144" s="11">
        <f t="shared" si="3"/>
        <v>0.0008203766434</v>
      </c>
      <c r="G144" s="15">
        <f t="shared" si="4"/>
        <v>701.4</v>
      </c>
      <c r="H144" s="11">
        <f t="shared" si="5"/>
        <v>0.0007965968257</v>
      </c>
      <c r="I144" s="15">
        <f t="shared" si="6"/>
        <v>791.4</v>
      </c>
      <c r="J144" s="20">
        <f t="shared" si="7"/>
        <v>0.0008426711461</v>
      </c>
      <c r="K144" s="15">
        <f t="shared" si="8"/>
        <v>1043.666667</v>
      </c>
      <c r="L144" s="11">
        <f t="shared" si="9"/>
        <v>0.0008945627385</v>
      </c>
      <c r="M144" s="19">
        <v>479.0</v>
      </c>
      <c r="N144" s="11">
        <f t="shared" si="10"/>
        <v>0.000813315969</v>
      </c>
      <c r="O144" s="15">
        <v>1055.0</v>
      </c>
      <c r="P144" s="11">
        <f t="shared" si="11"/>
        <v>0.0008951108283</v>
      </c>
      <c r="Q144" s="15">
        <v>1072.0</v>
      </c>
      <c r="R144" s="11">
        <f t="shared" si="12"/>
        <v>0.0008898170729</v>
      </c>
      <c r="S144" s="17">
        <v>1004.0</v>
      </c>
      <c r="T144" s="29">
        <f t="shared" si="13"/>
        <v>0.0008991042092</v>
      </c>
      <c r="U144" s="15">
        <v>1062.0</v>
      </c>
      <c r="V144" s="11">
        <f t="shared" si="14"/>
        <v>0.001121019431</v>
      </c>
      <c r="W144" s="15">
        <v>1031.0</v>
      </c>
      <c r="X144" s="11">
        <f t="shared" si="15"/>
        <v>0.00103873337</v>
      </c>
      <c r="Y144" s="15">
        <v>406.0</v>
      </c>
      <c r="Z144" s="11">
        <f t="shared" si="16"/>
        <v>0.0006901158749</v>
      </c>
      <c r="AA144" s="15">
        <v>420.0</v>
      </c>
      <c r="AB144" s="11">
        <f t="shared" si="17"/>
        <v>0.0006914251754</v>
      </c>
      <c r="AC144" s="15">
        <v>811.0</v>
      </c>
      <c r="AD144" s="11">
        <f t="shared" si="18"/>
        <v>0.000625788988</v>
      </c>
      <c r="AE144" s="15">
        <v>124.0</v>
      </c>
      <c r="AF144" s="20">
        <f t="shared" si="20"/>
        <v>0.0002146591421</v>
      </c>
      <c r="AG144" s="19">
        <v>1021.0</v>
      </c>
      <c r="AH144" s="15">
        <v>682.0</v>
      </c>
      <c r="AI144" s="15">
        <v>878.0</v>
      </c>
      <c r="AJ144" s="15">
        <v>580.0</v>
      </c>
    </row>
    <row r="145" ht="15.75" customHeight="1">
      <c r="A145" s="6" t="s">
        <v>78</v>
      </c>
      <c r="B145" s="6" t="s">
        <v>34</v>
      </c>
      <c r="C145" s="6" t="s">
        <v>52</v>
      </c>
      <c r="D145" s="4" t="s">
        <v>231</v>
      </c>
      <c r="E145" s="19">
        <f t="shared" si="2"/>
        <v>737.6</v>
      </c>
      <c r="F145" s="11">
        <f t="shared" si="3"/>
        <v>0.0008107044644</v>
      </c>
      <c r="G145" s="15">
        <f t="shared" si="4"/>
        <v>643.2</v>
      </c>
      <c r="H145" s="11">
        <f t="shared" si="5"/>
        <v>0.0007304976879</v>
      </c>
      <c r="I145" s="15">
        <f t="shared" si="6"/>
        <v>832</v>
      </c>
      <c r="J145" s="20">
        <f t="shared" si="7"/>
        <v>0.0008859014324</v>
      </c>
      <c r="K145" s="15">
        <f t="shared" si="8"/>
        <v>1027.333333</v>
      </c>
      <c r="L145" s="11">
        <f t="shared" si="9"/>
        <v>0.0008805628745</v>
      </c>
      <c r="M145" s="19">
        <v>597.0</v>
      </c>
      <c r="N145" s="11">
        <f t="shared" si="10"/>
        <v>0.001013673556</v>
      </c>
      <c r="O145" s="15">
        <v>1049.0</v>
      </c>
      <c r="P145" s="11">
        <f t="shared" si="11"/>
        <v>0.0008900201506</v>
      </c>
      <c r="Q145" s="15">
        <v>1058.0</v>
      </c>
      <c r="R145" s="11">
        <f t="shared" si="12"/>
        <v>0.0008781963275</v>
      </c>
      <c r="S145" s="17">
        <v>975.0</v>
      </c>
      <c r="T145" s="29">
        <f t="shared" si="13"/>
        <v>0.0008731340677</v>
      </c>
      <c r="U145" s="15">
        <v>680.0</v>
      </c>
      <c r="V145" s="11">
        <f t="shared" si="14"/>
        <v>0.0007177902195</v>
      </c>
      <c r="W145" s="15">
        <v>701.0</v>
      </c>
      <c r="X145" s="11">
        <f t="shared" si="15"/>
        <v>0.0007062580915</v>
      </c>
      <c r="Y145" s="15">
        <v>565.0</v>
      </c>
      <c r="Z145" s="11">
        <f t="shared" si="16"/>
        <v>0.0009603829293</v>
      </c>
      <c r="AA145" s="15">
        <v>513.0</v>
      </c>
      <c r="AB145" s="11">
        <f t="shared" si="17"/>
        <v>0.0008445264643</v>
      </c>
      <c r="AC145" s="15">
        <v>1161.0</v>
      </c>
      <c r="AD145" s="11">
        <f t="shared" si="18"/>
        <v>0.0008958582183</v>
      </c>
      <c r="AE145" s="15">
        <v>77.0</v>
      </c>
      <c r="AF145" s="20">
        <f t="shared" si="20"/>
        <v>0.0001332964027</v>
      </c>
      <c r="AG145" s="19">
        <v>1004.0</v>
      </c>
      <c r="AH145" s="15">
        <v>675.0</v>
      </c>
      <c r="AI145" s="15">
        <v>785.0</v>
      </c>
      <c r="AJ145" s="15">
        <v>500.0</v>
      </c>
    </row>
    <row r="146" ht="15.75" customHeight="1">
      <c r="A146" s="6" t="s">
        <v>78</v>
      </c>
      <c r="B146" s="6" t="s">
        <v>34</v>
      </c>
      <c r="C146" s="6" t="s">
        <v>60</v>
      </c>
      <c r="D146" s="4" t="s">
        <v>232</v>
      </c>
      <c r="E146" s="19">
        <f t="shared" si="2"/>
        <v>733.9</v>
      </c>
      <c r="F146" s="11">
        <f t="shared" si="3"/>
        <v>0.0008066377527</v>
      </c>
      <c r="G146" s="15">
        <f t="shared" si="4"/>
        <v>588.4</v>
      </c>
      <c r="H146" s="11">
        <f t="shared" si="5"/>
        <v>0.0006682600117</v>
      </c>
      <c r="I146" s="15">
        <f t="shared" si="6"/>
        <v>879.4</v>
      </c>
      <c r="J146" s="20">
        <f t="shared" si="7"/>
        <v>0.0009363722592</v>
      </c>
      <c r="K146" s="15">
        <f t="shared" si="8"/>
        <v>1092</v>
      </c>
      <c r="L146" s="11">
        <f t="shared" si="9"/>
        <v>0.0009359909075</v>
      </c>
      <c r="M146" s="19">
        <v>600.0</v>
      </c>
      <c r="N146" s="11">
        <f t="shared" si="10"/>
        <v>0.001018767393</v>
      </c>
      <c r="O146" s="15">
        <v>1114.0</v>
      </c>
      <c r="P146" s="11">
        <f t="shared" si="11"/>
        <v>0.000945169159</v>
      </c>
      <c r="Q146" s="15">
        <v>1121.0</v>
      </c>
      <c r="R146" s="11">
        <f t="shared" si="12"/>
        <v>0.0009304896816</v>
      </c>
      <c r="S146" s="17">
        <v>1041.0</v>
      </c>
      <c r="T146" s="29">
        <f t="shared" si="13"/>
        <v>0.0009322385277</v>
      </c>
      <c r="U146" s="15">
        <v>551.0</v>
      </c>
      <c r="V146" s="11">
        <f t="shared" si="14"/>
        <v>0.0005816211925</v>
      </c>
      <c r="W146" s="15">
        <v>582.0</v>
      </c>
      <c r="X146" s="11">
        <f t="shared" si="15"/>
        <v>0.0005863654911</v>
      </c>
      <c r="Y146" s="15">
        <v>576.0</v>
      </c>
      <c r="Z146" s="11">
        <f t="shared" si="16"/>
        <v>0.0009790806501</v>
      </c>
      <c r="AA146" s="15">
        <v>545.0</v>
      </c>
      <c r="AB146" s="11">
        <f t="shared" si="17"/>
        <v>0.0008972064777</v>
      </c>
      <c r="AC146" s="15">
        <v>1053.0</v>
      </c>
      <c r="AD146" s="11">
        <f t="shared" si="18"/>
        <v>0.0008125225701</v>
      </c>
      <c r="AE146" s="15">
        <v>156.0</v>
      </c>
      <c r="AF146" s="20">
        <f t="shared" si="20"/>
        <v>0.0002700550497</v>
      </c>
      <c r="AG146" s="19">
        <v>1082.0</v>
      </c>
      <c r="AH146" s="15">
        <v>750.0</v>
      </c>
      <c r="AI146" s="15">
        <v>900.0</v>
      </c>
      <c r="AJ146" s="15">
        <v>603.0</v>
      </c>
    </row>
    <row r="147" ht="15.75" customHeight="1">
      <c r="A147" s="6" t="s">
        <v>78</v>
      </c>
      <c r="B147" s="6" t="s">
        <v>34</v>
      </c>
      <c r="C147" s="6" t="s">
        <v>62</v>
      </c>
      <c r="D147" s="4" t="s">
        <v>233</v>
      </c>
      <c r="E147" s="19">
        <f t="shared" si="2"/>
        <v>730.3</v>
      </c>
      <c r="F147" s="11">
        <f t="shared" si="3"/>
        <v>0.0008026809522</v>
      </c>
      <c r="G147" s="15">
        <f t="shared" si="4"/>
        <v>549.6</v>
      </c>
      <c r="H147" s="11">
        <f t="shared" si="5"/>
        <v>0.0006241939199</v>
      </c>
      <c r="I147" s="15">
        <f t="shared" si="6"/>
        <v>911</v>
      </c>
      <c r="J147" s="20">
        <f t="shared" si="7"/>
        <v>0.0009700194771</v>
      </c>
      <c r="K147" s="15">
        <f t="shared" si="8"/>
        <v>1031.333333</v>
      </c>
      <c r="L147" s="11">
        <f t="shared" si="9"/>
        <v>0.0008839914127</v>
      </c>
      <c r="M147" s="19">
        <v>476.0</v>
      </c>
      <c r="N147" s="11">
        <f t="shared" si="10"/>
        <v>0.000808222132</v>
      </c>
      <c r="O147" s="15">
        <v>1070.0</v>
      </c>
      <c r="P147" s="11">
        <f t="shared" si="11"/>
        <v>0.0009078375225</v>
      </c>
      <c r="Q147" s="15">
        <v>1096.0</v>
      </c>
      <c r="R147" s="11">
        <f t="shared" si="12"/>
        <v>0.0009097383506</v>
      </c>
      <c r="S147" s="17">
        <v>928.0</v>
      </c>
      <c r="T147" s="29">
        <f t="shared" si="13"/>
        <v>0.000831044528</v>
      </c>
      <c r="U147" s="15">
        <v>634.0</v>
      </c>
      <c r="V147" s="11">
        <f t="shared" si="14"/>
        <v>0.0006692338223</v>
      </c>
      <c r="W147" s="15">
        <v>597.0</v>
      </c>
      <c r="X147" s="11">
        <f t="shared" si="15"/>
        <v>0.0006014780037</v>
      </c>
      <c r="Y147" s="15">
        <v>679.0</v>
      </c>
      <c r="Z147" s="11">
        <f t="shared" si="16"/>
        <v>0.001154159308</v>
      </c>
      <c r="AA147" s="15">
        <v>782.0</v>
      </c>
      <c r="AB147" s="11">
        <f t="shared" si="17"/>
        <v>0.001287367827</v>
      </c>
      <c r="AC147" s="15">
        <v>921.0</v>
      </c>
      <c r="AD147" s="11">
        <f t="shared" si="18"/>
        <v>0.0007106678889</v>
      </c>
      <c r="AE147" s="15">
        <v>120.0</v>
      </c>
      <c r="AF147" s="20">
        <f t="shared" si="20"/>
        <v>0.0002077346536</v>
      </c>
      <c r="AG147" s="19">
        <v>1041.0</v>
      </c>
      <c r="AH147" s="15">
        <v>699.0</v>
      </c>
      <c r="AI147" s="15">
        <v>823.0</v>
      </c>
      <c r="AJ147" s="15">
        <v>586.0</v>
      </c>
    </row>
    <row r="148" ht="15.75" customHeight="1">
      <c r="A148" s="6" t="s">
        <v>75</v>
      </c>
      <c r="B148" s="6" t="s">
        <v>34</v>
      </c>
      <c r="C148" s="6" t="s">
        <v>54</v>
      </c>
      <c r="D148" s="4" t="s">
        <v>234</v>
      </c>
      <c r="E148" s="19">
        <f t="shared" si="2"/>
        <v>635.6</v>
      </c>
      <c r="F148" s="11">
        <f t="shared" si="3"/>
        <v>0.000698595116</v>
      </c>
      <c r="G148" s="15">
        <f t="shared" si="4"/>
        <v>465.2</v>
      </c>
      <c r="H148" s="11">
        <f t="shared" si="5"/>
        <v>0.0005283388128</v>
      </c>
      <c r="I148" s="15">
        <f t="shared" si="6"/>
        <v>806</v>
      </c>
      <c r="J148" s="20">
        <f t="shared" si="7"/>
        <v>0.0008582170126</v>
      </c>
      <c r="K148" s="15">
        <f t="shared" si="8"/>
        <v>1031.666667</v>
      </c>
      <c r="L148" s="11">
        <f t="shared" si="9"/>
        <v>0.0008842771242</v>
      </c>
      <c r="M148" s="19">
        <v>502.0</v>
      </c>
      <c r="N148" s="11">
        <f t="shared" si="10"/>
        <v>0.0008523687191</v>
      </c>
      <c r="O148" s="15">
        <v>1051.0</v>
      </c>
      <c r="P148" s="11">
        <f t="shared" si="11"/>
        <v>0.0008917170432</v>
      </c>
      <c r="Q148" s="15">
        <v>1053.0</v>
      </c>
      <c r="R148" s="11">
        <f t="shared" si="12"/>
        <v>0.0008740460613</v>
      </c>
      <c r="S148" s="17">
        <v>991.0</v>
      </c>
      <c r="T148" s="29">
        <f t="shared" si="13"/>
        <v>0.0008874624217</v>
      </c>
      <c r="U148" s="15">
        <v>295.0</v>
      </c>
      <c r="V148" s="11">
        <f t="shared" si="14"/>
        <v>0.0003113942864</v>
      </c>
      <c r="W148" s="15">
        <v>324.0</v>
      </c>
      <c r="X148" s="11">
        <f t="shared" si="15"/>
        <v>0.0003264302734</v>
      </c>
      <c r="Y148" s="15">
        <v>455.0</v>
      </c>
      <c r="Z148" s="11">
        <f t="shared" si="16"/>
        <v>0.0007734057218</v>
      </c>
      <c r="AA148" s="15">
        <v>480.0</v>
      </c>
      <c r="AB148" s="11">
        <f t="shared" si="17"/>
        <v>0.0007902002005</v>
      </c>
      <c r="AC148" s="15">
        <v>992.0</v>
      </c>
      <c r="AD148" s="11">
        <f t="shared" si="18"/>
        <v>0.0007654533614</v>
      </c>
      <c r="AE148" s="15">
        <v>213.0</v>
      </c>
      <c r="AF148" s="20">
        <f t="shared" si="20"/>
        <v>0.0003687290101</v>
      </c>
      <c r="AG148" s="19">
        <v>996.0</v>
      </c>
      <c r="AH148" s="15">
        <v>671.0</v>
      </c>
      <c r="AI148" s="15">
        <v>887.0</v>
      </c>
      <c r="AJ148" s="15">
        <v>656.0</v>
      </c>
    </row>
    <row r="149" ht="15.75" customHeight="1">
      <c r="A149" s="6" t="s">
        <v>75</v>
      </c>
      <c r="B149" s="6" t="s">
        <v>34</v>
      </c>
      <c r="C149" s="6" t="s">
        <v>54</v>
      </c>
      <c r="D149" s="4" t="s">
        <v>235</v>
      </c>
      <c r="E149" s="19">
        <f t="shared" si="2"/>
        <v>630.8</v>
      </c>
      <c r="F149" s="11">
        <f t="shared" si="3"/>
        <v>0.0006933193819</v>
      </c>
      <c r="G149" s="15">
        <f t="shared" si="4"/>
        <v>626.2</v>
      </c>
      <c r="H149" s="11">
        <f t="shared" si="5"/>
        <v>0.0007111903796</v>
      </c>
      <c r="I149" s="15">
        <f t="shared" si="6"/>
        <v>635.4</v>
      </c>
      <c r="J149" s="20">
        <f t="shared" si="7"/>
        <v>0.0006765646276</v>
      </c>
      <c r="K149" s="15">
        <f t="shared" si="8"/>
        <v>780</v>
      </c>
      <c r="L149" s="11">
        <f t="shared" si="9"/>
        <v>0.0006685649339</v>
      </c>
      <c r="M149" s="19">
        <v>470.0</v>
      </c>
      <c r="N149" s="11">
        <f t="shared" si="10"/>
        <v>0.0007980344581</v>
      </c>
      <c r="O149" s="15">
        <v>805.0</v>
      </c>
      <c r="P149" s="11">
        <f t="shared" si="11"/>
        <v>0.0006829992576</v>
      </c>
      <c r="Q149" s="15">
        <v>819.0</v>
      </c>
      <c r="R149" s="11">
        <f t="shared" si="12"/>
        <v>0.0006798136032</v>
      </c>
      <c r="S149" s="17">
        <v>716.0</v>
      </c>
      <c r="T149" s="29">
        <f t="shared" si="13"/>
        <v>0.0006411938384</v>
      </c>
      <c r="U149" s="15">
        <v>992.0</v>
      </c>
      <c r="V149" s="11">
        <f t="shared" si="14"/>
        <v>0.001047129261</v>
      </c>
      <c r="W149" s="15">
        <v>947.0</v>
      </c>
      <c r="X149" s="11">
        <f t="shared" si="15"/>
        <v>0.0009541032991</v>
      </c>
      <c r="Y149" s="15">
        <v>330.0</v>
      </c>
      <c r="Z149" s="11">
        <f t="shared" si="16"/>
        <v>0.0005609316224</v>
      </c>
      <c r="AA149" s="15">
        <v>507.0</v>
      </c>
      <c r="AB149" s="11">
        <f t="shared" si="17"/>
        <v>0.0008346489618</v>
      </c>
      <c r="AC149" s="15">
        <v>691.0</v>
      </c>
      <c r="AD149" s="11">
        <f t="shared" si="18"/>
        <v>0.0005331938233</v>
      </c>
      <c r="AE149" s="15">
        <v>31.0</v>
      </c>
      <c r="AF149" s="20">
        <f t="shared" si="20"/>
        <v>0.00005366478551</v>
      </c>
      <c r="AG149" s="19">
        <v>770.0</v>
      </c>
      <c r="AH149" s="15">
        <v>510.0</v>
      </c>
      <c r="AI149" s="15">
        <v>615.0</v>
      </c>
      <c r="AJ149" s="15">
        <v>448.0</v>
      </c>
    </row>
    <row r="150" ht="15.75" customHeight="1">
      <c r="A150" s="6" t="s">
        <v>78</v>
      </c>
      <c r="B150" s="6" t="s">
        <v>34</v>
      </c>
      <c r="C150" s="6" t="s">
        <v>60</v>
      </c>
      <c r="D150" s="4" t="s">
        <v>236</v>
      </c>
      <c r="E150" s="19">
        <f t="shared" si="2"/>
        <v>530.4</v>
      </c>
      <c r="F150" s="11">
        <f t="shared" si="3"/>
        <v>0.0005829686116</v>
      </c>
      <c r="G150" s="15">
        <f t="shared" si="4"/>
        <v>477.6</v>
      </c>
      <c r="H150" s="11">
        <f t="shared" si="5"/>
        <v>0.0005424217906</v>
      </c>
      <c r="I150" s="15">
        <f t="shared" si="6"/>
        <v>583.2</v>
      </c>
      <c r="J150" s="20">
        <f t="shared" si="7"/>
        <v>0.000620982831</v>
      </c>
      <c r="K150" s="15">
        <f t="shared" si="8"/>
        <v>741</v>
      </c>
      <c r="L150" s="11">
        <f t="shared" si="9"/>
        <v>0.0006351366872</v>
      </c>
      <c r="M150" s="19">
        <v>391.0</v>
      </c>
      <c r="N150" s="11">
        <f t="shared" si="10"/>
        <v>0.0006638967513</v>
      </c>
      <c r="O150" s="15">
        <v>750.0</v>
      </c>
      <c r="P150" s="11">
        <f t="shared" si="11"/>
        <v>0.0006363347121</v>
      </c>
      <c r="Q150" s="15">
        <v>759.0</v>
      </c>
      <c r="R150" s="11">
        <f t="shared" si="12"/>
        <v>0.0006300104089</v>
      </c>
      <c r="S150" s="17">
        <v>714.0</v>
      </c>
      <c r="T150" s="29">
        <f t="shared" si="13"/>
        <v>0.0006394027942</v>
      </c>
      <c r="U150" s="15">
        <v>626.0</v>
      </c>
      <c r="V150" s="11">
        <f t="shared" si="14"/>
        <v>0.0006607892315</v>
      </c>
      <c r="W150" s="15">
        <v>629.0</v>
      </c>
      <c r="X150" s="11">
        <f t="shared" si="15"/>
        <v>0.0006337180307</v>
      </c>
      <c r="Y150" s="15">
        <v>364.0</v>
      </c>
      <c r="Z150" s="11">
        <f t="shared" si="16"/>
        <v>0.0006187245775</v>
      </c>
      <c r="AA150" s="15">
        <v>329.0</v>
      </c>
      <c r="AB150" s="11">
        <f t="shared" si="17"/>
        <v>0.0005416163874</v>
      </c>
      <c r="AC150" s="15">
        <v>565.0</v>
      </c>
      <c r="AD150" s="11">
        <f t="shared" si="18"/>
        <v>0.0004359689004</v>
      </c>
      <c r="AE150" s="15">
        <v>177.0</v>
      </c>
      <c r="AF150" s="20">
        <f t="shared" si="20"/>
        <v>0.0003064086141</v>
      </c>
      <c r="AG150" s="19">
        <v>732.0</v>
      </c>
      <c r="AH150" s="15">
        <v>501.0</v>
      </c>
      <c r="AI150" s="15">
        <v>568.0</v>
      </c>
      <c r="AJ150" s="15">
        <v>397.0</v>
      </c>
    </row>
    <row r="151" ht="15.75" customHeight="1">
      <c r="A151" s="6" t="s">
        <v>78</v>
      </c>
      <c r="B151" s="6" t="s">
        <v>34</v>
      </c>
      <c r="C151" s="6" t="s">
        <v>62</v>
      </c>
      <c r="D151" s="4" t="s">
        <v>237</v>
      </c>
      <c r="E151" s="19">
        <f t="shared" si="2"/>
        <v>530.2</v>
      </c>
      <c r="F151" s="11">
        <f t="shared" si="3"/>
        <v>0.0005827487893</v>
      </c>
      <c r="G151" s="15">
        <f t="shared" si="4"/>
        <v>608.6</v>
      </c>
      <c r="H151" s="11">
        <f t="shared" si="5"/>
        <v>0.0006912016369</v>
      </c>
      <c r="I151" s="15">
        <f t="shared" si="6"/>
        <v>451.8</v>
      </c>
      <c r="J151" s="20">
        <f t="shared" si="7"/>
        <v>0.0004810700326</v>
      </c>
      <c r="K151" s="15">
        <f t="shared" si="8"/>
        <v>547.6666667</v>
      </c>
      <c r="L151" s="11">
        <f t="shared" si="9"/>
        <v>0.0004694240113</v>
      </c>
      <c r="M151" s="19">
        <v>363.0</v>
      </c>
      <c r="N151" s="11">
        <f t="shared" si="10"/>
        <v>0.000616354273</v>
      </c>
      <c r="O151" s="15">
        <v>563.0</v>
      </c>
      <c r="P151" s="11">
        <f t="shared" si="11"/>
        <v>0.0004776752572</v>
      </c>
      <c r="Q151" s="15">
        <v>567.0</v>
      </c>
      <c r="R151" s="11">
        <f t="shared" si="12"/>
        <v>0.0004706401869</v>
      </c>
      <c r="S151" s="17">
        <v>513.0</v>
      </c>
      <c r="T151" s="29">
        <f t="shared" si="13"/>
        <v>0.0004594028479</v>
      </c>
      <c r="U151" s="15">
        <v>772.0</v>
      </c>
      <c r="V151" s="11">
        <f t="shared" si="14"/>
        <v>0.0008149030139</v>
      </c>
      <c r="W151" s="15">
        <v>777.0</v>
      </c>
      <c r="X151" s="11">
        <f t="shared" si="15"/>
        <v>0.0007828281556</v>
      </c>
      <c r="Y151" s="15">
        <v>250.0</v>
      </c>
      <c r="Z151" s="11">
        <f t="shared" si="16"/>
        <v>0.0004249481988</v>
      </c>
      <c r="AA151" s="15">
        <v>366.0</v>
      </c>
      <c r="AB151" s="11">
        <f t="shared" si="17"/>
        <v>0.0006025276529</v>
      </c>
      <c r="AC151" s="15">
        <v>460.0</v>
      </c>
      <c r="AD151" s="11">
        <f t="shared" si="18"/>
        <v>0.0003549481313</v>
      </c>
      <c r="AE151" s="15">
        <v>671.0</v>
      </c>
      <c r="AF151" s="20">
        <f t="shared" si="20"/>
        <v>0.001161582938</v>
      </c>
      <c r="AG151" s="19">
        <v>526.0</v>
      </c>
      <c r="AH151" s="15">
        <v>353.0</v>
      </c>
      <c r="AI151" s="15">
        <v>432.0</v>
      </c>
      <c r="AJ151" s="15">
        <v>312.0</v>
      </c>
    </row>
    <row r="152" ht="15.75" customHeight="1">
      <c r="A152" s="6" t="s">
        <v>75</v>
      </c>
      <c r="B152" s="6" t="s">
        <v>34</v>
      </c>
      <c r="C152" s="6" t="s">
        <v>60</v>
      </c>
      <c r="D152" s="4" t="s">
        <v>60</v>
      </c>
      <c r="E152" s="19">
        <f t="shared" si="2"/>
        <v>520</v>
      </c>
      <c r="F152" s="11">
        <f t="shared" si="3"/>
        <v>0.0005715378545</v>
      </c>
      <c r="G152" s="15">
        <f t="shared" si="4"/>
        <v>435.8</v>
      </c>
      <c r="H152" s="11">
        <f t="shared" si="5"/>
        <v>0.0004949485267</v>
      </c>
      <c r="I152" s="15">
        <f t="shared" si="6"/>
        <v>604.2</v>
      </c>
      <c r="J152" s="20">
        <f t="shared" si="7"/>
        <v>0.0006433433239</v>
      </c>
      <c r="K152" s="15">
        <f t="shared" si="8"/>
        <v>765</v>
      </c>
      <c r="L152" s="11">
        <f t="shared" si="9"/>
        <v>0.000655707916</v>
      </c>
      <c r="M152" s="19">
        <v>481.0</v>
      </c>
      <c r="N152" s="11">
        <f t="shared" si="10"/>
        <v>0.0008167118603</v>
      </c>
      <c r="O152" s="15">
        <v>778.0</v>
      </c>
      <c r="P152" s="11">
        <f t="shared" si="11"/>
        <v>0.000660091208</v>
      </c>
      <c r="Q152" s="15">
        <v>790.0</v>
      </c>
      <c r="R152" s="11">
        <f t="shared" si="12"/>
        <v>0.0006557420593</v>
      </c>
      <c r="S152" s="17">
        <v>727.0</v>
      </c>
      <c r="T152" s="29">
        <f t="shared" si="13"/>
        <v>0.0006510445818</v>
      </c>
      <c r="U152" s="15">
        <v>406.0</v>
      </c>
      <c r="V152" s="11">
        <f t="shared" si="14"/>
        <v>0.000428562984</v>
      </c>
      <c r="W152" s="15">
        <v>438.0</v>
      </c>
      <c r="X152" s="11">
        <f t="shared" si="15"/>
        <v>0.0004412853696</v>
      </c>
      <c r="Y152" s="15">
        <v>365.0</v>
      </c>
      <c r="Z152" s="11">
        <f t="shared" si="16"/>
        <v>0.0006204243703</v>
      </c>
      <c r="AA152" s="15">
        <v>361.0</v>
      </c>
      <c r="AB152" s="11">
        <f t="shared" si="17"/>
        <v>0.0005942964008</v>
      </c>
      <c r="AC152" s="15">
        <v>824.0</v>
      </c>
      <c r="AD152" s="11">
        <f t="shared" si="18"/>
        <v>0.0006358201308</v>
      </c>
      <c r="AE152" s="15">
        <v>30.0</v>
      </c>
      <c r="AF152" s="20">
        <f t="shared" si="20"/>
        <v>0.0000519336634</v>
      </c>
      <c r="AG152" s="19">
        <v>757.0</v>
      </c>
      <c r="AH152" s="15">
        <v>545.0</v>
      </c>
      <c r="AI152" s="15">
        <v>607.0</v>
      </c>
      <c r="AJ152" s="15">
        <v>414.0</v>
      </c>
    </row>
    <row r="153" ht="15.75" customHeight="1">
      <c r="A153" s="6" t="s">
        <v>75</v>
      </c>
      <c r="B153" s="6" t="s">
        <v>34</v>
      </c>
      <c r="C153" s="6" t="s">
        <v>56</v>
      </c>
      <c r="D153" s="4" t="s">
        <v>238</v>
      </c>
      <c r="E153" s="19">
        <f t="shared" si="2"/>
        <v>472.9</v>
      </c>
      <c r="F153" s="11">
        <f t="shared" si="3"/>
        <v>0.0005197697142</v>
      </c>
      <c r="G153" s="15">
        <f t="shared" si="4"/>
        <v>435.6</v>
      </c>
      <c r="H153" s="11">
        <f t="shared" si="5"/>
        <v>0.0004947213819</v>
      </c>
      <c r="I153" s="15">
        <f t="shared" si="6"/>
        <v>510.2</v>
      </c>
      <c r="J153" s="20">
        <f t="shared" si="7"/>
        <v>0.0005432534986</v>
      </c>
      <c r="K153" s="15">
        <f t="shared" si="8"/>
        <v>651.6666667</v>
      </c>
      <c r="L153" s="11">
        <f t="shared" si="9"/>
        <v>0.0005585660025</v>
      </c>
      <c r="M153" s="19">
        <v>403.0</v>
      </c>
      <c r="N153" s="11">
        <f t="shared" si="10"/>
        <v>0.0006842720992</v>
      </c>
      <c r="O153" s="15">
        <v>659.0</v>
      </c>
      <c r="P153" s="11">
        <f t="shared" si="11"/>
        <v>0.0005591261003</v>
      </c>
      <c r="Q153" s="15">
        <v>667.0</v>
      </c>
      <c r="R153" s="11">
        <f t="shared" si="12"/>
        <v>0.0005536455108</v>
      </c>
      <c r="S153" s="17">
        <v>629.0</v>
      </c>
      <c r="T153" s="29">
        <f t="shared" si="13"/>
        <v>0.0005632834139</v>
      </c>
      <c r="U153" s="15">
        <v>460.0</v>
      </c>
      <c r="V153" s="11">
        <f t="shared" si="14"/>
        <v>0.000485563972</v>
      </c>
      <c r="W153" s="15">
        <v>480.0</v>
      </c>
      <c r="X153" s="11">
        <f t="shared" si="15"/>
        <v>0.000483600405</v>
      </c>
      <c r="Y153" s="15">
        <v>290.0</v>
      </c>
      <c r="Z153" s="11">
        <f t="shared" si="16"/>
        <v>0.0004929399106</v>
      </c>
      <c r="AA153" s="15">
        <v>306.0</v>
      </c>
      <c r="AB153" s="11">
        <f t="shared" si="17"/>
        <v>0.0005037526278</v>
      </c>
      <c r="AC153" s="15">
        <v>688.0</v>
      </c>
      <c r="AD153" s="11">
        <f t="shared" si="18"/>
        <v>0.0005308789442</v>
      </c>
      <c r="AE153" s="15">
        <v>147.0</v>
      </c>
      <c r="AF153" s="20">
        <f t="shared" si="20"/>
        <v>0.0002544749507</v>
      </c>
      <c r="AG153" s="19">
        <v>652.0</v>
      </c>
      <c r="AH153" s="15">
        <v>445.0</v>
      </c>
      <c r="AI153" s="15">
        <v>517.0</v>
      </c>
      <c r="AJ153" s="15">
        <v>348.0</v>
      </c>
    </row>
    <row r="154" ht="15.75" customHeight="1">
      <c r="A154" s="6" t="s">
        <v>78</v>
      </c>
      <c r="B154" s="6" t="s">
        <v>34</v>
      </c>
      <c r="C154" s="6" t="s">
        <v>56</v>
      </c>
      <c r="D154" s="4" t="s">
        <v>239</v>
      </c>
      <c r="E154" s="19">
        <f t="shared" si="2"/>
        <v>463.2</v>
      </c>
      <c r="F154" s="11">
        <f t="shared" si="3"/>
        <v>0.000509108335</v>
      </c>
      <c r="G154" s="15">
        <f t="shared" si="4"/>
        <v>322.6</v>
      </c>
      <c r="H154" s="11">
        <f t="shared" si="5"/>
        <v>0.000366384568</v>
      </c>
      <c r="I154" s="15">
        <f t="shared" si="6"/>
        <v>603.8</v>
      </c>
      <c r="J154" s="20">
        <f t="shared" si="7"/>
        <v>0.0006429174097</v>
      </c>
      <c r="K154" s="15">
        <f t="shared" si="8"/>
        <v>703</v>
      </c>
      <c r="L154" s="11">
        <f t="shared" si="9"/>
        <v>0.0006025655751</v>
      </c>
      <c r="M154" s="19">
        <v>360.0</v>
      </c>
      <c r="N154" s="11">
        <f t="shared" si="10"/>
        <v>0.000611260436</v>
      </c>
      <c r="O154" s="15">
        <v>716.0</v>
      </c>
      <c r="P154" s="11">
        <f t="shared" si="11"/>
        <v>0.0006074875384</v>
      </c>
      <c r="Q154" s="15">
        <v>737.0</v>
      </c>
      <c r="R154" s="11">
        <f t="shared" si="12"/>
        <v>0.0006117492376</v>
      </c>
      <c r="S154" s="17">
        <v>656.0</v>
      </c>
      <c r="T154" s="29">
        <f t="shared" si="13"/>
        <v>0.0005874625112</v>
      </c>
      <c r="U154" s="15">
        <v>243.0</v>
      </c>
      <c r="V154" s="11">
        <f t="shared" si="14"/>
        <v>0.0002565044461</v>
      </c>
      <c r="W154" s="15">
        <v>249.0</v>
      </c>
      <c r="X154" s="11">
        <f t="shared" si="15"/>
        <v>0.0002508677101</v>
      </c>
      <c r="Y154" s="15">
        <v>466.0</v>
      </c>
      <c r="Z154" s="11">
        <f t="shared" si="16"/>
        <v>0.0007921034426</v>
      </c>
      <c r="AA154" s="15">
        <v>444.0</v>
      </c>
      <c r="AB154" s="11">
        <f t="shared" si="17"/>
        <v>0.0007309351855</v>
      </c>
      <c r="AC154" s="15">
        <v>701.0</v>
      </c>
      <c r="AD154" s="11">
        <f t="shared" si="18"/>
        <v>0.000540910087</v>
      </c>
      <c r="AE154" s="15">
        <v>60.0</v>
      </c>
      <c r="AF154" s="20">
        <f t="shared" si="20"/>
        <v>0.0001038673268</v>
      </c>
      <c r="AG154" s="19">
        <v>696.0</v>
      </c>
      <c r="AH154" s="15">
        <v>480.0</v>
      </c>
      <c r="AI154" s="15">
        <v>536.0</v>
      </c>
      <c r="AJ154" s="15">
        <v>345.0</v>
      </c>
    </row>
    <row r="155" ht="15.75" customHeight="1">
      <c r="A155" s="6" t="s">
        <v>75</v>
      </c>
      <c r="B155" s="6" t="s">
        <v>34</v>
      </c>
      <c r="C155" s="6" t="s">
        <v>54</v>
      </c>
      <c r="D155" s="4" t="s">
        <v>240</v>
      </c>
      <c r="E155" s="19">
        <f t="shared" si="2"/>
        <v>435.9</v>
      </c>
      <c r="F155" s="11">
        <f t="shared" si="3"/>
        <v>0.0004791025976</v>
      </c>
      <c r="G155" s="15">
        <f t="shared" si="4"/>
        <v>349.2</v>
      </c>
      <c r="H155" s="11">
        <f t="shared" si="5"/>
        <v>0.0003965948268</v>
      </c>
      <c r="I155" s="15">
        <f t="shared" si="6"/>
        <v>522.6</v>
      </c>
      <c r="J155" s="20">
        <f t="shared" si="7"/>
        <v>0.0005564568372</v>
      </c>
      <c r="K155" s="15">
        <f t="shared" si="8"/>
        <v>652.3333333</v>
      </c>
      <c r="L155" s="11">
        <f t="shared" si="9"/>
        <v>0.0005591374255</v>
      </c>
      <c r="M155" s="19">
        <v>335.0</v>
      </c>
      <c r="N155" s="11">
        <f t="shared" si="10"/>
        <v>0.0005688117946</v>
      </c>
      <c r="O155" s="15">
        <v>662.0</v>
      </c>
      <c r="P155" s="11">
        <f t="shared" si="11"/>
        <v>0.0005616714392</v>
      </c>
      <c r="Q155" s="15">
        <v>670.0</v>
      </c>
      <c r="R155" s="11">
        <f t="shared" si="12"/>
        <v>0.0005561356705</v>
      </c>
      <c r="S155" s="17">
        <v>625.0</v>
      </c>
      <c r="T155" s="29">
        <f t="shared" si="13"/>
        <v>0.0005597013255</v>
      </c>
      <c r="U155" s="15">
        <v>326.0</v>
      </c>
      <c r="V155" s="11">
        <f t="shared" si="14"/>
        <v>0.0003441170758</v>
      </c>
      <c r="W155" s="15">
        <v>354.0</v>
      </c>
      <c r="X155" s="11">
        <f t="shared" si="15"/>
        <v>0.0003566552987</v>
      </c>
      <c r="Y155" s="15">
        <v>341.0</v>
      </c>
      <c r="Z155" s="11">
        <f t="shared" si="16"/>
        <v>0.0005796293432</v>
      </c>
      <c r="AA155" s="15">
        <v>315.0</v>
      </c>
      <c r="AB155" s="11">
        <f t="shared" si="17"/>
        <v>0.0005185688816</v>
      </c>
      <c r="AC155" s="15">
        <v>631.0</v>
      </c>
      <c r="AD155" s="11">
        <f t="shared" si="18"/>
        <v>0.0004868962409</v>
      </c>
      <c r="AE155" s="15">
        <v>100.0</v>
      </c>
      <c r="AF155" s="20">
        <f t="shared" si="20"/>
        <v>0.0001731122113</v>
      </c>
      <c r="AG155" s="19">
        <v>637.0</v>
      </c>
      <c r="AH155" s="15">
        <v>443.0</v>
      </c>
      <c r="AI155" s="15">
        <v>506.0</v>
      </c>
      <c r="AJ155" s="15">
        <v>340.0</v>
      </c>
    </row>
    <row r="156" ht="15.75" customHeight="1">
      <c r="A156" s="6" t="s">
        <v>75</v>
      </c>
      <c r="B156" s="6" t="s">
        <v>34</v>
      </c>
      <c r="C156" s="6" t="s">
        <v>60</v>
      </c>
      <c r="D156" s="4" t="s">
        <v>241</v>
      </c>
      <c r="E156" s="19">
        <f t="shared" si="2"/>
        <v>352.2</v>
      </c>
      <c r="F156" s="11">
        <f t="shared" si="3"/>
        <v>0.0003871069853</v>
      </c>
      <c r="G156" s="15">
        <f t="shared" si="4"/>
        <v>295.6</v>
      </c>
      <c r="H156" s="11">
        <f t="shared" si="5"/>
        <v>0.0003357200195</v>
      </c>
      <c r="I156" s="15">
        <f t="shared" si="6"/>
        <v>408.8</v>
      </c>
      <c r="J156" s="20">
        <f t="shared" si="7"/>
        <v>0.0004352842615</v>
      </c>
      <c r="K156" s="15">
        <f t="shared" si="8"/>
        <v>569</v>
      </c>
      <c r="L156" s="11">
        <f t="shared" si="9"/>
        <v>0.000487709548</v>
      </c>
      <c r="M156" s="19">
        <v>285.0</v>
      </c>
      <c r="N156" s="11">
        <f t="shared" si="10"/>
        <v>0.0004839145118</v>
      </c>
      <c r="O156" s="15">
        <v>574.0</v>
      </c>
      <c r="P156" s="11">
        <f t="shared" si="11"/>
        <v>0.0004870081663</v>
      </c>
      <c r="Q156" s="15">
        <v>583.0</v>
      </c>
      <c r="R156" s="11">
        <f t="shared" si="12"/>
        <v>0.0004839210387</v>
      </c>
      <c r="S156" s="17">
        <v>550.0</v>
      </c>
      <c r="T156" s="29">
        <f t="shared" si="13"/>
        <v>0.0004925371664</v>
      </c>
      <c r="U156" s="15">
        <v>360.0</v>
      </c>
      <c r="V156" s="11">
        <f t="shared" si="14"/>
        <v>0.0003800065868</v>
      </c>
      <c r="W156" s="15">
        <v>373.0</v>
      </c>
      <c r="X156" s="11">
        <f t="shared" si="15"/>
        <v>0.0003757978147</v>
      </c>
      <c r="Y156" s="15">
        <v>185.0</v>
      </c>
      <c r="Z156" s="11">
        <f t="shared" si="16"/>
        <v>0.0003144616671</v>
      </c>
      <c r="AA156" s="15">
        <v>152.0</v>
      </c>
      <c r="AB156" s="11">
        <f t="shared" si="17"/>
        <v>0.0002502300635</v>
      </c>
      <c r="AC156" s="15">
        <v>416.0</v>
      </c>
      <c r="AD156" s="11">
        <f t="shared" si="18"/>
        <v>0.0003209965709</v>
      </c>
      <c r="AE156" s="15">
        <v>44.0</v>
      </c>
      <c r="AF156" s="20">
        <f t="shared" si="20"/>
        <v>0.00007616937299</v>
      </c>
      <c r="AG156" s="19">
        <v>604.0</v>
      </c>
      <c r="AH156" s="15">
        <v>411.0</v>
      </c>
      <c r="AI156" s="15">
        <v>508.0</v>
      </c>
      <c r="AJ156" s="15">
        <v>367.0</v>
      </c>
    </row>
    <row r="157" ht="15.75" customHeight="1">
      <c r="A157" s="6" t="s">
        <v>78</v>
      </c>
      <c r="B157" s="6" t="s">
        <v>34</v>
      </c>
      <c r="C157" s="6" t="s">
        <v>52</v>
      </c>
      <c r="D157" s="4" t="s">
        <v>242</v>
      </c>
      <c r="E157" s="19">
        <f t="shared" si="2"/>
        <v>274.9</v>
      </c>
      <c r="F157" s="11">
        <f t="shared" si="3"/>
        <v>0.000302145685</v>
      </c>
      <c r="G157" s="15">
        <f t="shared" si="4"/>
        <v>206.6</v>
      </c>
      <c r="H157" s="11">
        <f t="shared" si="5"/>
        <v>0.000234640582</v>
      </c>
      <c r="I157" s="15">
        <f t="shared" si="6"/>
        <v>343.2</v>
      </c>
      <c r="J157" s="20">
        <f t="shared" si="7"/>
        <v>0.0003654343409</v>
      </c>
      <c r="K157" s="15">
        <f t="shared" si="8"/>
        <v>436.3333333</v>
      </c>
      <c r="L157" s="11">
        <f t="shared" si="9"/>
        <v>0.0003739963669</v>
      </c>
      <c r="M157" s="19">
        <v>217.0</v>
      </c>
      <c r="N157" s="11">
        <f t="shared" si="10"/>
        <v>0.0003684542073</v>
      </c>
      <c r="O157" s="15">
        <v>448.0</v>
      </c>
      <c r="P157" s="11">
        <f t="shared" si="11"/>
        <v>0.0003801039347</v>
      </c>
      <c r="Q157" s="15">
        <v>455.0</v>
      </c>
      <c r="R157" s="11">
        <f t="shared" si="12"/>
        <v>0.000377674224</v>
      </c>
      <c r="S157" s="17">
        <v>406.0</v>
      </c>
      <c r="T157" s="29">
        <f t="shared" si="13"/>
        <v>0.000363581981</v>
      </c>
      <c r="U157" s="15">
        <v>162.0</v>
      </c>
      <c r="V157" s="11">
        <f t="shared" si="14"/>
        <v>0.0001710029641</v>
      </c>
      <c r="W157" s="15">
        <v>149.0</v>
      </c>
      <c r="X157" s="11">
        <f t="shared" si="15"/>
        <v>0.0001501176257</v>
      </c>
      <c r="Y157" s="15">
        <v>200.0</v>
      </c>
      <c r="Z157" s="11">
        <f t="shared" si="16"/>
        <v>0.0003399585591</v>
      </c>
      <c r="AA157" s="15">
        <v>207.0</v>
      </c>
      <c r="AB157" s="11">
        <f t="shared" si="17"/>
        <v>0.0003407738365</v>
      </c>
      <c r="AC157" s="15">
        <v>448.0</v>
      </c>
      <c r="AD157" s="11">
        <f t="shared" si="18"/>
        <v>0.0003456886148</v>
      </c>
      <c r="AE157" s="15">
        <v>57.0</v>
      </c>
      <c r="AF157" s="20">
        <f t="shared" si="20"/>
        <v>0.00009867396046</v>
      </c>
      <c r="AG157" s="19">
        <v>387.0</v>
      </c>
      <c r="AH157" s="15">
        <v>271.0</v>
      </c>
      <c r="AI157" s="15">
        <v>306.0</v>
      </c>
      <c r="AJ157" s="15">
        <v>191.0</v>
      </c>
    </row>
    <row r="158" ht="15.75" customHeight="1">
      <c r="A158" s="6" t="s">
        <v>78</v>
      </c>
      <c r="B158" s="6" t="s">
        <v>34</v>
      </c>
      <c r="C158" s="6" t="s">
        <v>52</v>
      </c>
      <c r="D158" s="4" t="s">
        <v>243</v>
      </c>
      <c r="E158" s="19">
        <f t="shared" si="2"/>
        <v>268.4</v>
      </c>
      <c r="F158" s="11">
        <f t="shared" si="3"/>
        <v>0.0002950014618</v>
      </c>
      <c r="G158" s="15">
        <f t="shared" si="4"/>
        <v>167</v>
      </c>
      <c r="H158" s="11">
        <f t="shared" si="5"/>
        <v>0.0001896659109</v>
      </c>
      <c r="I158" s="15">
        <f t="shared" si="6"/>
        <v>369.8</v>
      </c>
      <c r="J158" s="20">
        <f t="shared" si="7"/>
        <v>0.0003937576318</v>
      </c>
      <c r="K158" s="15">
        <f t="shared" si="8"/>
        <v>460</v>
      </c>
      <c r="L158" s="11">
        <f t="shared" si="9"/>
        <v>0.0003942818841</v>
      </c>
      <c r="M158" s="19">
        <v>255.0</v>
      </c>
      <c r="N158" s="11">
        <f t="shared" si="10"/>
        <v>0.0004329761422</v>
      </c>
      <c r="O158" s="15">
        <v>474.0</v>
      </c>
      <c r="P158" s="11">
        <f t="shared" si="11"/>
        <v>0.000402163538</v>
      </c>
      <c r="Q158" s="15">
        <v>480.0</v>
      </c>
      <c r="R158" s="11">
        <f t="shared" si="12"/>
        <v>0.000398425555</v>
      </c>
      <c r="S158" s="17">
        <v>426.0</v>
      </c>
      <c r="T158" s="29">
        <f t="shared" si="13"/>
        <v>0.0003814924234</v>
      </c>
      <c r="U158" s="15">
        <v>65.0</v>
      </c>
      <c r="V158" s="11">
        <f t="shared" si="14"/>
        <v>0.00006861230039</v>
      </c>
      <c r="W158" s="15">
        <v>64.0</v>
      </c>
      <c r="X158" s="11">
        <f t="shared" si="15"/>
        <v>0.000064480054</v>
      </c>
      <c r="Y158" s="15">
        <v>265.0</v>
      </c>
      <c r="Z158" s="11">
        <f t="shared" si="16"/>
        <v>0.0004504450907</v>
      </c>
      <c r="AA158" s="15">
        <v>204.0</v>
      </c>
      <c r="AB158" s="11">
        <f t="shared" si="17"/>
        <v>0.0003358350852</v>
      </c>
      <c r="AC158" s="15">
        <v>435.0</v>
      </c>
      <c r="AD158" s="11">
        <f t="shared" si="18"/>
        <v>0.000335657472</v>
      </c>
      <c r="AE158" s="15">
        <v>16.0</v>
      </c>
      <c r="AF158" s="20">
        <f t="shared" si="20"/>
        <v>0.00002769795381</v>
      </c>
      <c r="AG158" s="19">
        <v>441.0</v>
      </c>
      <c r="AH158" s="15">
        <v>297.0</v>
      </c>
      <c r="AI158" s="15">
        <v>338.0</v>
      </c>
      <c r="AJ158" s="15">
        <v>249.0</v>
      </c>
    </row>
    <row r="159" ht="15.75" customHeight="1">
      <c r="A159" s="6" t="s">
        <v>78</v>
      </c>
      <c r="B159" s="6" t="s">
        <v>34</v>
      </c>
      <c r="C159" s="6" t="s">
        <v>56</v>
      </c>
      <c r="D159" s="4" t="s">
        <v>244</v>
      </c>
      <c r="E159" s="19">
        <f t="shared" si="2"/>
        <v>248.7</v>
      </c>
      <c r="F159" s="11">
        <f t="shared" si="3"/>
        <v>0.00027334897</v>
      </c>
      <c r="G159" s="15">
        <f t="shared" si="4"/>
        <v>217.2</v>
      </c>
      <c r="H159" s="11">
        <f t="shared" si="5"/>
        <v>0.0002466792565</v>
      </c>
      <c r="I159" s="15">
        <f t="shared" si="6"/>
        <v>280.2</v>
      </c>
      <c r="J159" s="20">
        <f t="shared" si="7"/>
        <v>0.0002983528622</v>
      </c>
      <c r="K159" s="15">
        <f t="shared" si="8"/>
        <v>328</v>
      </c>
      <c r="L159" s="11">
        <f t="shared" si="9"/>
        <v>0.0002811401261</v>
      </c>
      <c r="M159" s="19">
        <v>162.0</v>
      </c>
      <c r="N159" s="11">
        <f t="shared" si="10"/>
        <v>0.0002750671962</v>
      </c>
      <c r="O159" s="15">
        <v>331.0</v>
      </c>
      <c r="P159" s="11">
        <f t="shared" si="11"/>
        <v>0.0002808357196</v>
      </c>
      <c r="Q159" s="15">
        <v>337.0</v>
      </c>
      <c r="R159" s="11">
        <f t="shared" si="12"/>
        <v>0.0002797279418</v>
      </c>
      <c r="S159" s="17">
        <v>316.0</v>
      </c>
      <c r="T159" s="29">
        <f t="shared" si="13"/>
        <v>0.0002829849902</v>
      </c>
      <c r="U159" s="15">
        <v>278.0</v>
      </c>
      <c r="V159" s="11">
        <f t="shared" si="14"/>
        <v>0.0002934495309</v>
      </c>
      <c r="W159" s="15">
        <v>276.0</v>
      </c>
      <c r="X159" s="11">
        <f t="shared" si="15"/>
        <v>0.0002780702329</v>
      </c>
      <c r="Y159" s="15">
        <v>214.0</v>
      </c>
      <c r="Z159" s="11">
        <f t="shared" si="16"/>
        <v>0.0003637556582</v>
      </c>
      <c r="AA159" s="15">
        <v>203.0</v>
      </c>
      <c r="AB159" s="11">
        <f t="shared" si="17"/>
        <v>0.0003341888348</v>
      </c>
      <c r="AC159" s="15">
        <v>346.0</v>
      </c>
      <c r="AD159" s="11">
        <f t="shared" si="18"/>
        <v>0.0002669827248</v>
      </c>
      <c r="AE159" s="15">
        <v>24.0</v>
      </c>
      <c r="AF159" s="20">
        <f t="shared" si="20"/>
        <v>0.00004154693072</v>
      </c>
      <c r="AG159" s="19">
        <v>324.0</v>
      </c>
      <c r="AH159" s="15">
        <v>234.0</v>
      </c>
      <c r="AI159" s="15">
        <v>237.0</v>
      </c>
      <c r="AJ159" s="15">
        <v>159.0</v>
      </c>
    </row>
    <row r="160" ht="15.75" customHeight="1">
      <c r="A160" s="6" t="s">
        <v>71</v>
      </c>
      <c r="B160" s="6" t="s">
        <v>34</v>
      </c>
      <c r="C160" s="6" t="s">
        <v>56</v>
      </c>
      <c r="D160" s="4" t="s">
        <v>245</v>
      </c>
      <c r="E160" s="19">
        <f t="shared" si="2"/>
        <v>238.4</v>
      </c>
      <c r="F160" s="11">
        <f t="shared" si="3"/>
        <v>0.0002620281241</v>
      </c>
      <c r="G160" s="15">
        <f t="shared" si="4"/>
        <v>201.6</v>
      </c>
      <c r="H160" s="11">
        <f t="shared" si="5"/>
        <v>0.0002289619619</v>
      </c>
      <c r="I160" s="15">
        <f t="shared" si="6"/>
        <v>275.2</v>
      </c>
      <c r="J160" s="20">
        <f t="shared" si="7"/>
        <v>0.0002930289353</v>
      </c>
      <c r="K160" s="15">
        <f t="shared" si="8"/>
        <v>331</v>
      </c>
      <c r="L160" s="11">
        <f t="shared" si="9"/>
        <v>0.0002837115297</v>
      </c>
      <c r="M160" s="19">
        <v>194.0</v>
      </c>
      <c r="N160" s="11">
        <f t="shared" si="10"/>
        <v>0.0003294014572</v>
      </c>
      <c r="O160" s="15">
        <v>349.0</v>
      </c>
      <c r="P160" s="11">
        <f t="shared" si="11"/>
        <v>0.0002961077527</v>
      </c>
      <c r="Q160" s="15">
        <v>349.0</v>
      </c>
      <c r="R160" s="11">
        <f t="shared" si="12"/>
        <v>0.0002896885806</v>
      </c>
      <c r="S160" s="17">
        <v>295.0</v>
      </c>
      <c r="T160" s="29">
        <f t="shared" si="13"/>
        <v>0.0002641790256</v>
      </c>
      <c r="U160" s="15">
        <v>214.0</v>
      </c>
      <c r="V160" s="11">
        <f t="shared" si="14"/>
        <v>0.0002258928044</v>
      </c>
      <c r="W160" s="15">
        <v>209.0</v>
      </c>
      <c r="X160" s="11">
        <f t="shared" si="15"/>
        <v>0.0002105676764</v>
      </c>
      <c r="Y160" s="15">
        <v>200.0</v>
      </c>
      <c r="Z160" s="11">
        <f t="shared" si="16"/>
        <v>0.0003399585591</v>
      </c>
      <c r="AA160" s="15">
        <v>183.0</v>
      </c>
      <c r="AB160" s="11">
        <f t="shared" si="17"/>
        <v>0.0003012638264</v>
      </c>
      <c r="AC160" s="15">
        <v>381.0</v>
      </c>
      <c r="AD160" s="11">
        <f t="shared" si="18"/>
        <v>0.0002939896479</v>
      </c>
      <c r="AE160" s="15">
        <v>10.0</v>
      </c>
      <c r="AF160" s="20">
        <f t="shared" si="20"/>
        <v>0.00001731122113</v>
      </c>
      <c r="AG160" s="19">
        <v>315.0</v>
      </c>
      <c r="AH160" s="15">
        <v>245.0</v>
      </c>
      <c r="AI160" s="15">
        <v>239.0</v>
      </c>
      <c r="AJ160" s="15">
        <v>167.0</v>
      </c>
    </row>
    <row r="161" ht="15.75" customHeight="1">
      <c r="A161" s="6" t="s">
        <v>71</v>
      </c>
      <c r="B161" s="6" t="s">
        <v>34</v>
      </c>
      <c r="C161" s="6" t="s">
        <v>56</v>
      </c>
      <c r="D161" s="4" t="s">
        <v>246</v>
      </c>
      <c r="E161" s="19">
        <f t="shared" si="2"/>
        <v>236.4</v>
      </c>
      <c r="F161" s="11">
        <f t="shared" si="3"/>
        <v>0.0002598299015</v>
      </c>
      <c r="G161" s="15">
        <f t="shared" si="4"/>
        <v>212.6</v>
      </c>
      <c r="H161" s="11">
        <f t="shared" si="5"/>
        <v>0.0002414549261</v>
      </c>
      <c r="I161" s="15">
        <f t="shared" si="6"/>
        <v>260.2</v>
      </c>
      <c r="J161" s="20">
        <f t="shared" si="7"/>
        <v>0.0002770571547</v>
      </c>
      <c r="K161" s="15">
        <f t="shared" si="8"/>
        <v>301.3333333</v>
      </c>
      <c r="L161" s="11">
        <f t="shared" si="9"/>
        <v>0.0002582832052</v>
      </c>
      <c r="M161" s="19">
        <v>230.0</v>
      </c>
      <c r="N161" s="11">
        <f t="shared" si="10"/>
        <v>0.0003905275008</v>
      </c>
      <c r="O161" s="15">
        <v>308.0</v>
      </c>
      <c r="P161" s="11">
        <f t="shared" si="11"/>
        <v>0.0002613214551</v>
      </c>
      <c r="Q161" s="15">
        <v>320.0</v>
      </c>
      <c r="R161" s="11">
        <f t="shared" si="12"/>
        <v>0.0002656170367</v>
      </c>
      <c r="S161" s="17">
        <v>276.0</v>
      </c>
      <c r="T161" s="29">
        <f t="shared" si="13"/>
        <v>0.0002471641053</v>
      </c>
      <c r="U161" s="15">
        <v>244.0</v>
      </c>
      <c r="V161" s="11">
        <f t="shared" si="14"/>
        <v>0.0002575600199</v>
      </c>
      <c r="W161" s="15">
        <v>246.0</v>
      </c>
      <c r="X161" s="11">
        <f t="shared" si="15"/>
        <v>0.0002478452076</v>
      </c>
      <c r="Y161" s="15">
        <v>195.0</v>
      </c>
      <c r="Z161" s="11">
        <f t="shared" si="16"/>
        <v>0.0003314595951</v>
      </c>
      <c r="AA161" s="15">
        <v>202.0</v>
      </c>
      <c r="AB161" s="11">
        <f t="shared" si="17"/>
        <v>0.0003325425844</v>
      </c>
      <c r="AC161" s="15">
        <v>321.0</v>
      </c>
      <c r="AD161" s="11">
        <f t="shared" si="18"/>
        <v>0.0002476920655</v>
      </c>
      <c r="AE161" s="15">
        <v>22.0</v>
      </c>
      <c r="AF161" s="20">
        <f t="shared" si="20"/>
        <v>0.00003808468649</v>
      </c>
      <c r="AG161" s="19">
        <v>319.0</v>
      </c>
      <c r="AH161" s="15">
        <v>230.0</v>
      </c>
      <c r="AI161" s="15">
        <v>247.0</v>
      </c>
      <c r="AJ161" s="15">
        <v>197.0</v>
      </c>
    </row>
    <row r="162" ht="15.75" customHeight="1">
      <c r="A162" s="6" t="s">
        <v>78</v>
      </c>
      <c r="B162" s="6" t="s">
        <v>34</v>
      </c>
      <c r="C162" s="6" t="s">
        <v>56</v>
      </c>
      <c r="D162" s="4" t="s">
        <v>247</v>
      </c>
      <c r="E162" s="19">
        <f t="shared" si="2"/>
        <v>226.5</v>
      </c>
      <c r="F162" s="11">
        <f t="shared" si="3"/>
        <v>0.0002489487001</v>
      </c>
      <c r="G162" s="15">
        <f t="shared" si="4"/>
        <v>147.2</v>
      </c>
      <c r="H162" s="11">
        <f t="shared" si="5"/>
        <v>0.0001671785753</v>
      </c>
      <c r="I162" s="15">
        <f t="shared" si="6"/>
        <v>305.8</v>
      </c>
      <c r="J162" s="20">
        <f t="shared" si="7"/>
        <v>0.0003256113678</v>
      </c>
      <c r="K162" s="15">
        <f t="shared" si="8"/>
        <v>398</v>
      </c>
      <c r="L162" s="11">
        <f t="shared" si="9"/>
        <v>0.0003411395432</v>
      </c>
      <c r="M162" s="19">
        <v>219.0</v>
      </c>
      <c r="N162" s="11">
        <f t="shared" si="10"/>
        <v>0.0003718500986</v>
      </c>
      <c r="O162" s="15">
        <v>418.0</v>
      </c>
      <c r="P162" s="11">
        <f t="shared" si="11"/>
        <v>0.0003546505462</v>
      </c>
      <c r="Q162" s="15">
        <v>420.0</v>
      </c>
      <c r="R162" s="11">
        <f t="shared" si="12"/>
        <v>0.0003486223606</v>
      </c>
      <c r="S162" s="17">
        <v>356.0</v>
      </c>
      <c r="T162" s="29">
        <f t="shared" si="13"/>
        <v>0.000318805875</v>
      </c>
      <c r="U162" s="15">
        <v>70.0</v>
      </c>
      <c r="V162" s="11">
        <f t="shared" si="14"/>
        <v>0.00007389016965</v>
      </c>
      <c r="W162" s="15">
        <v>73.0</v>
      </c>
      <c r="X162" s="11">
        <f t="shared" si="15"/>
        <v>0.0000735475616</v>
      </c>
      <c r="Y162" s="15">
        <v>177.0</v>
      </c>
      <c r="Z162" s="11">
        <f t="shared" si="16"/>
        <v>0.0003008633248</v>
      </c>
      <c r="AA162" s="15">
        <v>158.0</v>
      </c>
      <c r="AB162" s="11">
        <f t="shared" si="17"/>
        <v>0.000260107566</v>
      </c>
      <c r="AC162" s="15">
        <v>369.0</v>
      </c>
      <c r="AD162" s="11">
        <f t="shared" si="18"/>
        <v>0.0002847301314</v>
      </c>
      <c r="AE162" s="15">
        <v>5.0</v>
      </c>
      <c r="AF162" s="20">
        <f t="shared" si="20"/>
        <v>0.000008655610567</v>
      </c>
      <c r="AG162" s="19">
        <v>417.0</v>
      </c>
      <c r="AH162" s="15">
        <v>275.0</v>
      </c>
      <c r="AI162" s="15">
        <v>301.0</v>
      </c>
      <c r="AJ162" s="15">
        <v>227.0</v>
      </c>
    </row>
    <row r="163" ht="15.75" customHeight="1">
      <c r="A163" s="6" t="s">
        <v>78</v>
      </c>
      <c r="B163" s="6" t="s">
        <v>34</v>
      </c>
      <c r="C163" s="6" t="s">
        <v>56</v>
      </c>
      <c r="D163" s="4" t="s">
        <v>248</v>
      </c>
      <c r="E163" s="19">
        <f t="shared" si="2"/>
        <v>216.9</v>
      </c>
      <c r="F163" s="11">
        <f t="shared" si="3"/>
        <v>0.000238397232</v>
      </c>
      <c r="G163" s="15">
        <f t="shared" si="4"/>
        <v>163.8</v>
      </c>
      <c r="H163" s="11">
        <f t="shared" si="5"/>
        <v>0.000186031594</v>
      </c>
      <c r="I163" s="15">
        <f t="shared" si="6"/>
        <v>270</v>
      </c>
      <c r="J163" s="20">
        <f t="shared" si="7"/>
        <v>0.0002874920514</v>
      </c>
      <c r="K163" s="15">
        <f t="shared" si="8"/>
        <v>297</v>
      </c>
      <c r="L163" s="11">
        <f t="shared" si="9"/>
        <v>0.0002545689556</v>
      </c>
      <c r="M163" s="19">
        <v>182.0</v>
      </c>
      <c r="N163" s="11">
        <f t="shared" si="10"/>
        <v>0.0003090261093</v>
      </c>
      <c r="O163" s="15">
        <v>305.0</v>
      </c>
      <c r="P163" s="11">
        <f t="shared" si="11"/>
        <v>0.0002587761162</v>
      </c>
      <c r="Q163" s="15">
        <v>310.0</v>
      </c>
      <c r="R163" s="11">
        <f t="shared" si="12"/>
        <v>0.0002573165043</v>
      </c>
      <c r="S163" s="17">
        <v>276.0</v>
      </c>
      <c r="T163" s="29">
        <f t="shared" si="13"/>
        <v>0.0002471641053</v>
      </c>
      <c r="U163" s="15">
        <v>146.0</v>
      </c>
      <c r="V163" s="11">
        <f t="shared" si="14"/>
        <v>0.0001541137824</v>
      </c>
      <c r="W163" s="15">
        <v>153.0</v>
      </c>
      <c r="X163" s="11">
        <f t="shared" si="15"/>
        <v>0.0001541476291</v>
      </c>
      <c r="Y163" s="15">
        <v>260.0</v>
      </c>
      <c r="Z163" s="11">
        <f t="shared" si="16"/>
        <v>0.0004419461268</v>
      </c>
      <c r="AA163" s="15">
        <v>199.0</v>
      </c>
      <c r="AB163" s="11">
        <f t="shared" si="17"/>
        <v>0.0003276038331</v>
      </c>
      <c r="AC163" s="15">
        <v>304.0</v>
      </c>
      <c r="AD163" s="11">
        <f t="shared" si="18"/>
        <v>0.0002345744172</v>
      </c>
      <c r="AE163" s="15">
        <v>34.0</v>
      </c>
      <c r="AF163" s="20">
        <f t="shared" si="20"/>
        <v>0.00005885815185</v>
      </c>
      <c r="AG163" s="19">
        <v>275.0</v>
      </c>
      <c r="AH163" s="15">
        <v>200.0</v>
      </c>
      <c r="AI163" s="15">
        <v>213.0</v>
      </c>
      <c r="AJ163" s="15">
        <v>158.0</v>
      </c>
    </row>
    <row r="164" ht="15.75" customHeight="1">
      <c r="A164" s="6" t="s">
        <v>75</v>
      </c>
      <c r="B164" s="6" t="s">
        <v>34</v>
      </c>
      <c r="C164" s="6" t="s">
        <v>54</v>
      </c>
      <c r="D164" s="4" t="s">
        <v>249</v>
      </c>
      <c r="E164" s="19">
        <f t="shared" si="2"/>
        <v>125.8</v>
      </c>
      <c r="F164" s="11">
        <f t="shared" si="3"/>
        <v>0.0001382681963</v>
      </c>
      <c r="G164" s="15">
        <f t="shared" si="4"/>
        <v>104.2</v>
      </c>
      <c r="H164" s="11">
        <f t="shared" si="5"/>
        <v>0.0001183424426</v>
      </c>
      <c r="I164" s="15">
        <f t="shared" si="6"/>
        <v>147.4</v>
      </c>
      <c r="J164" s="20">
        <f t="shared" si="7"/>
        <v>0.0001569493643</v>
      </c>
      <c r="K164" s="15">
        <f t="shared" si="8"/>
        <v>212</v>
      </c>
      <c r="L164" s="11">
        <f t="shared" si="9"/>
        <v>0.0001817125205</v>
      </c>
      <c r="M164" s="19">
        <v>115.0</v>
      </c>
      <c r="N164" s="11">
        <f t="shared" si="10"/>
        <v>0.0001952637504</v>
      </c>
      <c r="O164" s="15">
        <v>214.0</v>
      </c>
      <c r="P164" s="11">
        <f t="shared" si="11"/>
        <v>0.0001815675045</v>
      </c>
      <c r="Q164" s="15">
        <v>220.0</v>
      </c>
      <c r="R164" s="11">
        <f t="shared" si="12"/>
        <v>0.0001826117127</v>
      </c>
      <c r="S164" s="17">
        <v>202.0</v>
      </c>
      <c r="T164" s="29">
        <f t="shared" si="13"/>
        <v>0.0001808954684</v>
      </c>
      <c r="U164" s="15">
        <v>90.0</v>
      </c>
      <c r="V164" s="11">
        <f t="shared" si="14"/>
        <v>0.0000950016467</v>
      </c>
      <c r="W164" s="15">
        <v>98.0</v>
      </c>
      <c r="X164" s="11">
        <f t="shared" si="15"/>
        <v>0.00009873508269</v>
      </c>
      <c r="Y164" s="15">
        <v>59.0</v>
      </c>
      <c r="Z164" s="11">
        <f t="shared" si="16"/>
        <v>0.0001002877749</v>
      </c>
      <c r="AA164" s="15">
        <v>42.0</v>
      </c>
      <c r="AB164" s="11">
        <f t="shared" si="17"/>
        <v>0.00006914251754</v>
      </c>
      <c r="AC164" s="15">
        <v>197.0</v>
      </c>
      <c r="AD164" s="11">
        <f t="shared" si="18"/>
        <v>0.0001520103954</v>
      </c>
      <c r="AE164" s="15">
        <v>21.0</v>
      </c>
      <c r="AF164" s="20">
        <f t="shared" si="20"/>
        <v>0.00003635356438</v>
      </c>
      <c r="AG164" s="19">
        <v>215.0</v>
      </c>
      <c r="AH164" s="15">
        <v>147.0</v>
      </c>
      <c r="AI164" s="15">
        <v>177.0</v>
      </c>
      <c r="AJ164" s="15">
        <v>123.0</v>
      </c>
    </row>
    <row r="165" ht="15.75" customHeight="1">
      <c r="D165" s="4"/>
      <c r="E165" s="18"/>
      <c r="J165" s="4"/>
      <c r="M165" s="18"/>
      <c r="AF165" s="4"/>
      <c r="AG165" s="18"/>
    </row>
    <row r="166" ht="15.75" customHeight="1">
      <c r="D166" s="4"/>
      <c r="E166" s="18"/>
      <c r="J166" s="4"/>
      <c r="M166" s="18"/>
      <c r="AF166" s="4"/>
      <c r="AG166" s="18"/>
    </row>
    <row r="167" ht="15.75" customHeight="1">
      <c r="D167" s="4"/>
      <c r="E167" s="18"/>
      <c r="J167" s="4"/>
      <c r="M167" s="18"/>
      <c r="AF167" s="4"/>
      <c r="AG167" s="18"/>
    </row>
    <row r="168" ht="15.75" customHeight="1">
      <c r="D168" s="4"/>
      <c r="E168" s="18"/>
      <c r="J168" s="4"/>
      <c r="M168" s="18"/>
      <c r="AF168" s="4"/>
      <c r="AG168" s="18"/>
    </row>
    <row r="169" ht="15.75" customHeight="1">
      <c r="D169" s="4"/>
      <c r="E169" s="18"/>
      <c r="J169" s="4"/>
      <c r="M169" s="18"/>
      <c r="AF169" s="4"/>
      <c r="AG169" s="18"/>
    </row>
    <row r="170" ht="15.75" customHeight="1">
      <c r="D170" s="4"/>
      <c r="E170" s="18"/>
      <c r="J170" s="4"/>
      <c r="M170" s="18"/>
      <c r="AF170" s="4"/>
      <c r="AG170" s="18"/>
    </row>
    <row r="171" ht="15.75" customHeight="1">
      <c r="D171" s="4"/>
      <c r="E171" s="18"/>
      <c r="J171" s="4"/>
      <c r="M171" s="18"/>
      <c r="AF171" s="4"/>
      <c r="AG171" s="18"/>
    </row>
    <row r="172" ht="15.75" customHeight="1">
      <c r="D172" s="4"/>
      <c r="E172" s="18"/>
      <c r="J172" s="4"/>
      <c r="M172" s="18"/>
      <c r="AF172" s="4"/>
      <c r="AG172" s="18"/>
    </row>
    <row r="173" ht="15.75" customHeight="1">
      <c r="D173" s="4"/>
      <c r="E173" s="18"/>
      <c r="J173" s="4"/>
      <c r="M173" s="18"/>
      <c r="AF173" s="4"/>
      <c r="AG173" s="18"/>
    </row>
    <row r="174" ht="15.75" customHeight="1">
      <c r="D174" s="4"/>
      <c r="E174" s="18"/>
      <c r="J174" s="4"/>
      <c r="M174" s="18"/>
      <c r="AF174" s="4"/>
      <c r="AG174" s="18"/>
    </row>
    <row r="175" ht="15.75" customHeight="1">
      <c r="D175" s="4"/>
      <c r="E175" s="18"/>
      <c r="J175" s="4"/>
      <c r="M175" s="18"/>
      <c r="AF175" s="4"/>
      <c r="AG175" s="18"/>
    </row>
    <row r="176" ht="15.75" customHeight="1">
      <c r="D176" s="4"/>
      <c r="E176" s="18"/>
      <c r="J176" s="4"/>
      <c r="M176" s="18"/>
      <c r="AF176" s="4"/>
      <c r="AG176" s="18"/>
    </row>
    <row r="177" ht="15.75" customHeight="1">
      <c r="D177" s="4"/>
      <c r="E177" s="18"/>
      <c r="J177" s="4"/>
      <c r="M177" s="18"/>
      <c r="AF177" s="4"/>
      <c r="AG177" s="18"/>
    </row>
    <row r="178" ht="15.75" customHeight="1">
      <c r="D178" s="4"/>
      <c r="E178" s="18"/>
      <c r="J178" s="4"/>
      <c r="M178" s="18"/>
      <c r="AF178" s="4"/>
      <c r="AG178" s="18"/>
    </row>
    <row r="179" ht="15.75" customHeight="1">
      <c r="D179" s="4"/>
      <c r="E179" s="18"/>
      <c r="J179" s="4"/>
      <c r="M179" s="18"/>
      <c r="AF179" s="4"/>
      <c r="AG179" s="18"/>
    </row>
    <row r="180" ht="15.75" customHeight="1">
      <c r="D180" s="4"/>
      <c r="E180" s="18"/>
      <c r="J180" s="4"/>
      <c r="M180" s="18"/>
      <c r="AF180" s="4"/>
      <c r="AG180" s="18"/>
    </row>
    <row r="181" ht="15.75" customHeight="1">
      <c r="D181" s="4"/>
      <c r="E181" s="18"/>
      <c r="J181" s="4"/>
      <c r="M181" s="18"/>
      <c r="AF181" s="4"/>
      <c r="AG181" s="18"/>
    </row>
    <row r="182" ht="15.75" customHeight="1">
      <c r="D182" s="4"/>
      <c r="E182" s="18"/>
      <c r="J182" s="4"/>
      <c r="M182" s="18"/>
      <c r="AF182" s="4"/>
      <c r="AG182" s="18"/>
    </row>
    <row r="183" ht="15.75" customHeight="1">
      <c r="D183" s="4"/>
      <c r="E183" s="18"/>
      <c r="J183" s="4"/>
      <c r="M183" s="18"/>
      <c r="AF183" s="4"/>
      <c r="AG183" s="18"/>
    </row>
    <row r="184" ht="15.75" customHeight="1">
      <c r="D184" s="4"/>
      <c r="E184" s="18"/>
      <c r="J184" s="4"/>
      <c r="M184" s="18"/>
      <c r="AF184" s="4"/>
      <c r="AG184" s="18"/>
    </row>
    <row r="185" ht="15.75" customHeight="1">
      <c r="D185" s="4"/>
      <c r="E185" s="18"/>
      <c r="J185" s="4"/>
      <c r="M185" s="18"/>
      <c r="AF185" s="4"/>
      <c r="AG185" s="18"/>
    </row>
    <row r="186" ht="15.75" customHeight="1">
      <c r="D186" s="4"/>
      <c r="E186" s="18"/>
      <c r="J186" s="4"/>
      <c r="M186" s="18"/>
      <c r="AF186" s="4"/>
      <c r="AG186" s="18"/>
    </row>
    <row r="187" ht="15.75" customHeight="1">
      <c r="D187" s="4"/>
      <c r="E187" s="18"/>
      <c r="J187" s="4"/>
      <c r="M187" s="18"/>
      <c r="AF187" s="4"/>
      <c r="AG187" s="18"/>
    </row>
    <row r="188" ht="15.75" customHeight="1">
      <c r="D188" s="4"/>
      <c r="E188" s="18"/>
      <c r="J188" s="4"/>
      <c r="M188" s="18"/>
      <c r="AF188" s="4"/>
      <c r="AG188" s="18"/>
    </row>
    <row r="189" ht="15.75" customHeight="1">
      <c r="D189" s="4"/>
      <c r="E189" s="18"/>
      <c r="J189" s="4"/>
      <c r="M189" s="18"/>
      <c r="AF189" s="4"/>
      <c r="AG189" s="18"/>
    </row>
    <row r="190" ht="15.75" customHeight="1">
      <c r="D190" s="4"/>
      <c r="E190" s="18"/>
      <c r="J190" s="4"/>
      <c r="M190" s="18"/>
      <c r="AF190" s="4"/>
      <c r="AG190" s="18"/>
    </row>
    <row r="191" ht="15.75" customHeight="1">
      <c r="D191" s="4"/>
      <c r="E191" s="18"/>
      <c r="J191" s="4"/>
      <c r="M191" s="18"/>
      <c r="AF191" s="4"/>
      <c r="AG191" s="18"/>
    </row>
    <row r="192" ht="15.75" customHeight="1">
      <c r="D192" s="4"/>
      <c r="E192" s="18"/>
      <c r="J192" s="4"/>
      <c r="M192" s="18"/>
      <c r="AF192" s="4"/>
      <c r="AG192" s="18"/>
    </row>
    <row r="193" ht="15.75" customHeight="1">
      <c r="D193" s="4"/>
      <c r="E193" s="18"/>
      <c r="J193" s="4"/>
      <c r="M193" s="18"/>
      <c r="AF193" s="4"/>
      <c r="AG193" s="18"/>
    </row>
    <row r="194" ht="15.75" customHeight="1">
      <c r="D194" s="4"/>
      <c r="E194" s="18"/>
      <c r="J194" s="4"/>
      <c r="M194" s="18"/>
      <c r="AF194" s="4"/>
      <c r="AG194" s="18"/>
    </row>
    <row r="195" ht="15.75" customHeight="1">
      <c r="D195" s="4"/>
      <c r="E195" s="18"/>
      <c r="J195" s="4"/>
      <c r="M195" s="18"/>
      <c r="AF195" s="4"/>
      <c r="AG195" s="18"/>
    </row>
    <row r="196" ht="15.75" customHeight="1">
      <c r="D196" s="4"/>
      <c r="E196" s="18"/>
      <c r="J196" s="4"/>
      <c r="M196" s="18"/>
      <c r="AF196" s="4"/>
      <c r="AG196" s="18"/>
    </row>
    <row r="197" ht="15.75" customHeight="1">
      <c r="D197" s="4"/>
      <c r="E197" s="18"/>
      <c r="J197" s="4"/>
      <c r="M197" s="18"/>
      <c r="AF197" s="4"/>
      <c r="AG197" s="18"/>
    </row>
    <row r="198" ht="15.75" customHeight="1">
      <c r="D198" s="4"/>
      <c r="E198" s="18"/>
      <c r="J198" s="4"/>
      <c r="M198" s="18"/>
      <c r="AF198" s="4"/>
      <c r="AG198" s="18"/>
    </row>
    <row r="199" ht="15.75" customHeight="1">
      <c r="D199" s="4"/>
      <c r="E199" s="18"/>
      <c r="J199" s="4"/>
      <c r="M199" s="18"/>
      <c r="AF199" s="4"/>
      <c r="AG199" s="18"/>
    </row>
    <row r="200" ht="15.75" customHeight="1">
      <c r="D200" s="4"/>
      <c r="E200" s="18"/>
      <c r="J200" s="4"/>
      <c r="M200" s="18"/>
      <c r="AF200" s="4"/>
      <c r="AG200" s="18"/>
    </row>
    <row r="201" ht="15.75" customHeight="1">
      <c r="D201" s="4"/>
      <c r="E201" s="18"/>
      <c r="J201" s="4"/>
      <c r="M201" s="18"/>
      <c r="AF201" s="4"/>
      <c r="AG201" s="18"/>
    </row>
    <row r="202" ht="15.75" customHeight="1">
      <c r="D202" s="4"/>
      <c r="E202" s="18"/>
      <c r="J202" s="4"/>
      <c r="M202" s="18"/>
      <c r="AF202" s="4"/>
      <c r="AG202" s="18"/>
    </row>
    <row r="203" ht="15.75" customHeight="1">
      <c r="D203" s="4"/>
      <c r="E203" s="18"/>
      <c r="J203" s="4"/>
      <c r="M203" s="18"/>
      <c r="AF203" s="4"/>
      <c r="AG203" s="18"/>
    </row>
    <row r="204" ht="15.75" customHeight="1">
      <c r="D204" s="4"/>
      <c r="E204" s="18"/>
      <c r="J204" s="4"/>
      <c r="M204" s="18"/>
      <c r="AF204" s="4"/>
      <c r="AG204" s="18"/>
    </row>
    <row r="205" ht="15.75" customHeight="1">
      <c r="D205" s="4"/>
      <c r="E205" s="18"/>
      <c r="J205" s="4"/>
      <c r="M205" s="18"/>
      <c r="AF205" s="4"/>
      <c r="AG205" s="18"/>
    </row>
    <row r="206" ht="15.75" customHeight="1">
      <c r="D206" s="4"/>
      <c r="E206" s="18"/>
      <c r="J206" s="4"/>
      <c r="M206" s="18"/>
      <c r="AF206" s="4"/>
      <c r="AG206" s="18"/>
    </row>
    <row r="207" ht="15.75" customHeight="1">
      <c r="D207" s="4"/>
      <c r="E207" s="18"/>
      <c r="J207" s="4"/>
      <c r="M207" s="18"/>
      <c r="AF207" s="4"/>
      <c r="AG207" s="18"/>
    </row>
    <row r="208" ht="15.75" customHeight="1">
      <c r="D208" s="4"/>
      <c r="E208" s="18"/>
      <c r="J208" s="4"/>
      <c r="M208" s="18"/>
      <c r="AF208" s="4"/>
      <c r="AG208" s="18"/>
    </row>
    <row r="209" ht="15.75" customHeight="1">
      <c r="D209" s="4"/>
      <c r="E209" s="18"/>
      <c r="J209" s="4"/>
      <c r="M209" s="18"/>
      <c r="AF209" s="4"/>
      <c r="AG209" s="18"/>
    </row>
    <row r="210" ht="15.75" customHeight="1">
      <c r="D210" s="4"/>
      <c r="E210" s="18"/>
      <c r="J210" s="4"/>
      <c r="M210" s="18"/>
      <c r="AF210" s="4"/>
      <c r="AG210" s="18"/>
    </row>
    <row r="211" ht="15.75" customHeight="1">
      <c r="D211" s="4"/>
      <c r="E211" s="18"/>
      <c r="J211" s="4"/>
      <c r="M211" s="18"/>
      <c r="AF211" s="4"/>
      <c r="AG211" s="18"/>
    </row>
    <row r="212" ht="15.75" customHeight="1">
      <c r="D212" s="4"/>
      <c r="E212" s="18"/>
      <c r="J212" s="4"/>
      <c r="M212" s="18"/>
      <c r="AF212" s="4"/>
      <c r="AG212" s="18"/>
    </row>
    <row r="213" ht="15.75" customHeight="1">
      <c r="D213" s="4"/>
      <c r="E213" s="18"/>
      <c r="J213" s="4"/>
      <c r="M213" s="18"/>
      <c r="AF213" s="4"/>
      <c r="AG213" s="18"/>
    </row>
    <row r="214" ht="15.75" customHeight="1">
      <c r="D214" s="4"/>
      <c r="E214" s="18"/>
      <c r="J214" s="4"/>
      <c r="M214" s="18"/>
      <c r="AF214" s="4"/>
      <c r="AG214" s="18"/>
    </row>
    <row r="215" ht="15.75" customHeight="1">
      <c r="D215" s="4"/>
      <c r="E215" s="18"/>
      <c r="J215" s="4"/>
      <c r="M215" s="18"/>
      <c r="AF215" s="4"/>
      <c r="AG215" s="18"/>
    </row>
    <row r="216" ht="15.75" customHeight="1">
      <c r="D216" s="4"/>
      <c r="E216" s="18"/>
      <c r="J216" s="4"/>
      <c r="M216" s="18"/>
      <c r="AF216" s="4"/>
      <c r="AG216" s="18"/>
    </row>
    <row r="217" ht="15.75" customHeight="1">
      <c r="D217" s="4"/>
      <c r="E217" s="18"/>
      <c r="J217" s="4"/>
      <c r="M217" s="18"/>
      <c r="AF217" s="4"/>
      <c r="AG217" s="18"/>
    </row>
    <row r="218" ht="15.75" customHeight="1">
      <c r="D218" s="4"/>
      <c r="E218" s="18"/>
      <c r="J218" s="4"/>
      <c r="M218" s="18"/>
      <c r="AF218" s="4"/>
      <c r="AG218" s="18"/>
    </row>
    <row r="219" ht="15.75" customHeight="1">
      <c r="D219" s="4"/>
      <c r="E219" s="18"/>
      <c r="J219" s="4"/>
      <c r="M219" s="18"/>
      <c r="AF219" s="4"/>
      <c r="AG219" s="18"/>
    </row>
    <row r="220" ht="15.75" customHeight="1">
      <c r="D220" s="4"/>
      <c r="E220" s="18"/>
      <c r="J220" s="4"/>
      <c r="M220" s="18"/>
      <c r="AF220" s="4"/>
      <c r="AG220" s="18"/>
    </row>
    <row r="221" ht="15.75" customHeight="1">
      <c r="D221" s="4"/>
      <c r="E221" s="18"/>
      <c r="J221" s="4"/>
      <c r="M221" s="18"/>
      <c r="AF221" s="4"/>
      <c r="AG221" s="18"/>
    </row>
    <row r="222" ht="15.75" customHeight="1">
      <c r="D222" s="4"/>
      <c r="E222" s="18"/>
      <c r="J222" s="4"/>
      <c r="M222" s="18"/>
      <c r="AF222" s="4"/>
      <c r="AG222" s="18"/>
    </row>
    <row r="223" ht="15.75" customHeight="1">
      <c r="D223" s="4"/>
      <c r="E223" s="18"/>
      <c r="J223" s="4"/>
      <c r="M223" s="18"/>
      <c r="AF223" s="4"/>
      <c r="AG223" s="18"/>
    </row>
    <row r="224" ht="15.75" customHeight="1">
      <c r="D224" s="4"/>
      <c r="E224" s="18"/>
      <c r="J224" s="4"/>
      <c r="M224" s="18"/>
      <c r="AF224" s="4"/>
      <c r="AG224" s="18"/>
    </row>
    <row r="225" ht="15.75" customHeight="1">
      <c r="D225" s="4"/>
      <c r="E225" s="18"/>
      <c r="J225" s="4"/>
      <c r="M225" s="18"/>
      <c r="AF225" s="4"/>
      <c r="AG225" s="18"/>
    </row>
    <row r="226" ht="15.75" customHeight="1">
      <c r="D226" s="4"/>
      <c r="E226" s="18"/>
      <c r="J226" s="4"/>
      <c r="M226" s="18"/>
      <c r="AF226" s="4"/>
      <c r="AG226" s="18"/>
    </row>
    <row r="227" ht="15.75" customHeight="1">
      <c r="D227" s="4"/>
      <c r="E227" s="18"/>
      <c r="J227" s="4"/>
      <c r="M227" s="18"/>
      <c r="AF227" s="4"/>
      <c r="AG227" s="18"/>
    </row>
    <row r="228" ht="15.75" customHeight="1">
      <c r="D228" s="4"/>
      <c r="E228" s="18"/>
      <c r="J228" s="4"/>
      <c r="M228" s="18"/>
      <c r="AF228" s="4"/>
      <c r="AG228" s="18"/>
    </row>
    <row r="229" ht="15.75" customHeight="1">
      <c r="D229" s="4"/>
      <c r="E229" s="18"/>
      <c r="J229" s="4"/>
      <c r="M229" s="18"/>
      <c r="AF229" s="4"/>
      <c r="AG229" s="18"/>
    </row>
    <row r="230" ht="15.75" customHeight="1">
      <c r="D230" s="4"/>
      <c r="E230" s="18"/>
      <c r="J230" s="4"/>
      <c r="M230" s="18"/>
      <c r="AF230" s="4"/>
      <c r="AG230" s="18"/>
    </row>
    <row r="231" ht="15.75" customHeight="1">
      <c r="D231" s="4"/>
      <c r="E231" s="18"/>
      <c r="J231" s="4"/>
      <c r="M231" s="18"/>
      <c r="AF231" s="4"/>
      <c r="AG231" s="18"/>
    </row>
    <row r="232" ht="15.75" customHeight="1">
      <c r="D232" s="4"/>
      <c r="E232" s="18"/>
      <c r="J232" s="4"/>
      <c r="M232" s="18"/>
      <c r="AF232" s="4"/>
      <c r="AG232" s="18"/>
    </row>
    <row r="233" ht="15.75" customHeight="1">
      <c r="D233" s="4"/>
      <c r="E233" s="18"/>
      <c r="J233" s="4"/>
      <c r="M233" s="18"/>
      <c r="AF233" s="4"/>
      <c r="AG233" s="18"/>
    </row>
    <row r="234" ht="15.75" customHeight="1">
      <c r="D234" s="4"/>
      <c r="E234" s="18"/>
      <c r="J234" s="4"/>
      <c r="M234" s="18"/>
      <c r="AF234" s="4"/>
      <c r="AG234" s="18"/>
    </row>
    <row r="235" ht="15.75" customHeight="1">
      <c r="D235" s="4"/>
      <c r="E235" s="18"/>
      <c r="J235" s="4"/>
      <c r="M235" s="18"/>
      <c r="AF235" s="4"/>
      <c r="AG235" s="18"/>
    </row>
    <row r="236" ht="15.75" customHeight="1">
      <c r="D236" s="4"/>
      <c r="E236" s="18"/>
      <c r="J236" s="4"/>
      <c r="M236" s="18"/>
      <c r="AF236" s="4"/>
      <c r="AG236" s="18"/>
    </row>
    <row r="237" ht="15.75" customHeight="1">
      <c r="D237" s="4"/>
      <c r="E237" s="18"/>
      <c r="J237" s="4"/>
      <c r="M237" s="18"/>
      <c r="AF237" s="4"/>
      <c r="AG237" s="18"/>
    </row>
    <row r="238" ht="15.75" customHeight="1">
      <c r="D238" s="4"/>
      <c r="E238" s="18"/>
      <c r="J238" s="4"/>
      <c r="M238" s="18"/>
      <c r="AF238" s="4"/>
      <c r="AG238" s="18"/>
    </row>
    <row r="239" ht="15.75" customHeight="1">
      <c r="D239" s="4"/>
      <c r="E239" s="18"/>
      <c r="J239" s="4"/>
      <c r="M239" s="18"/>
      <c r="AF239" s="4"/>
      <c r="AG239" s="18"/>
    </row>
    <row r="240" ht="15.75" customHeight="1">
      <c r="D240" s="4"/>
      <c r="E240" s="18"/>
      <c r="J240" s="4"/>
      <c r="M240" s="18"/>
      <c r="AF240" s="4"/>
      <c r="AG240" s="18"/>
    </row>
    <row r="241" ht="15.75" customHeight="1">
      <c r="D241" s="4"/>
      <c r="E241" s="18"/>
      <c r="J241" s="4"/>
      <c r="M241" s="18"/>
      <c r="AF241" s="4"/>
      <c r="AG241" s="18"/>
    </row>
    <row r="242" ht="15.75" customHeight="1">
      <c r="D242" s="4"/>
      <c r="E242" s="18"/>
      <c r="J242" s="4"/>
      <c r="M242" s="18"/>
      <c r="AF242" s="4"/>
      <c r="AG242" s="18"/>
    </row>
    <row r="243" ht="15.75" customHeight="1">
      <c r="D243" s="4"/>
      <c r="E243" s="18"/>
      <c r="J243" s="4"/>
      <c r="M243" s="18"/>
      <c r="AF243" s="4"/>
      <c r="AG243" s="18"/>
    </row>
    <row r="244" ht="15.75" customHeight="1">
      <c r="D244" s="4"/>
      <c r="E244" s="18"/>
      <c r="J244" s="4"/>
      <c r="M244" s="18"/>
      <c r="AF244" s="4"/>
      <c r="AG244" s="18"/>
    </row>
    <row r="245" ht="15.75" customHeight="1">
      <c r="D245" s="4"/>
      <c r="E245" s="18"/>
      <c r="J245" s="4"/>
      <c r="M245" s="18"/>
      <c r="AF245" s="4"/>
      <c r="AG245" s="18"/>
    </row>
    <row r="246" ht="15.75" customHeight="1">
      <c r="D246" s="4"/>
      <c r="E246" s="18"/>
      <c r="J246" s="4"/>
      <c r="M246" s="18"/>
      <c r="AF246" s="4"/>
      <c r="AG246" s="18"/>
    </row>
    <row r="247" ht="15.75" customHeight="1">
      <c r="D247" s="4"/>
      <c r="E247" s="18"/>
      <c r="J247" s="4"/>
      <c r="M247" s="18"/>
      <c r="AF247" s="4"/>
      <c r="AG247" s="18"/>
    </row>
    <row r="248" ht="15.75" customHeight="1">
      <c r="D248" s="4"/>
      <c r="E248" s="18"/>
      <c r="J248" s="4"/>
      <c r="M248" s="18"/>
      <c r="AF248" s="4"/>
      <c r="AG248" s="18"/>
    </row>
    <row r="249" ht="15.75" customHeight="1">
      <c r="D249" s="4"/>
      <c r="E249" s="18"/>
      <c r="J249" s="4"/>
      <c r="M249" s="18"/>
      <c r="AF249" s="4"/>
      <c r="AG249" s="18"/>
    </row>
    <row r="250" ht="15.75" customHeight="1">
      <c r="D250" s="4"/>
      <c r="E250" s="18"/>
      <c r="J250" s="4"/>
      <c r="M250" s="18"/>
      <c r="AF250" s="4"/>
      <c r="AG250" s="18"/>
    </row>
    <row r="251" ht="15.75" customHeight="1">
      <c r="D251" s="4"/>
      <c r="E251" s="18"/>
      <c r="J251" s="4"/>
      <c r="M251" s="18"/>
      <c r="AF251" s="4"/>
      <c r="AG251" s="18"/>
    </row>
    <row r="252" ht="15.75" customHeight="1">
      <c r="D252" s="4"/>
      <c r="E252" s="18"/>
      <c r="J252" s="4"/>
      <c r="M252" s="18"/>
      <c r="AF252" s="4"/>
      <c r="AG252" s="18"/>
    </row>
    <row r="253" ht="15.75" customHeight="1">
      <c r="D253" s="4"/>
      <c r="E253" s="18"/>
      <c r="J253" s="4"/>
      <c r="M253" s="18"/>
      <c r="AF253" s="4"/>
      <c r="AG253" s="18"/>
    </row>
    <row r="254" ht="15.75" customHeight="1">
      <c r="D254" s="4"/>
      <c r="E254" s="18"/>
      <c r="J254" s="4"/>
      <c r="M254" s="18"/>
      <c r="AF254" s="4"/>
      <c r="AG254" s="18"/>
    </row>
    <row r="255" ht="15.75" customHeight="1">
      <c r="D255" s="4"/>
      <c r="E255" s="18"/>
      <c r="J255" s="4"/>
      <c r="M255" s="18"/>
      <c r="AF255" s="4"/>
      <c r="AG255" s="18"/>
    </row>
    <row r="256" ht="15.75" customHeight="1">
      <c r="D256" s="4"/>
      <c r="E256" s="18"/>
      <c r="J256" s="4"/>
      <c r="M256" s="18"/>
      <c r="AF256" s="4"/>
      <c r="AG256" s="18"/>
    </row>
    <row r="257" ht="15.75" customHeight="1">
      <c r="D257" s="4"/>
      <c r="E257" s="18"/>
      <c r="J257" s="4"/>
      <c r="M257" s="18"/>
      <c r="AF257" s="4"/>
      <c r="AG257" s="18"/>
    </row>
    <row r="258" ht="15.75" customHeight="1">
      <c r="D258" s="4"/>
      <c r="E258" s="18"/>
      <c r="J258" s="4"/>
      <c r="M258" s="18"/>
      <c r="AF258" s="4"/>
      <c r="AG258" s="18"/>
    </row>
    <row r="259" ht="15.75" customHeight="1">
      <c r="D259" s="4"/>
      <c r="E259" s="18"/>
      <c r="J259" s="4"/>
      <c r="M259" s="18"/>
      <c r="AF259" s="4"/>
      <c r="AG259" s="18"/>
    </row>
    <row r="260" ht="15.75" customHeight="1">
      <c r="D260" s="4"/>
      <c r="E260" s="18"/>
      <c r="J260" s="4"/>
      <c r="M260" s="18"/>
      <c r="AF260" s="4"/>
      <c r="AG260" s="18"/>
    </row>
    <row r="261" ht="15.75" customHeight="1">
      <c r="D261" s="4"/>
      <c r="E261" s="18"/>
      <c r="J261" s="4"/>
      <c r="M261" s="18"/>
      <c r="AF261" s="4"/>
      <c r="AG261" s="18"/>
    </row>
    <row r="262" ht="15.75" customHeight="1">
      <c r="D262" s="4"/>
      <c r="E262" s="18"/>
      <c r="J262" s="4"/>
      <c r="M262" s="18"/>
      <c r="AF262" s="4"/>
      <c r="AG262" s="18"/>
    </row>
    <row r="263" ht="15.75" customHeight="1">
      <c r="D263" s="4"/>
      <c r="E263" s="18"/>
      <c r="J263" s="4"/>
      <c r="M263" s="18"/>
      <c r="AF263" s="4"/>
      <c r="AG263" s="18"/>
    </row>
    <row r="264" ht="15.75" customHeight="1">
      <c r="D264" s="4"/>
      <c r="E264" s="18"/>
      <c r="J264" s="4"/>
      <c r="M264" s="18"/>
      <c r="AF264" s="4"/>
      <c r="AG264" s="18"/>
    </row>
    <row r="265" ht="15.75" customHeight="1">
      <c r="D265" s="4"/>
      <c r="E265" s="18"/>
      <c r="J265" s="4"/>
      <c r="M265" s="18"/>
      <c r="AF265" s="4"/>
      <c r="AG265" s="18"/>
    </row>
    <row r="266" ht="15.75" customHeight="1">
      <c r="D266" s="4"/>
      <c r="E266" s="18"/>
      <c r="J266" s="4"/>
      <c r="M266" s="18"/>
      <c r="AF266" s="4"/>
      <c r="AG266" s="18"/>
    </row>
    <row r="267" ht="15.75" customHeight="1">
      <c r="D267" s="4"/>
      <c r="E267" s="18"/>
      <c r="J267" s="4"/>
      <c r="M267" s="18"/>
      <c r="AF267" s="4"/>
      <c r="AG267" s="18"/>
    </row>
    <row r="268" ht="15.75" customHeight="1">
      <c r="D268" s="4"/>
      <c r="E268" s="18"/>
      <c r="J268" s="4"/>
      <c r="M268" s="18"/>
      <c r="AF268" s="4"/>
      <c r="AG268" s="18"/>
    </row>
    <row r="269" ht="15.75" customHeight="1">
      <c r="D269" s="4"/>
      <c r="E269" s="18"/>
      <c r="J269" s="4"/>
      <c r="M269" s="18"/>
      <c r="AF269" s="4"/>
      <c r="AG269" s="18"/>
    </row>
    <row r="270" ht="15.75" customHeight="1">
      <c r="D270" s="4"/>
      <c r="E270" s="18"/>
      <c r="J270" s="4"/>
      <c r="M270" s="18"/>
      <c r="AF270" s="4"/>
      <c r="AG270" s="18"/>
    </row>
    <row r="271" ht="15.75" customHeight="1">
      <c r="D271" s="4"/>
      <c r="E271" s="18"/>
      <c r="J271" s="4"/>
      <c r="M271" s="18"/>
      <c r="AF271" s="4"/>
      <c r="AG271" s="18"/>
    </row>
    <row r="272" ht="15.75" customHeight="1">
      <c r="D272" s="4"/>
      <c r="E272" s="18"/>
      <c r="J272" s="4"/>
      <c r="M272" s="18"/>
      <c r="AF272" s="4"/>
      <c r="AG272" s="18"/>
    </row>
    <row r="273" ht="15.75" customHeight="1">
      <c r="D273" s="4"/>
      <c r="E273" s="18"/>
      <c r="J273" s="4"/>
      <c r="M273" s="18"/>
      <c r="AF273" s="4"/>
      <c r="AG273" s="18"/>
    </row>
    <row r="274" ht="15.75" customHeight="1">
      <c r="D274" s="4"/>
      <c r="E274" s="18"/>
      <c r="J274" s="4"/>
      <c r="M274" s="18"/>
      <c r="AF274" s="4"/>
      <c r="AG274" s="18"/>
    </row>
    <row r="275" ht="15.75" customHeight="1">
      <c r="D275" s="4"/>
      <c r="E275" s="18"/>
      <c r="J275" s="4"/>
      <c r="M275" s="18"/>
      <c r="AF275" s="4"/>
      <c r="AG275" s="18"/>
    </row>
    <row r="276" ht="15.75" customHeight="1">
      <c r="D276" s="4"/>
      <c r="E276" s="18"/>
      <c r="J276" s="4"/>
      <c r="M276" s="18"/>
      <c r="AF276" s="4"/>
      <c r="AG276" s="18"/>
    </row>
    <row r="277" ht="15.75" customHeight="1">
      <c r="D277" s="4"/>
      <c r="E277" s="18"/>
      <c r="J277" s="4"/>
      <c r="M277" s="18"/>
      <c r="AF277" s="4"/>
      <c r="AG277" s="18"/>
    </row>
    <row r="278" ht="15.75" customHeight="1">
      <c r="D278" s="4"/>
      <c r="E278" s="18"/>
      <c r="J278" s="4"/>
      <c r="M278" s="18"/>
      <c r="AF278" s="4"/>
      <c r="AG278" s="18"/>
    </row>
    <row r="279" ht="15.75" customHeight="1">
      <c r="D279" s="4"/>
      <c r="E279" s="18"/>
      <c r="J279" s="4"/>
      <c r="M279" s="18"/>
      <c r="AF279" s="4"/>
      <c r="AG279" s="18"/>
    </row>
    <row r="280" ht="15.75" customHeight="1">
      <c r="D280" s="4"/>
      <c r="E280" s="18"/>
      <c r="J280" s="4"/>
      <c r="M280" s="18"/>
      <c r="AF280" s="4"/>
      <c r="AG280" s="18"/>
    </row>
    <row r="281" ht="15.75" customHeight="1">
      <c r="D281" s="4"/>
      <c r="E281" s="18"/>
      <c r="J281" s="4"/>
      <c r="M281" s="18"/>
      <c r="AF281" s="4"/>
      <c r="AG281" s="18"/>
    </row>
    <row r="282" ht="15.75" customHeight="1">
      <c r="D282" s="4"/>
      <c r="E282" s="18"/>
      <c r="J282" s="4"/>
      <c r="M282" s="18"/>
      <c r="AF282" s="4"/>
      <c r="AG282" s="18"/>
    </row>
    <row r="283" ht="15.75" customHeight="1">
      <c r="D283" s="4"/>
      <c r="E283" s="18"/>
      <c r="J283" s="4"/>
      <c r="M283" s="18"/>
      <c r="AF283" s="4"/>
      <c r="AG283" s="18"/>
    </row>
    <row r="284" ht="15.75" customHeight="1">
      <c r="D284" s="4"/>
      <c r="E284" s="18"/>
      <c r="J284" s="4"/>
      <c r="M284" s="18"/>
      <c r="AF284" s="4"/>
      <c r="AG284" s="18"/>
    </row>
    <row r="285" ht="15.75" customHeight="1">
      <c r="D285" s="4"/>
      <c r="E285" s="18"/>
      <c r="J285" s="4"/>
      <c r="M285" s="18"/>
      <c r="AF285" s="4"/>
      <c r="AG285" s="18"/>
    </row>
    <row r="286" ht="15.75" customHeight="1">
      <c r="D286" s="4"/>
      <c r="E286" s="18"/>
      <c r="J286" s="4"/>
      <c r="M286" s="18"/>
      <c r="AF286" s="4"/>
      <c r="AG286" s="18"/>
    </row>
    <row r="287" ht="15.75" customHeight="1">
      <c r="D287" s="4"/>
      <c r="E287" s="18"/>
      <c r="J287" s="4"/>
      <c r="M287" s="18"/>
      <c r="AF287" s="4"/>
      <c r="AG287" s="18"/>
    </row>
    <row r="288" ht="15.75" customHeight="1">
      <c r="D288" s="4"/>
      <c r="E288" s="18"/>
      <c r="J288" s="4"/>
      <c r="M288" s="18"/>
      <c r="AF288" s="4"/>
      <c r="AG288" s="18"/>
    </row>
    <row r="289" ht="15.75" customHeight="1">
      <c r="D289" s="4"/>
      <c r="E289" s="18"/>
      <c r="J289" s="4"/>
      <c r="M289" s="18"/>
      <c r="AF289" s="4"/>
      <c r="AG289" s="18"/>
    </row>
    <row r="290" ht="15.75" customHeight="1">
      <c r="D290" s="4"/>
      <c r="E290" s="18"/>
      <c r="J290" s="4"/>
      <c r="M290" s="18"/>
      <c r="AF290" s="4"/>
      <c r="AG290" s="18"/>
    </row>
    <row r="291" ht="15.75" customHeight="1">
      <c r="D291" s="4"/>
      <c r="E291" s="18"/>
      <c r="J291" s="4"/>
      <c r="M291" s="18"/>
      <c r="AF291" s="4"/>
      <c r="AG291" s="18"/>
    </row>
    <row r="292" ht="15.75" customHeight="1">
      <c r="D292" s="4"/>
      <c r="E292" s="18"/>
      <c r="J292" s="4"/>
      <c r="M292" s="18"/>
      <c r="AF292" s="4"/>
      <c r="AG292" s="18"/>
    </row>
    <row r="293" ht="15.75" customHeight="1">
      <c r="D293" s="4"/>
      <c r="E293" s="18"/>
      <c r="J293" s="4"/>
      <c r="M293" s="18"/>
      <c r="AF293" s="4"/>
      <c r="AG293" s="18"/>
    </row>
    <row r="294" ht="15.75" customHeight="1">
      <c r="D294" s="4"/>
      <c r="E294" s="18"/>
      <c r="J294" s="4"/>
      <c r="M294" s="18"/>
      <c r="AF294" s="4"/>
      <c r="AG294" s="18"/>
    </row>
    <row r="295" ht="15.75" customHeight="1">
      <c r="D295" s="4"/>
      <c r="E295" s="18"/>
      <c r="J295" s="4"/>
      <c r="M295" s="18"/>
      <c r="AF295" s="4"/>
      <c r="AG295" s="18"/>
    </row>
    <row r="296" ht="15.75" customHeight="1">
      <c r="D296" s="4"/>
      <c r="E296" s="18"/>
      <c r="J296" s="4"/>
      <c r="M296" s="18"/>
      <c r="AF296" s="4"/>
      <c r="AG296" s="18"/>
    </row>
    <row r="297" ht="15.75" customHeight="1">
      <c r="D297" s="4"/>
      <c r="E297" s="18"/>
      <c r="J297" s="4"/>
      <c r="M297" s="18"/>
      <c r="AF297" s="4"/>
      <c r="AG297" s="18"/>
    </row>
    <row r="298" ht="15.75" customHeight="1">
      <c r="D298" s="4"/>
      <c r="E298" s="18"/>
      <c r="J298" s="4"/>
      <c r="M298" s="18"/>
      <c r="AF298" s="4"/>
      <c r="AG298" s="18"/>
    </row>
    <row r="299" ht="15.75" customHeight="1">
      <c r="D299" s="4"/>
      <c r="E299" s="18"/>
      <c r="J299" s="4"/>
      <c r="M299" s="18"/>
      <c r="AF299" s="4"/>
      <c r="AG299" s="18"/>
    </row>
    <row r="300" ht="15.75" customHeight="1">
      <c r="D300" s="4"/>
      <c r="E300" s="18"/>
      <c r="J300" s="4"/>
      <c r="M300" s="18"/>
      <c r="AF300" s="4"/>
      <c r="AG300" s="18"/>
    </row>
    <row r="301" ht="15.75" customHeight="1">
      <c r="D301" s="4"/>
      <c r="E301" s="18"/>
      <c r="J301" s="4"/>
      <c r="M301" s="18"/>
      <c r="AF301" s="4"/>
      <c r="AG301" s="18"/>
    </row>
    <row r="302" ht="15.75" customHeight="1">
      <c r="D302" s="4"/>
      <c r="E302" s="18"/>
      <c r="J302" s="4"/>
      <c r="M302" s="18"/>
      <c r="AF302" s="4"/>
      <c r="AG302" s="18"/>
    </row>
    <row r="303" ht="15.75" customHeight="1">
      <c r="D303" s="4"/>
      <c r="E303" s="18"/>
      <c r="J303" s="4"/>
      <c r="M303" s="18"/>
      <c r="AF303" s="4"/>
      <c r="AG303" s="18"/>
    </row>
    <row r="304" ht="15.75" customHeight="1">
      <c r="D304" s="4"/>
      <c r="E304" s="18"/>
      <c r="J304" s="4"/>
      <c r="M304" s="18"/>
      <c r="AF304" s="4"/>
      <c r="AG304" s="18"/>
    </row>
    <row r="305" ht="15.75" customHeight="1">
      <c r="D305" s="4"/>
      <c r="E305" s="18"/>
      <c r="J305" s="4"/>
      <c r="M305" s="18"/>
      <c r="AF305" s="4"/>
      <c r="AG305" s="18"/>
    </row>
    <row r="306" ht="15.75" customHeight="1">
      <c r="D306" s="4"/>
      <c r="E306" s="18"/>
      <c r="J306" s="4"/>
      <c r="M306" s="18"/>
      <c r="AF306" s="4"/>
      <c r="AG306" s="18"/>
    </row>
    <row r="307" ht="15.75" customHeight="1">
      <c r="D307" s="4"/>
      <c r="E307" s="18"/>
      <c r="J307" s="4"/>
      <c r="M307" s="18"/>
      <c r="AF307" s="4"/>
      <c r="AG307" s="18"/>
    </row>
    <row r="308" ht="15.75" customHeight="1">
      <c r="D308" s="4"/>
      <c r="E308" s="18"/>
      <c r="J308" s="4"/>
      <c r="M308" s="18"/>
      <c r="AF308" s="4"/>
      <c r="AG308" s="18"/>
    </row>
    <row r="309" ht="15.75" customHeight="1">
      <c r="D309" s="4"/>
      <c r="E309" s="18"/>
      <c r="J309" s="4"/>
      <c r="M309" s="18"/>
      <c r="AF309" s="4"/>
      <c r="AG309" s="18"/>
    </row>
    <row r="310" ht="15.75" customHeight="1">
      <c r="D310" s="4"/>
      <c r="E310" s="18"/>
      <c r="J310" s="4"/>
      <c r="M310" s="18"/>
      <c r="AF310" s="4"/>
      <c r="AG310" s="18"/>
    </row>
    <row r="311" ht="15.75" customHeight="1">
      <c r="D311" s="4"/>
      <c r="E311" s="18"/>
      <c r="J311" s="4"/>
      <c r="M311" s="18"/>
      <c r="AF311" s="4"/>
      <c r="AG311" s="18"/>
    </row>
    <row r="312" ht="15.75" customHeight="1">
      <c r="D312" s="4"/>
      <c r="E312" s="18"/>
      <c r="J312" s="4"/>
      <c r="M312" s="18"/>
      <c r="AF312" s="4"/>
      <c r="AG312" s="18"/>
    </row>
    <row r="313" ht="15.75" customHeight="1">
      <c r="D313" s="4"/>
      <c r="E313" s="18"/>
      <c r="J313" s="4"/>
      <c r="M313" s="18"/>
      <c r="AF313" s="4"/>
      <c r="AG313" s="18"/>
    </row>
    <row r="314" ht="15.75" customHeight="1">
      <c r="D314" s="4"/>
      <c r="E314" s="18"/>
      <c r="J314" s="4"/>
      <c r="M314" s="18"/>
      <c r="AF314" s="4"/>
      <c r="AG314" s="18"/>
    </row>
    <row r="315" ht="15.75" customHeight="1">
      <c r="D315" s="4"/>
      <c r="E315" s="18"/>
      <c r="J315" s="4"/>
      <c r="M315" s="18"/>
      <c r="AF315" s="4"/>
      <c r="AG315" s="18"/>
    </row>
    <row r="316" ht="15.75" customHeight="1">
      <c r="D316" s="4"/>
      <c r="E316" s="18"/>
      <c r="J316" s="4"/>
      <c r="M316" s="18"/>
      <c r="AF316" s="4"/>
      <c r="AG316" s="18"/>
    </row>
    <row r="317" ht="15.75" customHeight="1">
      <c r="D317" s="4"/>
      <c r="E317" s="18"/>
      <c r="J317" s="4"/>
      <c r="M317" s="18"/>
      <c r="AF317" s="4"/>
      <c r="AG317" s="18"/>
    </row>
    <row r="318" ht="15.75" customHeight="1">
      <c r="D318" s="4"/>
      <c r="E318" s="18"/>
      <c r="J318" s="4"/>
      <c r="M318" s="18"/>
      <c r="AF318" s="4"/>
      <c r="AG318" s="18"/>
    </row>
    <row r="319" ht="15.75" customHeight="1">
      <c r="D319" s="4"/>
      <c r="E319" s="18"/>
      <c r="J319" s="4"/>
      <c r="M319" s="18"/>
      <c r="AF319" s="4"/>
      <c r="AG319" s="18"/>
    </row>
    <row r="320" ht="15.75" customHeight="1">
      <c r="D320" s="4"/>
      <c r="E320" s="18"/>
      <c r="J320" s="4"/>
      <c r="M320" s="18"/>
      <c r="AF320" s="4"/>
      <c r="AG320" s="18"/>
    </row>
    <row r="321" ht="15.75" customHeight="1">
      <c r="D321" s="4"/>
      <c r="E321" s="18"/>
      <c r="J321" s="4"/>
      <c r="M321" s="18"/>
      <c r="AF321" s="4"/>
      <c r="AG321" s="18"/>
    </row>
    <row r="322" ht="15.75" customHeight="1">
      <c r="D322" s="4"/>
      <c r="E322" s="18"/>
      <c r="J322" s="4"/>
      <c r="M322" s="18"/>
      <c r="AF322" s="4"/>
      <c r="AG322" s="18"/>
    </row>
    <row r="323" ht="15.75" customHeight="1">
      <c r="D323" s="4"/>
      <c r="E323" s="18"/>
      <c r="J323" s="4"/>
      <c r="M323" s="18"/>
      <c r="AF323" s="4"/>
      <c r="AG323" s="18"/>
    </row>
    <row r="324" ht="15.75" customHeight="1">
      <c r="D324" s="4"/>
      <c r="E324" s="18"/>
      <c r="J324" s="4"/>
      <c r="M324" s="18"/>
      <c r="AF324" s="4"/>
      <c r="AG324" s="18"/>
    </row>
    <row r="325" ht="15.75" customHeight="1">
      <c r="D325" s="4"/>
      <c r="E325" s="18"/>
      <c r="J325" s="4"/>
      <c r="M325" s="18"/>
      <c r="AF325" s="4"/>
      <c r="AG325" s="18"/>
    </row>
    <row r="326" ht="15.75" customHeight="1">
      <c r="D326" s="4"/>
      <c r="E326" s="18"/>
      <c r="J326" s="4"/>
      <c r="M326" s="18"/>
      <c r="AF326" s="4"/>
      <c r="AG326" s="18"/>
    </row>
    <row r="327" ht="15.75" customHeight="1">
      <c r="D327" s="4"/>
      <c r="E327" s="18"/>
      <c r="J327" s="4"/>
      <c r="M327" s="18"/>
      <c r="AF327" s="4"/>
      <c r="AG327" s="18"/>
    </row>
    <row r="328" ht="15.75" customHeight="1">
      <c r="D328" s="4"/>
      <c r="E328" s="18"/>
      <c r="J328" s="4"/>
      <c r="M328" s="18"/>
      <c r="AF328" s="4"/>
      <c r="AG328" s="18"/>
    </row>
    <row r="329" ht="15.75" customHeight="1">
      <c r="D329" s="4"/>
      <c r="E329" s="18"/>
      <c r="J329" s="4"/>
      <c r="M329" s="18"/>
      <c r="AF329" s="4"/>
      <c r="AG329" s="18"/>
    </row>
    <row r="330" ht="15.75" customHeight="1">
      <c r="D330" s="4"/>
      <c r="E330" s="18"/>
      <c r="J330" s="4"/>
      <c r="M330" s="18"/>
      <c r="AF330" s="4"/>
      <c r="AG330" s="18"/>
    </row>
    <row r="331" ht="15.75" customHeight="1">
      <c r="D331" s="4"/>
      <c r="E331" s="18"/>
      <c r="J331" s="4"/>
      <c r="M331" s="18"/>
      <c r="AF331" s="4"/>
      <c r="AG331" s="18"/>
    </row>
    <row r="332" ht="15.75" customHeight="1">
      <c r="D332" s="4"/>
      <c r="E332" s="18"/>
      <c r="J332" s="4"/>
      <c r="M332" s="18"/>
      <c r="AF332" s="4"/>
      <c r="AG332" s="18"/>
    </row>
    <row r="333" ht="15.75" customHeight="1">
      <c r="D333" s="4"/>
      <c r="E333" s="18"/>
      <c r="J333" s="4"/>
      <c r="M333" s="18"/>
      <c r="AF333" s="4"/>
      <c r="AG333" s="18"/>
    </row>
    <row r="334" ht="15.75" customHeight="1">
      <c r="D334" s="4"/>
      <c r="E334" s="18"/>
      <c r="J334" s="4"/>
      <c r="M334" s="18"/>
      <c r="AF334" s="4"/>
      <c r="AG334" s="18"/>
    </row>
    <row r="335" ht="15.75" customHeight="1">
      <c r="D335" s="4"/>
      <c r="E335" s="18"/>
      <c r="J335" s="4"/>
      <c r="M335" s="18"/>
      <c r="AF335" s="4"/>
      <c r="AG335" s="18"/>
    </row>
    <row r="336" ht="15.75" customHeight="1">
      <c r="D336" s="4"/>
      <c r="E336" s="18"/>
      <c r="J336" s="4"/>
      <c r="M336" s="18"/>
      <c r="AF336" s="4"/>
      <c r="AG336" s="18"/>
    </row>
    <row r="337" ht="15.75" customHeight="1">
      <c r="D337" s="4"/>
      <c r="E337" s="18"/>
      <c r="J337" s="4"/>
      <c r="M337" s="18"/>
      <c r="AF337" s="4"/>
      <c r="AG337" s="18"/>
    </row>
    <row r="338" ht="15.75" customHeight="1">
      <c r="D338" s="4"/>
      <c r="E338" s="18"/>
      <c r="J338" s="4"/>
      <c r="M338" s="18"/>
      <c r="AF338" s="4"/>
      <c r="AG338" s="18"/>
    </row>
    <row r="339" ht="15.75" customHeight="1">
      <c r="D339" s="4"/>
      <c r="E339" s="18"/>
      <c r="J339" s="4"/>
      <c r="M339" s="18"/>
      <c r="AF339" s="4"/>
      <c r="AG339" s="18"/>
    </row>
    <row r="340" ht="15.75" customHeight="1">
      <c r="D340" s="4"/>
      <c r="E340" s="18"/>
      <c r="J340" s="4"/>
      <c r="M340" s="18"/>
      <c r="AF340" s="4"/>
      <c r="AG340" s="18"/>
    </row>
    <row r="341" ht="15.75" customHeight="1">
      <c r="D341" s="4"/>
      <c r="E341" s="18"/>
      <c r="J341" s="4"/>
      <c r="M341" s="18"/>
      <c r="AF341" s="4"/>
      <c r="AG341" s="18"/>
    </row>
    <row r="342" ht="15.75" customHeight="1">
      <c r="D342" s="4"/>
      <c r="E342" s="18"/>
      <c r="J342" s="4"/>
      <c r="M342" s="18"/>
      <c r="AF342" s="4"/>
      <c r="AG342" s="18"/>
    </row>
    <row r="343" ht="15.75" customHeight="1">
      <c r="D343" s="4"/>
      <c r="E343" s="18"/>
      <c r="J343" s="4"/>
      <c r="M343" s="18"/>
      <c r="AF343" s="4"/>
      <c r="AG343" s="18"/>
    </row>
    <row r="344" ht="15.75" customHeight="1">
      <c r="D344" s="4"/>
      <c r="E344" s="18"/>
      <c r="J344" s="4"/>
      <c r="M344" s="18"/>
      <c r="AF344" s="4"/>
      <c r="AG344" s="18"/>
    </row>
    <row r="345" ht="15.75" customHeight="1">
      <c r="D345" s="4"/>
      <c r="E345" s="18"/>
      <c r="J345" s="4"/>
      <c r="M345" s="18"/>
      <c r="AF345" s="4"/>
      <c r="AG345" s="18"/>
    </row>
    <row r="346" ht="15.75" customHeight="1">
      <c r="D346" s="4"/>
      <c r="E346" s="18"/>
      <c r="J346" s="4"/>
      <c r="M346" s="18"/>
      <c r="AF346" s="4"/>
      <c r="AG346" s="18"/>
    </row>
    <row r="347" ht="15.75" customHeight="1">
      <c r="D347" s="4"/>
      <c r="E347" s="18"/>
      <c r="J347" s="4"/>
      <c r="M347" s="18"/>
      <c r="AF347" s="4"/>
      <c r="AG347" s="18"/>
    </row>
    <row r="348" ht="15.75" customHeight="1">
      <c r="D348" s="4"/>
      <c r="E348" s="18"/>
      <c r="J348" s="4"/>
      <c r="M348" s="18"/>
      <c r="AF348" s="4"/>
      <c r="AG348" s="18"/>
    </row>
    <row r="349" ht="15.75" customHeight="1">
      <c r="D349" s="4"/>
      <c r="E349" s="18"/>
      <c r="J349" s="4"/>
      <c r="M349" s="18"/>
      <c r="AF349" s="4"/>
      <c r="AG349" s="18"/>
    </row>
    <row r="350" ht="15.75" customHeight="1">
      <c r="D350" s="4"/>
      <c r="E350" s="18"/>
      <c r="J350" s="4"/>
      <c r="M350" s="18"/>
      <c r="AF350" s="4"/>
      <c r="AG350" s="18"/>
    </row>
    <row r="351" ht="15.75" customHeight="1">
      <c r="D351" s="4"/>
      <c r="E351" s="18"/>
      <c r="J351" s="4"/>
      <c r="M351" s="18"/>
      <c r="AF351" s="4"/>
      <c r="AG351" s="18"/>
    </row>
    <row r="352" ht="15.75" customHeight="1">
      <c r="D352" s="4"/>
      <c r="E352" s="18"/>
      <c r="J352" s="4"/>
      <c r="M352" s="18"/>
      <c r="AF352" s="4"/>
      <c r="AG352" s="18"/>
    </row>
    <row r="353" ht="15.75" customHeight="1">
      <c r="D353" s="4"/>
      <c r="E353" s="18"/>
      <c r="J353" s="4"/>
      <c r="M353" s="18"/>
      <c r="AF353" s="4"/>
      <c r="AG353" s="18"/>
    </row>
    <row r="354" ht="15.75" customHeight="1">
      <c r="D354" s="4"/>
      <c r="E354" s="18"/>
      <c r="J354" s="4"/>
      <c r="M354" s="18"/>
      <c r="AF354" s="4"/>
      <c r="AG354" s="18"/>
    </row>
    <row r="355" ht="15.75" customHeight="1">
      <c r="D355" s="4"/>
      <c r="E355" s="18"/>
      <c r="J355" s="4"/>
      <c r="M355" s="18"/>
      <c r="AF355" s="4"/>
      <c r="AG355" s="18"/>
    </row>
    <row r="356" ht="15.75" customHeight="1">
      <c r="D356" s="4"/>
      <c r="E356" s="18"/>
      <c r="J356" s="4"/>
      <c r="M356" s="18"/>
      <c r="AF356" s="4"/>
      <c r="AG356" s="18"/>
    </row>
    <row r="357" ht="15.75" customHeight="1">
      <c r="D357" s="4"/>
      <c r="E357" s="18"/>
      <c r="J357" s="4"/>
      <c r="M357" s="18"/>
      <c r="AF357" s="4"/>
      <c r="AG357" s="18"/>
    </row>
    <row r="358" ht="15.75" customHeight="1">
      <c r="D358" s="4"/>
      <c r="E358" s="18"/>
      <c r="J358" s="4"/>
      <c r="M358" s="18"/>
      <c r="AF358" s="4"/>
      <c r="AG358" s="18"/>
    </row>
    <row r="359" ht="15.75" customHeight="1">
      <c r="D359" s="4"/>
      <c r="E359" s="18"/>
      <c r="J359" s="4"/>
      <c r="M359" s="18"/>
      <c r="AF359" s="4"/>
      <c r="AG359" s="18"/>
    </row>
    <row r="360" ht="15.75" customHeight="1">
      <c r="D360" s="4"/>
      <c r="E360" s="18"/>
      <c r="J360" s="4"/>
      <c r="M360" s="18"/>
      <c r="AF360" s="4"/>
      <c r="AG360" s="18"/>
    </row>
    <row r="361" ht="15.75" customHeight="1">
      <c r="D361" s="4"/>
      <c r="E361" s="18"/>
      <c r="J361" s="4"/>
      <c r="M361" s="18"/>
      <c r="AF361" s="4"/>
      <c r="AG361" s="18"/>
    </row>
    <row r="362" ht="15.75" customHeight="1">
      <c r="D362" s="4"/>
      <c r="E362" s="18"/>
      <c r="J362" s="4"/>
      <c r="M362" s="18"/>
      <c r="AF362" s="4"/>
      <c r="AG362" s="18"/>
    </row>
    <row r="363" ht="15.75" customHeight="1">
      <c r="D363" s="4"/>
      <c r="E363" s="18"/>
      <c r="J363" s="4"/>
      <c r="M363" s="18"/>
      <c r="AF363" s="4"/>
      <c r="AG363" s="18"/>
    </row>
    <row r="364" ht="15.75" customHeight="1">
      <c r="D364" s="4"/>
      <c r="E364" s="18"/>
      <c r="J364" s="4"/>
      <c r="M364" s="18"/>
      <c r="AF364" s="4"/>
      <c r="AG364" s="18"/>
    </row>
    <row r="365" ht="15.75" customHeight="1">
      <c r="D365" s="4"/>
      <c r="E365" s="18"/>
      <c r="J365" s="4"/>
      <c r="M365" s="18"/>
      <c r="AF365" s="4"/>
      <c r="AG365" s="18"/>
    </row>
    <row r="366" ht="15.75" customHeight="1">
      <c r="D366" s="4"/>
      <c r="E366" s="18"/>
      <c r="J366" s="4"/>
      <c r="M366" s="18"/>
      <c r="AF366" s="4"/>
      <c r="AG366" s="18"/>
    </row>
    <row r="367" ht="15.75" customHeight="1">
      <c r="D367" s="4"/>
      <c r="E367" s="18"/>
      <c r="J367" s="4"/>
      <c r="M367" s="18"/>
      <c r="AF367" s="4"/>
      <c r="AG367" s="18"/>
    </row>
    <row r="368" ht="15.75" customHeight="1">
      <c r="D368" s="4"/>
      <c r="E368" s="18"/>
      <c r="J368" s="4"/>
      <c r="M368" s="18"/>
      <c r="AF368" s="4"/>
      <c r="AG368" s="18"/>
    </row>
    <row r="369" ht="15.75" customHeight="1">
      <c r="D369" s="4"/>
      <c r="E369" s="18"/>
      <c r="J369" s="4"/>
      <c r="M369" s="18"/>
      <c r="AF369" s="4"/>
      <c r="AG369" s="18"/>
    </row>
    <row r="370" ht="15.75" customHeight="1">
      <c r="D370" s="4"/>
      <c r="E370" s="18"/>
      <c r="J370" s="4"/>
      <c r="M370" s="18"/>
      <c r="AF370" s="4"/>
      <c r="AG370" s="18"/>
    </row>
    <row r="371" ht="15.75" customHeight="1">
      <c r="D371" s="4"/>
      <c r="E371" s="18"/>
      <c r="J371" s="4"/>
      <c r="M371" s="18"/>
      <c r="AF371" s="4"/>
      <c r="AG371" s="18"/>
    </row>
    <row r="372" ht="15.75" customHeight="1">
      <c r="D372" s="4"/>
      <c r="E372" s="18"/>
      <c r="J372" s="4"/>
      <c r="M372" s="18"/>
      <c r="AF372" s="4"/>
      <c r="AG372" s="18"/>
    </row>
    <row r="373" ht="15.75" customHeight="1">
      <c r="D373" s="4"/>
      <c r="E373" s="18"/>
      <c r="J373" s="4"/>
      <c r="M373" s="18"/>
      <c r="AF373" s="4"/>
      <c r="AG373" s="18"/>
    </row>
    <row r="374" ht="15.75" customHeight="1">
      <c r="D374" s="4"/>
      <c r="E374" s="18"/>
      <c r="J374" s="4"/>
      <c r="M374" s="18"/>
      <c r="AF374" s="4"/>
      <c r="AG374" s="18"/>
    </row>
    <row r="375" ht="15.75" customHeight="1">
      <c r="D375" s="4"/>
      <c r="E375" s="18"/>
      <c r="J375" s="4"/>
      <c r="M375" s="18"/>
      <c r="AF375" s="4"/>
      <c r="AG375" s="18"/>
    </row>
    <row r="376" ht="15.75" customHeight="1">
      <c r="D376" s="4"/>
      <c r="E376" s="18"/>
      <c r="J376" s="4"/>
      <c r="M376" s="18"/>
      <c r="AF376" s="4"/>
      <c r="AG376" s="18"/>
    </row>
    <row r="377" ht="15.75" customHeight="1">
      <c r="D377" s="4"/>
      <c r="E377" s="18"/>
      <c r="J377" s="4"/>
      <c r="M377" s="18"/>
      <c r="AF377" s="4"/>
      <c r="AG377" s="18"/>
    </row>
    <row r="378" ht="15.75" customHeight="1">
      <c r="D378" s="4"/>
      <c r="E378" s="18"/>
      <c r="J378" s="4"/>
      <c r="M378" s="18"/>
      <c r="AF378" s="4"/>
      <c r="AG378" s="18"/>
    </row>
    <row r="379" ht="15.75" customHeight="1">
      <c r="D379" s="4"/>
      <c r="E379" s="18"/>
      <c r="J379" s="4"/>
      <c r="M379" s="18"/>
      <c r="AF379" s="4"/>
      <c r="AG379" s="18"/>
    </row>
    <row r="380" ht="15.75" customHeight="1">
      <c r="D380" s="4"/>
      <c r="E380" s="18"/>
      <c r="J380" s="4"/>
      <c r="M380" s="18"/>
      <c r="AF380" s="4"/>
      <c r="AG380" s="18"/>
    </row>
    <row r="381" ht="15.75" customHeight="1">
      <c r="D381" s="4"/>
      <c r="E381" s="18"/>
      <c r="J381" s="4"/>
      <c r="M381" s="18"/>
      <c r="AF381" s="4"/>
      <c r="AG381" s="18"/>
    </row>
    <row r="382" ht="15.75" customHeight="1">
      <c r="D382" s="4"/>
      <c r="E382" s="18"/>
      <c r="J382" s="4"/>
      <c r="M382" s="18"/>
      <c r="AF382" s="4"/>
      <c r="AG382" s="18"/>
    </row>
    <row r="383" ht="15.75" customHeight="1">
      <c r="D383" s="4"/>
      <c r="E383" s="18"/>
      <c r="J383" s="4"/>
      <c r="M383" s="18"/>
      <c r="AF383" s="4"/>
      <c r="AG383" s="18"/>
    </row>
    <row r="384" ht="15.75" customHeight="1">
      <c r="D384" s="4"/>
      <c r="E384" s="18"/>
      <c r="J384" s="4"/>
      <c r="M384" s="18"/>
      <c r="AF384" s="4"/>
      <c r="AG384" s="18"/>
    </row>
    <row r="385" ht="15.75" customHeight="1">
      <c r="D385" s="4"/>
      <c r="E385" s="18"/>
      <c r="J385" s="4"/>
      <c r="M385" s="18"/>
      <c r="AF385" s="4"/>
      <c r="AG385" s="18"/>
    </row>
    <row r="386" ht="15.75" customHeight="1">
      <c r="D386" s="4"/>
      <c r="E386" s="18"/>
      <c r="J386" s="4"/>
      <c r="M386" s="18"/>
      <c r="AF386" s="4"/>
      <c r="AG386" s="18"/>
    </row>
    <row r="387" ht="15.75" customHeight="1">
      <c r="D387" s="4"/>
      <c r="E387" s="18"/>
      <c r="J387" s="4"/>
      <c r="M387" s="18"/>
      <c r="AF387" s="4"/>
      <c r="AG387" s="18"/>
    </row>
    <row r="388" ht="15.75" customHeight="1">
      <c r="D388" s="4"/>
      <c r="E388" s="18"/>
      <c r="J388" s="4"/>
      <c r="M388" s="18"/>
      <c r="AF388" s="4"/>
      <c r="AG388" s="18"/>
    </row>
    <row r="389" ht="15.75" customHeight="1">
      <c r="D389" s="4"/>
      <c r="E389" s="18"/>
      <c r="J389" s="4"/>
      <c r="M389" s="18"/>
      <c r="AF389" s="4"/>
      <c r="AG389" s="18"/>
    </row>
    <row r="390" ht="15.75" customHeight="1">
      <c r="D390" s="4"/>
      <c r="E390" s="18"/>
      <c r="J390" s="4"/>
      <c r="M390" s="18"/>
      <c r="AF390" s="4"/>
      <c r="AG390" s="18"/>
    </row>
    <row r="391" ht="15.75" customHeight="1">
      <c r="D391" s="4"/>
      <c r="E391" s="18"/>
      <c r="J391" s="4"/>
      <c r="M391" s="18"/>
      <c r="AF391" s="4"/>
      <c r="AG391" s="18"/>
    </row>
    <row r="392" ht="15.75" customHeight="1">
      <c r="D392" s="4"/>
      <c r="E392" s="18"/>
      <c r="J392" s="4"/>
      <c r="M392" s="18"/>
      <c r="AF392" s="4"/>
      <c r="AG392" s="18"/>
    </row>
    <row r="393" ht="15.75" customHeight="1">
      <c r="D393" s="4"/>
      <c r="E393" s="18"/>
      <c r="J393" s="4"/>
      <c r="M393" s="18"/>
      <c r="AF393" s="4"/>
      <c r="AG393" s="18"/>
    </row>
    <row r="394" ht="15.75" customHeight="1">
      <c r="D394" s="4"/>
      <c r="E394" s="18"/>
      <c r="J394" s="4"/>
      <c r="M394" s="18"/>
      <c r="AF394" s="4"/>
      <c r="AG394" s="18"/>
    </row>
    <row r="395" ht="15.75" customHeight="1">
      <c r="D395" s="4"/>
      <c r="E395" s="18"/>
      <c r="J395" s="4"/>
      <c r="M395" s="18"/>
      <c r="AF395" s="4"/>
      <c r="AG395" s="18"/>
    </row>
    <row r="396" ht="15.75" customHeight="1">
      <c r="D396" s="4"/>
      <c r="E396" s="18"/>
      <c r="J396" s="4"/>
      <c r="M396" s="18"/>
      <c r="AF396" s="4"/>
      <c r="AG396" s="18"/>
    </row>
    <row r="397" ht="15.75" customHeight="1">
      <c r="D397" s="4"/>
      <c r="E397" s="18"/>
      <c r="J397" s="4"/>
      <c r="M397" s="18"/>
      <c r="AF397" s="4"/>
      <c r="AG397" s="18"/>
    </row>
    <row r="398" ht="15.75" customHeight="1">
      <c r="D398" s="4"/>
      <c r="E398" s="18"/>
      <c r="J398" s="4"/>
      <c r="M398" s="18"/>
      <c r="AF398" s="4"/>
      <c r="AG398" s="18"/>
    </row>
    <row r="399" ht="15.75" customHeight="1">
      <c r="D399" s="4"/>
      <c r="E399" s="18"/>
      <c r="J399" s="4"/>
      <c r="M399" s="18"/>
      <c r="AF399" s="4"/>
      <c r="AG399" s="18"/>
    </row>
    <row r="400" ht="15.75" customHeight="1">
      <c r="D400" s="4"/>
      <c r="E400" s="18"/>
      <c r="J400" s="4"/>
      <c r="M400" s="18"/>
      <c r="AF400" s="4"/>
      <c r="AG400" s="18"/>
    </row>
    <row r="401" ht="15.75" customHeight="1">
      <c r="D401" s="4"/>
      <c r="E401" s="18"/>
      <c r="J401" s="4"/>
      <c r="M401" s="18"/>
      <c r="AF401" s="4"/>
      <c r="AG401" s="18"/>
    </row>
    <row r="402" ht="15.75" customHeight="1">
      <c r="D402" s="4"/>
      <c r="E402" s="18"/>
      <c r="J402" s="4"/>
      <c r="M402" s="18"/>
      <c r="AF402" s="4"/>
      <c r="AG402" s="18"/>
    </row>
    <row r="403" ht="15.75" customHeight="1">
      <c r="D403" s="4"/>
      <c r="E403" s="18"/>
      <c r="J403" s="4"/>
      <c r="M403" s="18"/>
      <c r="AF403" s="4"/>
      <c r="AG403" s="18"/>
    </row>
    <row r="404" ht="15.75" customHeight="1">
      <c r="D404" s="4"/>
      <c r="E404" s="18"/>
      <c r="J404" s="4"/>
      <c r="M404" s="18"/>
      <c r="AF404" s="4"/>
      <c r="AG404" s="18"/>
    </row>
    <row r="405" ht="15.75" customHeight="1">
      <c r="D405" s="4"/>
      <c r="E405" s="18"/>
      <c r="J405" s="4"/>
      <c r="M405" s="18"/>
      <c r="AF405" s="4"/>
      <c r="AG405" s="18"/>
    </row>
    <row r="406" ht="15.75" customHeight="1">
      <c r="D406" s="4"/>
      <c r="E406" s="18"/>
      <c r="J406" s="4"/>
      <c r="M406" s="18"/>
      <c r="AF406" s="4"/>
      <c r="AG406" s="18"/>
    </row>
    <row r="407" ht="15.75" customHeight="1">
      <c r="D407" s="4"/>
      <c r="E407" s="18"/>
      <c r="J407" s="4"/>
      <c r="M407" s="18"/>
      <c r="AF407" s="4"/>
      <c r="AG407" s="18"/>
    </row>
    <row r="408" ht="15.75" customHeight="1">
      <c r="D408" s="4"/>
      <c r="E408" s="18"/>
      <c r="J408" s="4"/>
      <c r="M408" s="18"/>
      <c r="AF408" s="4"/>
      <c r="AG408" s="18"/>
    </row>
    <row r="409" ht="15.75" customHeight="1">
      <c r="D409" s="4"/>
      <c r="E409" s="18"/>
      <c r="J409" s="4"/>
      <c r="M409" s="18"/>
      <c r="AF409" s="4"/>
      <c r="AG409" s="18"/>
    </row>
    <row r="410" ht="15.75" customHeight="1">
      <c r="D410" s="4"/>
      <c r="E410" s="18"/>
      <c r="J410" s="4"/>
      <c r="M410" s="18"/>
      <c r="AF410" s="4"/>
      <c r="AG410" s="18"/>
    </row>
    <row r="411" ht="15.75" customHeight="1">
      <c r="D411" s="4"/>
      <c r="E411" s="18"/>
      <c r="J411" s="4"/>
      <c r="M411" s="18"/>
      <c r="AF411" s="4"/>
      <c r="AG411" s="18"/>
    </row>
    <row r="412" ht="15.75" customHeight="1">
      <c r="D412" s="4"/>
      <c r="E412" s="18"/>
      <c r="J412" s="4"/>
      <c r="M412" s="18"/>
      <c r="AF412" s="4"/>
      <c r="AG412" s="18"/>
    </row>
    <row r="413" ht="15.75" customHeight="1">
      <c r="D413" s="4"/>
      <c r="E413" s="18"/>
      <c r="J413" s="4"/>
      <c r="M413" s="18"/>
      <c r="AF413" s="4"/>
      <c r="AG413" s="18"/>
    </row>
    <row r="414" ht="15.75" customHeight="1">
      <c r="D414" s="4"/>
      <c r="E414" s="18"/>
      <c r="J414" s="4"/>
      <c r="M414" s="18"/>
      <c r="AF414" s="4"/>
      <c r="AG414" s="18"/>
    </row>
    <row r="415" ht="15.75" customHeight="1">
      <c r="D415" s="4"/>
      <c r="E415" s="18"/>
      <c r="J415" s="4"/>
      <c r="M415" s="18"/>
      <c r="AF415" s="4"/>
      <c r="AG415" s="18"/>
    </row>
    <row r="416" ht="15.75" customHeight="1">
      <c r="D416" s="4"/>
      <c r="E416" s="18"/>
      <c r="J416" s="4"/>
      <c r="M416" s="18"/>
      <c r="AF416" s="4"/>
      <c r="AG416" s="18"/>
    </row>
    <row r="417" ht="15.75" customHeight="1">
      <c r="D417" s="4"/>
      <c r="E417" s="18"/>
      <c r="J417" s="4"/>
      <c r="M417" s="18"/>
      <c r="AF417" s="4"/>
      <c r="AG417" s="18"/>
    </row>
    <row r="418" ht="15.75" customHeight="1">
      <c r="D418" s="4"/>
      <c r="E418" s="18"/>
      <c r="J418" s="4"/>
      <c r="M418" s="18"/>
      <c r="AF418" s="4"/>
      <c r="AG418" s="18"/>
    </row>
    <row r="419" ht="15.75" customHeight="1">
      <c r="D419" s="4"/>
      <c r="E419" s="18"/>
      <c r="J419" s="4"/>
      <c r="M419" s="18"/>
      <c r="AF419" s="4"/>
      <c r="AG419" s="18"/>
    </row>
    <row r="420" ht="15.75" customHeight="1">
      <c r="D420" s="4"/>
      <c r="E420" s="18"/>
      <c r="J420" s="4"/>
      <c r="M420" s="18"/>
      <c r="AF420" s="4"/>
      <c r="AG420" s="18"/>
    </row>
    <row r="421" ht="15.75" customHeight="1">
      <c r="D421" s="4"/>
      <c r="E421" s="18"/>
      <c r="J421" s="4"/>
      <c r="M421" s="18"/>
      <c r="AF421" s="4"/>
      <c r="AG421" s="18"/>
    </row>
    <row r="422" ht="15.75" customHeight="1">
      <c r="D422" s="4"/>
      <c r="E422" s="18"/>
      <c r="J422" s="4"/>
      <c r="M422" s="18"/>
      <c r="AF422" s="4"/>
      <c r="AG422" s="18"/>
    </row>
    <row r="423" ht="15.75" customHeight="1">
      <c r="D423" s="4"/>
      <c r="E423" s="18"/>
      <c r="J423" s="4"/>
      <c r="M423" s="18"/>
      <c r="AF423" s="4"/>
      <c r="AG423" s="18"/>
    </row>
    <row r="424" ht="15.75" customHeight="1">
      <c r="D424" s="4"/>
      <c r="E424" s="18"/>
      <c r="J424" s="4"/>
      <c r="M424" s="18"/>
      <c r="AF424" s="4"/>
      <c r="AG424" s="18"/>
    </row>
    <row r="425" ht="15.75" customHeight="1">
      <c r="D425" s="4"/>
      <c r="E425" s="18"/>
      <c r="J425" s="4"/>
      <c r="M425" s="18"/>
      <c r="AF425" s="4"/>
      <c r="AG425" s="18"/>
    </row>
    <row r="426" ht="15.75" customHeight="1">
      <c r="D426" s="4"/>
      <c r="E426" s="18"/>
      <c r="J426" s="4"/>
      <c r="M426" s="18"/>
      <c r="AF426" s="4"/>
      <c r="AG426" s="18"/>
    </row>
    <row r="427" ht="15.75" customHeight="1">
      <c r="D427" s="4"/>
      <c r="E427" s="18"/>
      <c r="J427" s="4"/>
      <c r="M427" s="18"/>
      <c r="AF427" s="4"/>
      <c r="AG427" s="18"/>
    </row>
    <row r="428" ht="15.75" customHeight="1">
      <c r="D428" s="4"/>
      <c r="E428" s="18"/>
      <c r="J428" s="4"/>
      <c r="M428" s="18"/>
      <c r="AF428" s="4"/>
      <c r="AG428" s="18"/>
    </row>
    <row r="429" ht="15.75" customHeight="1">
      <c r="D429" s="4"/>
      <c r="E429" s="18"/>
      <c r="J429" s="4"/>
      <c r="M429" s="18"/>
      <c r="AF429" s="4"/>
      <c r="AG429" s="18"/>
    </row>
    <row r="430" ht="15.75" customHeight="1">
      <c r="D430" s="4"/>
      <c r="E430" s="18"/>
      <c r="J430" s="4"/>
      <c r="M430" s="18"/>
      <c r="AF430" s="4"/>
      <c r="AG430" s="18"/>
    </row>
    <row r="431" ht="15.75" customHeight="1">
      <c r="D431" s="4"/>
      <c r="E431" s="18"/>
      <c r="J431" s="4"/>
      <c r="M431" s="18"/>
      <c r="AF431" s="4"/>
      <c r="AG431" s="18"/>
    </row>
    <row r="432" ht="15.75" customHeight="1">
      <c r="D432" s="4"/>
      <c r="E432" s="18"/>
      <c r="J432" s="4"/>
      <c r="M432" s="18"/>
      <c r="AF432" s="4"/>
      <c r="AG432" s="18"/>
    </row>
    <row r="433" ht="15.75" customHeight="1">
      <c r="D433" s="4"/>
      <c r="E433" s="18"/>
      <c r="J433" s="4"/>
      <c r="M433" s="18"/>
      <c r="AF433" s="4"/>
      <c r="AG433" s="18"/>
    </row>
    <row r="434" ht="15.75" customHeight="1">
      <c r="D434" s="4"/>
      <c r="E434" s="18"/>
      <c r="J434" s="4"/>
      <c r="M434" s="18"/>
      <c r="AF434" s="4"/>
      <c r="AG434" s="18"/>
    </row>
    <row r="435" ht="15.75" customHeight="1">
      <c r="D435" s="4"/>
      <c r="E435" s="18"/>
      <c r="J435" s="4"/>
      <c r="M435" s="18"/>
      <c r="AF435" s="4"/>
      <c r="AG435" s="18"/>
    </row>
    <row r="436" ht="15.75" customHeight="1">
      <c r="D436" s="4"/>
      <c r="E436" s="18"/>
      <c r="J436" s="4"/>
      <c r="M436" s="18"/>
      <c r="AF436" s="4"/>
      <c r="AG436" s="18"/>
    </row>
    <row r="437" ht="15.75" customHeight="1">
      <c r="D437" s="4"/>
      <c r="E437" s="18"/>
      <c r="J437" s="4"/>
      <c r="M437" s="18"/>
      <c r="AF437" s="4"/>
      <c r="AG437" s="18"/>
    </row>
    <row r="438" ht="15.75" customHeight="1">
      <c r="D438" s="4"/>
      <c r="E438" s="18"/>
      <c r="J438" s="4"/>
      <c r="M438" s="18"/>
      <c r="AF438" s="4"/>
      <c r="AG438" s="18"/>
    </row>
    <row r="439" ht="15.75" customHeight="1">
      <c r="D439" s="4"/>
      <c r="E439" s="18"/>
      <c r="J439" s="4"/>
      <c r="M439" s="18"/>
      <c r="AF439" s="4"/>
      <c r="AG439" s="18"/>
    </row>
    <row r="440" ht="15.75" customHeight="1">
      <c r="D440" s="4"/>
      <c r="E440" s="18"/>
      <c r="J440" s="4"/>
      <c r="M440" s="18"/>
      <c r="AF440" s="4"/>
      <c r="AG440" s="18"/>
    </row>
    <row r="441" ht="15.75" customHeight="1">
      <c r="D441" s="4"/>
      <c r="E441" s="18"/>
      <c r="J441" s="4"/>
      <c r="M441" s="18"/>
      <c r="AF441" s="4"/>
      <c r="AG441" s="18"/>
    </row>
    <row r="442" ht="15.75" customHeight="1">
      <c r="D442" s="4"/>
      <c r="E442" s="18"/>
      <c r="J442" s="4"/>
      <c r="M442" s="18"/>
      <c r="AF442" s="4"/>
      <c r="AG442" s="18"/>
    </row>
    <row r="443" ht="15.75" customHeight="1">
      <c r="D443" s="4"/>
      <c r="E443" s="18"/>
      <c r="J443" s="4"/>
      <c r="M443" s="18"/>
      <c r="AF443" s="4"/>
      <c r="AG443" s="18"/>
    </row>
    <row r="444" ht="15.75" customHeight="1">
      <c r="D444" s="4"/>
      <c r="E444" s="18"/>
      <c r="J444" s="4"/>
      <c r="M444" s="18"/>
      <c r="AF444" s="4"/>
      <c r="AG444" s="18"/>
    </row>
    <row r="445" ht="15.75" customHeight="1">
      <c r="D445" s="4"/>
      <c r="E445" s="18"/>
      <c r="J445" s="4"/>
      <c r="M445" s="18"/>
      <c r="AF445" s="4"/>
      <c r="AG445" s="18"/>
    </row>
    <row r="446" ht="15.75" customHeight="1">
      <c r="D446" s="4"/>
      <c r="E446" s="18"/>
      <c r="J446" s="4"/>
      <c r="M446" s="18"/>
      <c r="AF446" s="4"/>
      <c r="AG446" s="18"/>
    </row>
    <row r="447" ht="15.75" customHeight="1">
      <c r="D447" s="4"/>
      <c r="E447" s="18"/>
      <c r="J447" s="4"/>
      <c r="M447" s="18"/>
      <c r="AF447" s="4"/>
      <c r="AG447" s="18"/>
    </row>
    <row r="448" ht="15.75" customHeight="1">
      <c r="D448" s="4"/>
      <c r="E448" s="18"/>
      <c r="J448" s="4"/>
      <c r="M448" s="18"/>
      <c r="AF448" s="4"/>
      <c r="AG448" s="18"/>
    </row>
    <row r="449" ht="15.75" customHeight="1">
      <c r="D449" s="4"/>
      <c r="E449" s="18"/>
      <c r="J449" s="4"/>
      <c r="M449" s="18"/>
      <c r="AF449" s="4"/>
      <c r="AG449" s="18"/>
    </row>
    <row r="450" ht="15.75" customHeight="1">
      <c r="D450" s="4"/>
      <c r="E450" s="18"/>
      <c r="J450" s="4"/>
      <c r="M450" s="18"/>
      <c r="AF450" s="4"/>
      <c r="AG450" s="18"/>
    </row>
    <row r="451" ht="15.75" customHeight="1">
      <c r="D451" s="4"/>
      <c r="E451" s="18"/>
      <c r="J451" s="4"/>
      <c r="M451" s="18"/>
      <c r="AF451" s="4"/>
      <c r="AG451" s="18"/>
    </row>
    <row r="452" ht="15.75" customHeight="1">
      <c r="D452" s="4"/>
      <c r="E452" s="18"/>
      <c r="J452" s="4"/>
      <c r="M452" s="18"/>
      <c r="AF452" s="4"/>
      <c r="AG452" s="18"/>
    </row>
    <row r="453" ht="15.75" customHeight="1">
      <c r="D453" s="4"/>
      <c r="E453" s="18"/>
      <c r="J453" s="4"/>
      <c r="M453" s="18"/>
      <c r="AF453" s="4"/>
      <c r="AG453" s="18"/>
    </row>
    <row r="454" ht="15.75" customHeight="1">
      <c r="D454" s="4"/>
      <c r="E454" s="18"/>
      <c r="J454" s="4"/>
      <c r="M454" s="18"/>
      <c r="AF454" s="4"/>
      <c r="AG454" s="18"/>
    </row>
    <row r="455" ht="15.75" customHeight="1">
      <c r="D455" s="4"/>
      <c r="E455" s="18"/>
      <c r="J455" s="4"/>
      <c r="M455" s="18"/>
      <c r="AF455" s="4"/>
      <c r="AG455" s="18"/>
    </row>
    <row r="456" ht="15.75" customHeight="1">
      <c r="D456" s="4"/>
      <c r="E456" s="18"/>
      <c r="J456" s="4"/>
      <c r="M456" s="18"/>
      <c r="AF456" s="4"/>
      <c r="AG456" s="18"/>
    </row>
    <row r="457" ht="15.75" customHeight="1">
      <c r="D457" s="4"/>
      <c r="E457" s="18"/>
      <c r="J457" s="4"/>
      <c r="M457" s="18"/>
      <c r="AF457" s="4"/>
      <c r="AG457" s="18"/>
    </row>
    <row r="458" ht="15.75" customHeight="1">
      <c r="D458" s="4"/>
      <c r="E458" s="18"/>
      <c r="J458" s="4"/>
      <c r="M458" s="18"/>
      <c r="AF458" s="4"/>
      <c r="AG458" s="18"/>
    </row>
    <row r="459" ht="15.75" customHeight="1">
      <c r="D459" s="4"/>
      <c r="E459" s="18"/>
      <c r="J459" s="4"/>
      <c r="M459" s="18"/>
      <c r="AF459" s="4"/>
      <c r="AG459" s="18"/>
    </row>
    <row r="460" ht="15.75" customHeight="1">
      <c r="D460" s="4"/>
      <c r="E460" s="18"/>
      <c r="J460" s="4"/>
      <c r="M460" s="18"/>
      <c r="AF460" s="4"/>
      <c r="AG460" s="18"/>
    </row>
    <row r="461" ht="15.75" customHeight="1">
      <c r="D461" s="4"/>
      <c r="E461" s="18"/>
      <c r="J461" s="4"/>
      <c r="M461" s="18"/>
      <c r="AF461" s="4"/>
      <c r="AG461" s="18"/>
    </row>
    <row r="462" ht="15.75" customHeight="1">
      <c r="D462" s="4"/>
      <c r="E462" s="18"/>
      <c r="J462" s="4"/>
      <c r="M462" s="18"/>
      <c r="AF462" s="4"/>
      <c r="AG462" s="18"/>
    </row>
    <row r="463" ht="15.75" customHeight="1">
      <c r="D463" s="4"/>
      <c r="E463" s="18"/>
      <c r="J463" s="4"/>
      <c r="M463" s="18"/>
      <c r="AF463" s="4"/>
      <c r="AG463" s="18"/>
    </row>
    <row r="464" ht="15.75" customHeight="1">
      <c r="D464" s="4"/>
      <c r="E464" s="18"/>
      <c r="J464" s="4"/>
      <c r="M464" s="18"/>
      <c r="AF464" s="4"/>
      <c r="AG464" s="18"/>
    </row>
    <row r="465" ht="15.75" customHeight="1">
      <c r="D465" s="4"/>
      <c r="E465" s="18"/>
      <c r="J465" s="4"/>
      <c r="M465" s="18"/>
      <c r="AF465" s="4"/>
      <c r="AG465" s="18"/>
    </row>
    <row r="466" ht="15.75" customHeight="1">
      <c r="D466" s="4"/>
      <c r="E466" s="18"/>
      <c r="J466" s="4"/>
      <c r="M466" s="18"/>
      <c r="AF466" s="4"/>
      <c r="AG466" s="18"/>
    </row>
    <row r="467" ht="15.75" customHeight="1">
      <c r="D467" s="4"/>
      <c r="E467" s="18"/>
      <c r="J467" s="4"/>
      <c r="M467" s="18"/>
      <c r="AF467" s="4"/>
      <c r="AG467" s="18"/>
    </row>
    <row r="468" ht="15.75" customHeight="1">
      <c r="D468" s="4"/>
      <c r="E468" s="18"/>
      <c r="J468" s="4"/>
      <c r="M468" s="18"/>
      <c r="AF468" s="4"/>
      <c r="AG468" s="18"/>
    </row>
    <row r="469" ht="15.75" customHeight="1">
      <c r="D469" s="4"/>
      <c r="E469" s="18"/>
      <c r="J469" s="4"/>
      <c r="M469" s="18"/>
      <c r="AF469" s="4"/>
      <c r="AG469" s="18"/>
    </row>
    <row r="470" ht="15.75" customHeight="1">
      <c r="D470" s="4"/>
      <c r="E470" s="18"/>
      <c r="J470" s="4"/>
      <c r="M470" s="18"/>
      <c r="AF470" s="4"/>
      <c r="AG470" s="18"/>
    </row>
    <row r="471" ht="15.75" customHeight="1">
      <c r="D471" s="4"/>
      <c r="E471" s="18"/>
      <c r="J471" s="4"/>
      <c r="M471" s="18"/>
      <c r="AF471" s="4"/>
      <c r="AG471" s="18"/>
    </row>
    <row r="472" ht="15.75" customHeight="1">
      <c r="D472" s="4"/>
      <c r="E472" s="18"/>
      <c r="J472" s="4"/>
      <c r="M472" s="18"/>
      <c r="AF472" s="4"/>
      <c r="AG472" s="18"/>
    </row>
    <row r="473" ht="15.75" customHeight="1">
      <c r="D473" s="4"/>
      <c r="E473" s="18"/>
      <c r="J473" s="4"/>
      <c r="M473" s="18"/>
      <c r="AF473" s="4"/>
      <c r="AG473" s="18"/>
    </row>
    <row r="474" ht="15.75" customHeight="1">
      <c r="D474" s="4"/>
      <c r="E474" s="18"/>
      <c r="J474" s="4"/>
      <c r="M474" s="18"/>
      <c r="AF474" s="4"/>
      <c r="AG474" s="18"/>
    </row>
    <row r="475" ht="15.75" customHeight="1">
      <c r="D475" s="4"/>
      <c r="E475" s="18"/>
      <c r="J475" s="4"/>
      <c r="M475" s="18"/>
      <c r="AF475" s="4"/>
      <c r="AG475" s="18"/>
    </row>
    <row r="476" ht="15.75" customHeight="1">
      <c r="D476" s="4"/>
      <c r="E476" s="18"/>
      <c r="J476" s="4"/>
      <c r="M476" s="18"/>
      <c r="AF476" s="4"/>
      <c r="AG476" s="18"/>
    </row>
    <row r="477" ht="15.75" customHeight="1">
      <c r="D477" s="4"/>
      <c r="E477" s="18"/>
      <c r="J477" s="4"/>
      <c r="M477" s="18"/>
      <c r="AF477" s="4"/>
      <c r="AG477" s="18"/>
    </row>
    <row r="478" ht="15.75" customHeight="1">
      <c r="D478" s="4"/>
      <c r="E478" s="18"/>
      <c r="J478" s="4"/>
      <c r="M478" s="18"/>
      <c r="AF478" s="4"/>
      <c r="AG478" s="18"/>
    </row>
    <row r="479" ht="15.75" customHeight="1">
      <c r="D479" s="4"/>
      <c r="E479" s="18"/>
      <c r="J479" s="4"/>
      <c r="M479" s="18"/>
      <c r="AF479" s="4"/>
      <c r="AG479" s="18"/>
    </row>
    <row r="480" ht="15.75" customHeight="1">
      <c r="D480" s="4"/>
      <c r="E480" s="18"/>
      <c r="J480" s="4"/>
      <c r="M480" s="18"/>
      <c r="AF480" s="4"/>
      <c r="AG480" s="18"/>
    </row>
    <row r="481" ht="15.75" customHeight="1">
      <c r="D481" s="4"/>
      <c r="E481" s="18"/>
      <c r="J481" s="4"/>
      <c r="M481" s="18"/>
      <c r="AF481" s="4"/>
      <c r="AG481" s="18"/>
    </row>
    <row r="482" ht="15.75" customHeight="1">
      <c r="D482" s="4"/>
      <c r="E482" s="18"/>
      <c r="J482" s="4"/>
      <c r="M482" s="18"/>
      <c r="AF482" s="4"/>
      <c r="AG482" s="18"/>
    </row>
    <row r="483" ht="15.75" customHeight="1">
      <c r="D483" s="4"/>
      <c r="E483" s="18"/>
      <c r="J483" s="4"/>
      <c r="M483" s="18"/>
      <c r="AF483" s="4"/>
      <c r="AG483" s="18"/>
    </row>
    <row r="484" ht="15.75" customHeight="1">
      <c r="D484" s="4"/>
      <c r="E484" s="18"/>
      <c r="J484" s="4"/>
      <c r="M484" s="18"/>
      <c r="AF484" s="4"/>
      <c r="AG484" s="18"/>
    </row>
    <row r="485" ht="15.75" customHeight="1">
      <c r="D485" s="4"/>
      <c r="E485" s="18"/>
      <c r="J485" s="4"/>
      <c r="M485" s="18"/>
      <c r="AF485" s="4"/>
      <c r="AG485" s="18"/>
    </row>
    <row r="486" ht="15.75" customHeight="1">
      <c r="D486" s="4"/>
      <c r="E486" s="18"/>
      <c r="J486" s="4"/>
      <c r="M486" s="18"/>
      <c r="AF486" s="4"/>
      <c r="AG486" s="18"/>
    </row>
    <row r="487" ht="15.75" customHeight="1">
      <c r="D487" s="4"/>
      <c r="E487" s="18"/>
      <c r="J487" s="4"/>
      <c r="M487" s="18"/>
      <c r="AF487" s="4"/>
      <c r="AG487" s="18"/>
    </row>
    <row r="488" ht="15.75" customHeight="1">
      <c r="D488" s="4"/>
      <c r="E488" s="18"/>
      <c r="J488" s="4"/>
      <c r="M488" s="18"/>
      <c r="AF488" s="4"/>
      <c r="AG488" s="18"/>
    </row>
    <row r="489" ht="15.75" customHeight="1">
      <c r="D489" s="4"/>
      <c r="E489" s="18"/>
      <c r="J489" s="4"/>
      <c r="M489" s="18"/>
      <c r="AF489" s="4"/>
      <c r="AG489" s="18"/>
    </row>
    <row r="490" ht="15.75" customHeight="1">
      <c r="D490" s="4"/>
      <c r="E490" s="18"/>
      <c r="J490" s="4"/>
      <c r="M490" s="18"/>
      <c r="AF490" s="4"/>
      <c r="AG490" s="18"/>
    </row>
    <row r="491" ht="15.75" customHeight="1">
      <c r="D491" s="4"/>
      <c r="E491" s="18"/>
      <c r="J491" s="4"/>
      <c r="M491" s="18"/>
      <c r="AF491" s="4"/>
      <c r="AG491" s="18"/>
    </row>
    <row r="492" ht="15.75" customHeight="1">
      <c r="D492" s="4"/>
      <c r="E492" s="18"/>
      <c r="J492" s="4"/>
      <c r="M492" s="18"/>
      <c r="AF492" s="4"/>
      <c r="AG492" s="18"/>
    </row>
    <row r="493" ht="15.75" customHeight="1">
      <c r="D493" s="4"/>
      <c r="E493" s="18"/>
      <c r="J493" s="4"/>
      <c r="M493" s="18"/>
      <c r="AF493" s="4"/>
      <c r="AG493" s="18"/>
    </row>
    <row r="494" ht="15.75" customHeight="1">
      <c r="D494" s="4"/>
      <c r="E494" s="18"/>
      <c r="J494" s="4"/>
      <c r="M494" s="18"/>
      <c r="AF494" s="4"/>
      <c r="AG494" s="18"/>
    </row>
    <row r="495" ht="15.75" customHeight="1">
      <c r="D495" s="4"/>
      <c r="E495" s="18"/>
      <c r="J495" s="4"/>
      <c r="M495" s="18"/>
      <c r="AF495" s="4"/>
      <c r="AG495" s="18"/>
    </row>
    <row r="496" ht="15.75" customHeight="1">
      <c r="D496" s="4"/>
      <c r="E496" s="18"/>
      <c r="J496" s="4"/>
      <c r="M496" s="18"/>
      <c r="AF496" s="4"/>
      <c r="AG496" s="18"/>
    </row>
    <row r="497" ht="15.75" customHeight="1">
      <c r="D497" s="4"/>
      <c r="E497" s="18"/>
      <c r="J497" s="4"/>
      <c r="M497" s="18"/>
      <c r="AF497" s="4"/>
      <c r="AG497" s="18"/>
    </row>
    <row r="498" ht="15.75" customHeight="1">
      <c r="D498" s="4"/>
      <c r="E498" s="18"/>
      <c r="J498" s="4"/>
      <c r="M498" s="18"/>
      <c r="AF498" s="4"/>
      <c r="AG498" s="18"/>
    </row>
    <row r="499" ht="15.75" customHeight="1">
      <c r="D499" s="4"/>
      <c r="E499" s="18"/>
      <c r="J499" s="4"/>
      <c r="M499" s="18"/>
      <c r="AF499" s="4"/>
      <c r="AG499" s="18"/>
    </row>
    <row r="500" ht="15.75" customHeight="1">
      <c r="D500" s="4"/>
      <c r="E500" s="18"/>
      <c r="J500" s="4"/>
      <c r="M500" s="18"/>
      <c r="AF500" s="4"/>
      <c r="AG500" s="18"/>
    </row>
    <row r="501" ht="15.75" customHeight="1">
      <c r="D501" s="4"/>
      <c r="E501" s="18"/>
      <c r="J501" s="4"/>
      <c r="M501" s="18"/>
      <c r="AF501" s="4"/>
      <c r="AG501" s="18"/>
    </row>
    <row r="502" ht="15.75" customHeight="1">
      <c r="D502" s="4"/>
      <c r="E502" s="18"/>
      <c r="J502" s="4"/>
      <c r="M502" s="18"/>
      <c r="AF502" s="4"/>
      <c r="AG502" s="18"/>
    </row>
    <row r="503" ht="15.75" customHeight="1">
      <c r="D503" s="4"/>
      <c r="E503" s="18"/>
      <c r="J503" s="4"/>
      <c r="M503" s="18"/>
      <c r="AF503" s="4"/>
      <c r="AG503" s="18"/>
    </row>
    <row r="504" ht="15.75" customHeight="1">
      <c r="D504" s="4"/>
      <c r="E504" s="18"/>
      <c r="J504" s="4"/>
      <c r="M504" s="18"/>
      <c r="AF504" s="4"/>
      <c r="AG504" s="18"/>
    </row>
    <row r="505" ht="15.75" customHeight="1">
      <c r="D505" s="4"/>
      <c r="E505" s="18"/>
      <c r="J505" s="4"/>
      <c r="M505" s="18"/>
      <c r="AF505" s="4"/>
      <c r="AG505" s="18"/>
    </row>
    <row r="506" ht="15.75" customHeight="1">
      <c r="D506" s="4"/>
      <c r="E506" s="18"/>
      <c r="J506" s="4"/>
      <c r="M506" s="18"/>
      <c r="AF506" s="4"/>
      <c r="AG506" s="18"/>
    </row>
    <row r="507" ht="15.75" customHeight="1">
      <c r="D507" s="4"/>
      <c r="E507" s="18"/>
      <c r="J507" s="4"/>
      <c r="M507" s="18"/>
      <c r="AF507" s="4"/>
      <c r="AG507" s="18"/>
    </row>
    <row r="508" ht="15.75" customHeight="1">
      <c r="D508" s="4"/>
      <c r="E508" s="18"/>
      <c r="J508" s="4"/>
      <c r="M508" s="18"/>
      <c r="AF508" s="4"/>
      <c r="AG508" s="18"/>
    </row>
    <row r="509" ht="15.75" customHeight="1">
      <c r="D509" s="4"/>
      <c r="E509" s="18"/>
      <c r="J509" s="4"/>
      <c r="M509" s="18"/>
      <c r="AF509" s="4"/>
      <c r="AG509" s="18"/>
    </row>
    <row r="510" ht="15.75" customHeight="1">
      <c r="D510" s="4"/>
      <c r="E510" s="18"/>
      <c r="J510" s="4"/>
      <c r="M510" s="18"/>
      <c r="AF510" s="4"/>
      <c r="AG510" s="18"/>
    </row>
    <row r="511" ht="15.75" customHeight="1">
      <c r="D511" s="4"/>
      <c r="E511" s="18"/>
      <c r="J511" s="4"/>
      <c r="M511" s="18"/>
      <c r="AF511" s="4"/>
      <c r="AG511" s="18"/>
    </row>
    <row r="512" ht="15.75" customHeight="1">
      <c r="D512" s="4"/>
      <c r="E512" s="18"/>
      <c r="J512" s="4"/>
      <c r="M512" s="18"/>
      <c r="AF512" s="4"/>
      <c r="AG512" s="18"/>
    </row>
    <row r="513" ht="15.75" customHeight="1">
      <c r="D513" s="4"/>
      <c r="E513" s="18"/>
      <c r="J513" s="4"/>
      <c r="M513" s="18"/>
      <c r="AF513" s="4"/>
      <c r="AG513" s="18"/>
    </row>
    <row r="514" ht="15.75" customHeight="1">
      <c r="D514" s="4"/>
      <c r="E514" s="18"/>
      <c r="J514" s="4"/>
      <c r="M514" s="18"/>
      <c r="AF514" s="4"/>
      <c r="AG514" s="18"/>
    </row>
    <row r="515" ht="15.75" customHeight="1">
      <c r="D515" s="4"/>
      <c r="E515" s="18"/>
      <c r="J515" s="4"/>
      <c r="M515" s="18"/>
      <c r="AF515" s="4"/>
      <c r="AG515" s="18"/>
    </row>
    <row r="516" ht="15.75" customHeight="1">
      <c r="D516" s="4"/>
      <c r="E516" s="18"/>
      <c r="J516" s="4"/>
      <c r="M516" s="18"/>
      <c r="AF516" s="4"/>
      <c r="AG516" s="18"/>
    </row>
    <row r="517" ht="15.75" customHeight="1">
      <c r="D517" s="4"/>
      <c r="E517" s="18"/>
      <c r="J517" s="4"/>
      <c r="M517" s="18"/>
      <c r="AF517" s="4"/>
      <c r="AG517" s="18"/>
    </row>
    <row r="518" ht="15.75" customHeight="1">
      <c r="D518" s="4"/>
      <c r="E518" s="18"/>
      <c r="J518" s="4"/>
      <c r="M518" s="18"/>
      <c r="AF518" s="4"/>
      <c r="AG518" s="18"/>
    </row>
    <row r="519" ht="15.75" customHeight="1">
      <c r="D519" s="4"/>
      <c r="E519" s="18"/>
      <c r="J519" s="4"/>
      <c r="M519" s="18"/>
      <c r="AF519" s="4"/>
      <c r="AG519" s="18"/>
    </row>
    <row r="520" ht="15.75" customHeight="1">
      <c r="D520" s="4"/>
      <c r="E520" s="18"/>
      <c r="J520" s="4"/>
      <c r="M520" s="18"/>
      <c r="AF520" s="4"/>
      <c r="AG520" s="18"/>
    </row>
    <row r="521" ht="15.75" customHeight="1">
      <c r="D521" s="4"/>
      <c r="E521" s="18"/>
      <c r="J521" s="4"/>
      <c r="M521" s="18"/>
      <c r="AF521" s="4"/>
      <c r="AG521" s="18"/>
    </row>
    <row r="522" ht="15.75" customHeight="1">
      <c r="D522" s="4"/>
      <c r="E522" s="18"/>
      <c r="J522" s="4"/>
      <c r="M522" s="18"/>
      <c r="AF522" s="4"/>
      <c r="AG522" s="18"/>
    </row>
    <row r="523" ht="15.75" customHeight="1">
      <c r="D523" s="4"/>
      <c r="E523" s="18"/>
      <c r="J523" s="4"/>
      <c r="M523" s="18"/>
      <c r="AF523" s="4"/>
      <c r="AG523" s="18"/>
    </row>
    <row r="524" ht="15.75" customHeight="1">
      <c r="D524" s="4"/>
      <c r="E524" s="18"/>
      <c r="J524" s="4"/>
      <c r="M524" s="18"/>
      <c r="AF524" s="4"/>
      <c r="AG524" s="18"/>
    </row>
    <row r="525" ht="15.75" customHeight="1">
      <c r="D525" s="4"/>
      <c r="E525" s="18"/>
      <c r="J525" s="4"/>
      <c r="M525" s="18"/>
      <c r="AF525" s="4"/>
      <c r="AG525" s="18"/>
    </row>
    <row r="526" ht="15.75" customHeight="1">
      <c r="D526" s="4"/>
      <c r="E526" s="18"/>
      <c r="J526" s="4"/>
      <c r="M526" s="18"/>
      <c r="AF526" s="4"/>
      <c r="AG526" s="18"/>
    </row>
    <row r="527" ht="15.75" customHeight="1">
      <c r="D527" s="4"/>
      <c r="E527" s="18"/>
      <c r="J527" s="4"/>
      <c r="M527" s="18"/>
      <c r="AF527" s="4"/>
      <c r="AG527" s="18"/>
    </row>
    <row r="528" ht="15.75" customHeight="1">
      <c r="D528" s="4"/>
      <c r="E528" s="18"/>
      <c r="J528" s="4"/>
      <c r="M528" s="18"/>
      <c r="AF528" s="4"/>
      <c r="AG528" s="18"/>
    </row>
    <row r="529" ht="15.75" customHeight="1">
      <c r="D529" s="4"/>
      <c r="E529" s="18"/>
      <c r="J529" s="4"/>
      <c r="M529" s="18"/>
      <c r="AF529" s="4"/>
      <c r="AG529" s="18"/>
    </row>
    <row r="530" ht="15.75" customHeight="1">
      <c r="D530" s="4"/>
      <c r="E530" s="18"/>
      <c r="J530" s="4"/>
      <c r="M530" s="18"/>
      <c r="AF530" s="4"/>
      <c r="AG530" s="18"/>
    </row>
    <row r="531" ht="15.75" customHeight="1">
      <c r="D531" s="4"/>
      <c r="E531" s="18"/>
      <c r="J531" s="4"/>
      <c r="M531" s="18"/>
      <c r="AF531" s="4"/>
      <c r="AG531" s="18"/>
    </row>
    <row r="532" ht="15.75" customHeight="1">
      <c r="D532" s="4"/>
      <c r="E532" s="18"/>
      <c r="J532" s="4"/>
      <c r="M532" s="18"/>
      <c r="AF532" s="4"/>
      <c r="AG532" s="18"/>
    </row>
    <row r="533" ht="15.75" customHeight="1">
      <c r="D533" s="4"/>
      <c r="E533" s="18"/>
      <c r="J533" s="4"/>
      <c r="M533" s="18"/>
      <c r="AF533" s="4"/>
      <c r="AG533" s="18"/>
    </row>
    <row r="534" ht="15.75" customHeight="1">
      <c r="D534" s="4"/>
      <c r="E534" s="18"/>
      <c r="J534" s="4"/>
      <c r="M534" s="18"/>
      <c r="AF534" s="4"/>
      <c r="AG534" s="18"/>
    </row>
    <row r="535" ht="15.75" customHeight="1">
      <c r="D535" s="4"/>
      <c r="E535" s="18"/>
      <c r="J535" s="4"/>
      <c r="M535" s="18"/>
      <c r="AF535" s="4"/>
      <c r="AG535" s="18"/>
    </row>
    <row r="536" ht="15.75" customHeight="1">
      <c r="D536" s="4"/>
      <c r="E536" s="18"/>
      <c r="J536" s="4"/>
      <c r="M536" s="18"/>
      <c r="AF536" s="4"/>
      <c r="AG536" s="18"/>
    </row>
    <row r="537" ht="15.75" customHeight="1">
      <c r="D537" s="4"/>
      <c r="E537" s="18"/>
      <c r="J537" s="4"/>
      <c r="M537" s="18"/>
      <c r="AF537" s="4"/>
      <c r="AG537" s="18"/>
    </row>
    <row r="538" ht="15.75" customHeight="1">
      <c r="D538" s="4"/>
      <c r="E538" s="18"/>
      <c r="J538" s="4"/>
      <c r="M538" s="18"/>
      <c r="AF538" s="4"/>
      <c r="AG538" s="18"/>
    </row>
    <row r="539" ht="15.75" customHeight="1">
      <c r="D539" s="4"/>
      <c r="E539" s="18"/>
      <c r="J539" s="4"/>
      <c r="M539" s="18"/>
      <c r="AF539" s="4"/>
      <c r="AG539" s="18"/>
    </row>
    <row r="540" ht="15.75" customHeight="1">
      <c r="D540" s="4"/>
      <c r="E540" s="18"/>
      <c r="J540" s="4"/>
      <c r="M540" s="18"/>
      <c r="AF540" s="4"/>
      <c r="AG540" s="18"/>
    </row>
    <row r="541" ht="15.75" customHeight="1">
      <c r="D541" s="4"/>
      <c r="E541" s="18"/>
      <c r="J541" s="4"/>
      <c r="M541" s="18"/>
      <c r="AF541" s="4"/>
      <c r="AG541" s="18"/>
    </row>
    <row r="542" ht="15.75" customHeight="1">
      <c r="D542" s="4"/>
      <c r="E542" s="18"/>
      <c r="J542" s="4"/>
      <c r="M542" s="18"/>
      <c r="AF542" s="4"/>
      <c r="AG542" s="18"/>
    </row>
    <row r="543" ht="15.75" customHeight="1">
      <c r="D543" s="4"/>
      <c r="E543" s="18"/>
      <c r="J543" s="4"/>
      <c r="M543" s="18"/>
      <c r="AF543" s="4"/>
      <c r="AG543" s="18"/>
    </row>
    <row r="544" ht="15.75" customHeight="1">
      <c r="D544" s="4"/>
      <c r="E544" s="18"/>
      <c r="J544" s="4"/>
      <c r="M544" s="18"/>
      <c r="AF544" s="4"/>
      <c r="AG544" s="18"/>
    </row>
    <row r="545" ht="15.75" customHeight="1">
      <c r="D545" s="4"/>
      <c r="E545" s="18"/>
      <c r="J545" s="4"/>
      <c r="M545" s="18"/>
      <c r="AF545" s="4"/>
      <c r="AG545" s="18"/>
    </row>
    <row r="546" ht="15.75" customHeight="1">
      <c r="D546" s="4"/>
      <c r="E546" s="18"/>
      <c r="J546" s="4"/>
      <c r="M546" s="18"/>
      <c r="AF546" s="4"/>
      <c r="AG546" s="18"/>
    </row>
    <row r="547" ht="15.75" customHeight="1">
      <c r="D547" s="4"/>
      <c r="E547" s="18"/>
      <c r="J547" s="4"/>
      <c r="M547" s="18"/>
      <c r="AF547" s="4"/>
      <c r="AG547" s="18"/>
    </row>
    <row r="548" ht="15.75" customHeight="1">
      <c r="D548" s="4"/>
      <c r="E548" s="18"/>
      <c r="J548" s="4"/>
      <c r="M548" s="18"/>
      <c r="AF548" s="4"/>
      <c r="AG548" s="18"/>
    </row>
    <row r="549" ht="15.75" customHeight="1">
      <c r="D549" s="4"/>
      <c r="E549" s="18"/>
      <c r="J549" s="4"/>
      <c r="M549" s="18"/>
      <c r="AF549" s="4"/>
      <c r="AG549" s="18"/>
    </row>
    <row r="550" ht="15.75" customHeight="1">
      <c r="D550" s="4"/>
      <c r="E550" s="18"/>
      <c r="J550" s="4"/>
      <c r="M550" s="18"/>
      <c r="AF550" s="4"/>
      <c r="AG550" s="18"/>
    </row>
    <row r="551" ht="15.75" customHeight="1">
      <c r="D551" s="4"/>
      <c r="E551" s="18"/>
      <c r="J551" s="4"/>
      <c r="M551" s="18"/>
      <c r="AF551" s="4"/>
      <c r="AG551" s="18"/>
    </row>
    <row r="552" ht="15.75" customHeight="1">
      <c r="D552" s="4"/>
      <c r="E552" s="18"/>
      <c r="J552" s="4"/>
      <c r="M552" s="18"/>
      <c r="AF552" s="4"/>
      <c r="AG552" s="18"/>
    </row>
    <row r="553" ht="15.75" customHeight="1">
      <c r="D553" s="4"/>
      <c r="E553" s="18"/>
      <c r="J553" s="4"/>
      <c r="M553" s="18"/>
      <c r="AF553" s="4"/>
      <c r="AG553" s="18"/>
    </row>
    <row r="554" ht="15.75" customHeight="1">
      <c r="D554" s="4"/>
      <c r="E554" s="18"/>
      <c r="J554" s="4"/>
      <c r="M554" s="18"/>
      <c r="AF554" s="4"/>
      <c r="AG554" s="18"/>
    </row>
    <row r="555" ht="15.75" customHeight="1">
      <c r="D555" s="4"/>
      <c r="E555" s="18"/>
      <c r="J555" s="4"/>
      <c r="M555" s="18"/>
      <c r="AF555" s="4"/>
      <c r="AG555" s="18"/>
    </row>
    <row r="556" ht="15.75" customHeight="1">
      <c r="D556" s="4"/>
      <c r="E556" s="18"/>
      <c r="J556" s="4"/>
      <c r="M556" s="18"/>
      <c r="AF556" s="4"/>
      <c r="AG556" s="18"/>
    </row>
    <row r="557" ht="15.75" customHeight="1">
      <c r="D557" s="4"/>
      <c r="E557" s="18"/>
      <c r="J557" s="4"/>
      <c r="M557" s="18"/>
      <c r="AF557" s="4"/>
      <c r="AG557" s="18"/>
    </row>
    <row r="558" ht="15.75" customHeight="1">
      <c r="D558" s="4"/>
      <c r="E558" s="18"/>
      <c r="J558" s="4"/>
      <c r="M558" s="18"/>
      <c r="AF558" s="4"/>
      <c r="AG558" s="18"/>
    </row>
    <row r="559" ht="15.75" customHeight="1">
      <c r="D559" s="4"/>
      <c r="E559" s="18"/>
      <c r="J559" s="4"/>
      <c r="M559" s="18"/>
      <c r="AF559" s="4"/>
      <c r="AG559" s="18"/>
    </row>
    <row r="560" ht="15.75" customHeight="1">
      <c r="D560" s="4"/>
      <c r="E560" s="18"/>
      <c r="J560" s="4"/>
      <c r="M560" s="18"/>
      <c r="AF560" s="4"/>
      <c r="AG560" s="18"/>
    </row>
    <row r="561" ht="15.75" customHeight="1">
      <c r="D561" s="4"/>
      <c r="E561" s="18"/>
      <c r="J561" s="4"/>
      <c r="M561" s="18"/>
      <c r="AF561" s="4"/>
      <c r="AG561" s="18"/>
    </row>
    <row r="562" ht="15.75" customHeight="1">
      <c r="D562" s="4"/>
      <c r="E562" s="18"/>
      <c r="J562" s="4"/>
      <c r="M562" s="18"/>
      <c r="AF562" s="4"/>
      <c r="AG562" s="18"/>
    </row>
    <row r="563" ht="15.75" customHeight="1">
      <c r="D563" s="4"/>
      <c r="E563" s="18"/>
      <c r="J563" s="4"/>
      <c r="M563" s="18"/>
      <c r="AF563" s="4"/>
      <c r="AG563" s="18"/>
    </row>
    <row r="564" ht="15.75" customHeight="1">
      <c r="D564" s="4"/>
      <c r="E564" s="18"/>
      <c r="J564" s="4"/>
      <c r="M564" s="18"/>
      <c r="AF564" s="4"/>
      <c r="AG564" s="18"/>
    </row>
    <row r="565" ht="15.75" customHeight="1">
      <c r="D565" s="4"/>
      <c r="E565" s="18"/>
      <c r="J565" s="4"/>
      <c r="M565" s="18"/>
      <c r="AF565" s="4"/>
      <c r="AG565" s="18"/>
    </row>
    <row r="566" ht="15.75" customHeight="1">
      <c r="D566" s="4"/>
      <c r="E566" s="18"/>
      <c r="J566" s="4"/>
      <c r="M566" s="18"/>
      <c r="AF566" s="4"/>
      <c r="AG566" s="18"/>
    </row>
    <row r="567" ht="15.75" customHeight="1">
      <c r="D567" s="4"/>
      <c r="E567" s="18"/>
      <c r="J567" s="4"/>
      <c r="M567" s="18"/>
      <c r="AF567" s="4"/>
      <c r="AG567" s="18"/>
    </row>
    <row r="568" ht="15.75" customHeight="1">
      <c r="D568" s="4"/>
      <c r="E568" s="18"/>
      <c r="J568" s="4"/>
      <c r="M568" s="18"/>
      <c r="AF568" s="4"/>
      <c r="AG568" s="18"/>
    </row>
    <row r="569" ht="15.75" customHeight="1">
      <c r="D569" s="4"/>
      <c r="E569" s="18"/>
      <c r="J569" s="4"/>
      <c r="M569" s="18"/>
      <c r="AF569" s="4"/>
      <c r="AG569" s="18"/>
    </row>
    <row r="570" ht="15.75" customHeight="1">
      <c r="D570" s="4"/>
      <c r="E570" s="18"/>
      <c r="J570" s="4"/>
      <c r="M570" s="18"/>
      <c r="AF570" s="4"/>
      <c r="AG570" s="18"/>
    </row>
    <row r="571" ht="15.75" customHeight="1">
      <c r="D571" s="4"/>
      <c r="E571" s="18"/>
      <c r="J571" s="4"/>
      <c r="M571" s="18"/>
      <c r="AF571" s="4"/>
      <c r="AG571" s="18"/>
    </row>
    <row r="572" ht="15.75" customHeight="1">
      <c r="D572" s="4"/>
      <c r="E572" s="18"/>
      <c r="J572" s="4"/>
      <c r="M572" s="18"/>
      <c r="AF572" s="4"/>
      <c r="AG572" s="18"/>
    </row>
    <row r="573" ht="15.75" customHeight="1">
      <c r="D573" s="4"/>
      <c r="E573" s="18"/>
      <c r="J573" s="4"/>
      <c r="M573" s="18"/>
      <c r="AF573" s="4"/>
      <c r="AG573" s="18"/>
    </row>
    <row r="574" ht="15.75" customHeight="1">
      <c r="D574" s="4"/>
      <c r="E574" s="18"/>
      <c r="J574" s="4"/>
      <c r="M574" s="18"/>
      <c r="AF574" s="4"/>
      <c r="AG574" s="18"/>
    </row>
    <row r="575" ht="15.75" customHeight="1">
      <c r="D575" s="4"/>
      <c r="E575" s="18"/>
      <c r="J575" s="4"/>
      <c r="M575" s="18"/>
      <c r="AF575" s="4"/>
      <c r="AG575" s="18"/>
    </row>
    <row r="576" ht="15.75" customHeight="1">
      <c r="D576" s="4"/>
      <c r="E576" s="18"/>
      <c r="J576" s="4"/>
      <c r="M576" s="18"/>
      <c r="AF576" s="4"/>
      <c r="AG576" s="18"/>
    </row>
    <row r="577" ht="15.75" customHeight="1">
      <c r="D577" s="4"/>
      <c r="E577" s="18"/>
      <c r="J577" s="4"/>
      <c r="M577" s="18"/>
      <c r="AF577" s="4"/>
      <c r="AG577" s="18"/>
    </row>
    <row r="578" ht="15.75" customHeight="1">
      <c r="D578" s="4"/>
      <c r="E578" s="18"/>
      <c r="J578" s="4"/>
      <c r="M578" s="18"/>
      <c r="AF578" s="4"/>
      <c r="AG578" s="18"/>
    </row>
    <row r="579" ht="15.75" customHeight="1">
      <c r="D579" s="4"/>
      <c r="E579" s="18"/>
      <c r="J579" s="4"/>
      <c r="M579" s="18"/>
      <c r="AF579" s="4"/>
      <c r="AG579" s="18"/>
    </row>
    <row r="580" ht="15.75" customHeight="1">
      <c r="D580" s="4"/>
      <c r="E580" s="18"/>
      <c r="J580" s="4"/>
      <c r="M580" s="18"/>
      <c r="AF580" s="4"/>
      <c r="AG580" s="18"/>
    </row>
    <row r="581" ht="15.75" customHeight="1">
      <c r="D581" s="4"/>
      <c r="E581" s="18"/>
      <c r="J581" s="4"/>
      <c r="M581" s="18"/>
      <c r="AF581" s="4"/>
      <c r="AG581" s="18"/>
    </row>
    <row r="582" ht="15.75" customHeight="1">
      <c r="D582" s="4"/>
      <c r="E582" s="18"/>
      <c r="J582" s="4"/>
      <c r="M582" s="18"/>
      <c r="AF582" s="4"/>
      <c r="AG582" s="18"/>
    </row>
    <row r="583" ht="15.75" customHeight="1">
      <c r="D583" s="4"/>
      <c r="E583" s="18"/>
      <c r="J583" s="4"/>
      <c r="M583" s="18"/>
      <c r="AF583" s="4"/>
      <c r="AG583" s="18"/>
    </row>
    <row r="584" ht="15.75" customHeight="1">
      <c r="D584" s="4"/>
      <c r="E584" s="18"/>
      <c r="J584" s="4"/>
      <c r="M584" s="18"/>
      <c r="AF584" s="4"/>
      <c r="AG584" s="18"/>
    </row>
    <row r="585" ht="15.75" customHeight="1">
      <c r="D585" s="4"/>
      <c r="E585" s="18"/>
      <c r="J585" s="4"/>
      <c r="M585" s="18"/>
      <c r="AF585" s="4"/>
      <c r="AG585" s="18"/>
    </row>
    <row r="586" ht="15.75" customHeight="1">
      <c r="D586" s="4"/>
      <c r="E586" s="18"/>
      <c r="J586" s="4"/>
      <c r="M586" s="18"/>
      <c r="AF586" s="4"/>
      <c r="AG586" s="18"/>
    </row>
    <row r="587" ht="15.75" customHeight="1">
      <c r="D587" s="4"/>
      <c r="E587" s="18"/>
      <c r="J587" s="4"/>
      <c r="M587" s="18"/>
      <c r="AF587" s="4"/>
      <c r="AG587" s="18"/>
    </row>
    <row r="588" ht="15.75" customHeight="1">
      <c r="D588" s="4"/>
      <c r="E588" s="18"/>
      <c r="J588" s="4"/>
      <c r="M588" s="18"/>
      <c r="AF588" s="4"/>
      <c r="AG588" s="18"/>
    </row>
    <row r="589" ht="15.75" customHeight="1">
      <c r="D589" s="4"/>
      <c r="E589" s="18"/>
      <c r="J589" s="4"/>
      <c r="M589" s="18"/>
      <c r="AF589" s="4"/>
      <c r="AG589" s="18"/>
    </row>
    <row r="590" ht="15.75" customHeight="1">
      <c r="D590" s="4"/>
      <c r="E590" s="18"/>
      <c r="J590" s="4"/>
      <c r="M590" s="18"/>
      <c r="AF590" s="4"/>
      <c r="AG590" s="18"/>
    </row>
    <row r="591" ht="15.75" customHeight="1">
      <c r="D591" s="4"/>
      <c r="E591" s="18"/>
      <c r="J591" s="4"/>
      <c r="M591" s="18"/>
      <c r="AF591" s="4"/>
      <c r="AG591" s="18"/>
    </row>
    <row r="592" ht="15.75" customHeight="1">
      <c r="D592" s="4"/>
      <c r="E592" s="18"/>
      <c r="J592" s="4"/>
      <c r="M592" s="18"/>
      <c r="AF592" s="4"/>
      <c r="AG592" s="18"/>
    </row>
    <row r="593" ht="15.75" customHeight="1">
      <c r="D593" s="4"/>
      <c r="E593" s="18"/>
      <c r="J593" s="4"/>
      <c r="M593" s="18"/>
      <c r="AF593" s="4"/>
      <c r="AG593" s="18"/>
    </row>
    <row r="594" ht="15.75" customHeight="1">
      <c r="D594" s="4"/>
      <c r="E594" s="18"/>
      <c r="J594" s="4"/>
      <c r="M594" s="18"/>
      <c r="AF594" s="4"/>
      <c r="AG594" s="18"/>
    </row>
    <row r="595" ht="15.75" customHeight="1">
      <c r="D595" s="4"/>
      <c r="E595" s="18"/>
      <c r="J595" s="4"/>
      <c r="M595" s="18"/>
      <c r="AF595" s="4"/>
      <c r="AG595" s="18"/>
    </row>
    <row r="596" ht="15.75" customHeight="1">
      <c r="D596" s="4"/>
      <c r="E596" s="18"/>
      <c r="J596" s="4"/>
      <c r="M596" s="18"/>
      <c r="AF596" s="4"/>
      <c r="AG596" s="18"/>
    </row>
    <row r="597" ht="15.75" customHeight="1">
      <c r="D597" s="4"/>
      <c r="E597" s="18"/>
      <c r="J597" s="4"/>
      <c r="M597" s="18"/>
      <c r="AF597" s="4"/>
      <c r="AG597" s="18"/>
    </row>
    <row r="598" ht="15.75" customHeight="1">
      <c r="D598" s="4"/>
      <c r="E598" s="18"/>
      <c r="J598" s="4"/>
      <c r="M598" s="18"/>
      <c r="AF598" s="4"/>
      <c r="AG598" s="18"/>
    </row>
    <row r="599" ht="15.75" customHeight="1">
      <c r="D599" s="4"/>
      <c r="E599" s="18"/>
      <c r="J599" s="4"/>
      <c r="M599" s="18"/>
      <c r="AF599" s="4"/>
      <c r="AG599" s="18"/>
    </row>
    <row r="600" ht="15.75" customHeight="1">
      <c r="D600" s="4"/>
      <c r="E600" s="18"/>
      <c r="J600" s="4"/>
      <c r="M600" s="18"/>
      <c r="AF600" s="4"/>
      <c r="AG600" s="18"/>
    </row>
    <row r="601" ht="15.75" customHeight="1">
      <c r="D601" s="4"/>
      <c r="E601" s="18"/>
      <c r="J601" s="4"/>
      <c r="M601" s="18"/>
      <c r="AF601" s="4"/>
      <c r="AG601" s="18"/>
    </row>
    <row r="602" ht="15.75" customHeight="1">
      <c r="D602" s="4"/>
      <c r="E602" s="18"/>
      <c r="J602" s="4"/>
      <c r="M602" s="18"/>
      <c r="AF602" s="4"/>
      <c r="AG602" s="18"/>
    </row>
    <row r="603" ht="15.75" customHeight="1">
      <c r="D603" s="4"/>
      <c r="E603" s="18"/>
      <c r="J603" s="4"/>
      <c r="M603" s="18"/>
      <c r="AF603" s="4"/>
      <c r="AG603" s="18"/>
    </row>
    <row r="604" ht="15.75" customHeight="1">
      <c r="D604" s="4"/>
      <c r="E604" s="18"/>
      <c r="J604" s="4"/>
      <c r="M604" s="18"/>
      <c r="AF604" s="4"/>
      <c r="AG604" s="18"/>
    </row>
    <row r="605" ht="15.75" customHeight="1">
      <c r="D605" s="4"/>
      <c r="E605" s="18"/>
      <c r="J605" s="4"/>
      <c r="M605" s="18"/>
      <c r="AF605" s="4"/>
      <c r="AG605" s="18"/>
    </row>
    <row r="606" ht="15.75" customHeight="1">
      <c r="D606" s="4"/>
      <c r="E606" s="18"/>
      <c r="J606" s="4"/>
      <c r="M606" s="18"/>
      <c r="AF606" s="4"/>
      <c r="AG606" s="18"/>
    </row>
    <row r="607" ht="15.75" customHeight="1">
      <c r="D607" s="4"/>
      <c r="E607" s="18"/>
      <c r="J607" s="4"/>
      <c r="M607" s="18"/>
      <c r="AF607" s="4"/>
      <c r="AG607" s="18"/>
    </row>
    <row r="608" ht="15.75" customHeight="1">
      <c r="D608" s="4"/>
      <c r="E608" s="18"/>
      <c r="J608" s="4"/>
      <c r="M608" s="18"/>
      <c r="AF608" s="4"/>
      <c r="AG608" s="18"/>
    </row>
    <row r="609" ht="15.75" customHeight="1">
      <c r="D609" s="4"/>
      <c r="E609" s="18"/>
      <c r="J609" s="4"/>
      <c r="M609" s="18"/>
      <c r="AF609" s="4"/>
      <c r="AG609" s="18"/>
    </row>
    <row r="610" ht="15.75" customHeight="1">
      <c r="D610" s="4"/>
      <c r="E610" s="18"/>
      <c r="J610" s="4"/>
      <c r="M610" s="18"/>
      <c r="AF610" s="4"/>
      <c r="AG610" s="18"/>
    </row>
    <row r="611" ht="15.75" customHeight="1">
      <c r="D611" s="4"/>
      <c r="E611" s="18"/>
      <c r="J611" s="4"/>
      <c r="M611" s="18"/>
      <c r="AF611" s="4"/>
      <c r="AG611" s="18"/>
    </row>
    <row r="612" ht="15.75" customHeight="1">
      <c r="D612" s="4"/>
      <c r="E612" s="18"/>
      <c r="J612" s="4"/>
      <c r="M612" s="18"/>
      <c r="AF612" s="4"/>
      <c r="AG612" s="18"/>
    </row>
    <row r="613" ht="15.75" customHeight="1">
      <c r="D613" s="4"/>
      <c r="E613" s="18"/>
      <c r="J613" s="4"/>
      <c r="M613" s="18"/>
      <c r="AF613" s="4"/>
      <c r="AG613" s="18"/>
    </row>
    <row r="614" ht="15.75" customHeight="1">
      <c r="D614" s="4"/>
      <c r="E614" s="18"/>
      <c r="J614" s="4"/>
      <c r="M614" s="18"/>
      <c r="AF614" s="4"/>
      <c r="AG614" s="18"/>
    </row>
    <row r="615" ht="15.75" customHeight="1">
      <c r="D615" s="4"/>
      <c r="E615" s="18"/>
      <c r="J615" s="4"/>
      <c r="M615" s="18"/>
      <c r="AF615" s="4"/>
      <c r="AG615" s="18"/>
    </row>
    <row r="616" ht="15.75" customHeight="1">
      <c r="D616" s="4"/>
      <c r="E616" s="18"/>
      <c r="J616" s="4"/>
      <c r="M616" s="18"/>
      <c r="AF616" s="4"/>
      <c r="AG616" s="18"/>
    </row>
    <row r="617" ht="15.75" customHeight="1">
      <c r="D617" s="4"/>
      <c r="E617" s="18"/>
      <c r="J617" s="4"/>
      <c r="M617" s="18"/>
      <c r="AF617" s="4"/>
      <c r="AG617" s="18"/>
    </row>
    <row r="618" ht="15.75" customHeight="1">
      <c r="D618" s="4"/>
      <c r="E618" s="18"/>
      <c r="J618" s="4"/>
      <c r="M618" s="18"/>
      <c r="AF618" s="4"/>
      <c r="AG618" s="18"/>
    </row>
    <row r="619" ht="15.75" customHeight="1">
      <c r="D619" s="4"/>
      <c r="E619" s="18"/>
      <c r="J619" s="4"/>
      <c r="M619" s="18"/>
      <c r="AF619" s="4"/>
      <c r="AG619" s="18"/>
    </row>
    <row r="620" ht="15.75" customHeight="1">
      <c r="D620" s="4"/>
      <c r="E620" s="18"/>
      <c r="J620" s="4"/>
      <c r="M620" s="18"/>
      <c r="AF620" s="4"/>
      <c r="AG620" s="18"/>
    </row>
    <row r="621" ht="15.75" customHeight="1">
      <c r="D621" s="4"/>
      <c r="E621" s="18"/>
      <c r="J621" s="4"/>
      <c r="M621" s="18"/>
      <c r="AF621" s="4"/>
      <c r="AG621" s="18"/>
    </row>
    <row r="622" ht="15.75" customHeight="1">
      <c r="D622" s="4"/>
      <c r="E622" s="18"/>
      <c r="J622" s="4"/>
      <c r="M622" s="18"/>
      <c r="AF622" s="4"/>
      <c r="AG622" s="18"/>
    </row>
    <row r="623" ht="15.75" customHeight="1">
      <c r="D623" s="4"/>
      <c r="E623" s="18"/>
      <c r="J623" s="4"/>
      <c r="M623" s="18"/>
      <c r="AF623" s="4"/>
      <c r="AG623" s="18"/>
    </row>
    <row r="624" ht="15.75" customHeight="1">
      <c r="D624" s="4"/>
      <c r="E624" s="18"/>
      <c r="J624" s="4"/>
      <c r="M624" s="18"/>
      <c r="AF624" s="4"/>
      <c r="AG624" s="18"/>
    </row>
    <row r="625" ht="15.75" customHeight="1">
      <c r="D625" s="4"/>
      <c r="E625" s="18"/>
      <c r="J625" s="4"/>
      <c r="M625" s="18"/>
      <c r="AF625" s="4"/>
      <c r="AG625" s="18"/>
    </row>
    <row r="626" ht="15.75" customHeight="1">
      <c r="D626" s="4"/>
      <c r="E626" s="18"/>
      <c r="J626" s="4"/>
      <c r="M626" s="18"/>
      <c r="AF626" s="4"/>
      <c r="AG626" s="18"/>
    </row>
    <row r="627" ht="15.75" customHeight="1">
      <c r="D627" s="4"/>
      <c r="E627" s="18"/>
      <c r="J627" s="4"/>
      <c r="M627" s="18"/>
      <c r="AF627" s="4"/>
      <c r="AG627" s="18"/>
    </row>
    <row r="628" ht="15.75" customHeight="1">
      <c r="D628" s="4"/>
      <c r="E628" s="18"/>
      <c r="J628" s="4"/>
      <c r="M628" s="18"/>
      <c r="AF628" s="4"/>
      <c r="AG628" s="18"/>
    </row>
    <row r="629" ht="15.75" customHeight="1">
      <c r="D629" s="4"/>
      <c r="E629" s="18"/>
      <c r="J629" s="4"/>
      <c r="M629" s="18"/>
      <c r="AF629" s="4"/>
      <c r="AG629" s="18"/>
    </row>
    <row r="630" ht="15.75" customHeight="1">
      <c r="D630" s="4"/>
      <c r="E630" s="18"/>
      <c r="J630" s="4"/>
      <c r="M630" s="18"/>
      <c r="AF630" s="4"/>
      <c r="AG630" s="18"/>
    </row>
    <row r="631" ht="15.75" customHeight="1">
      <c r="D631" s="4"/>
      <c r="E631" s="18"/>
      <c r="J631" s="4"/>
      <c r="M631" s="18"/>
      <c r="AF631" s="4"/>
      <c r="AG631" s="18"/>
    </row>
    <row r="632" ht="15.75" customHeight="1">
      <c r="D632" s="4"/>
      <c r="E632" s="18"/>
      <c r="J632" s="4"/>
      <c r="M632" s="18"/>
      <c r="AF632" s="4"/>
      <c r="AG632" s="18"/>
    </row>
    <row r="633" ht="15.75" customHeight="1">
      <c r="D633" s="4"/>
      <c r="E633" s="18"/>
      <c r="J633" s="4"/>
      <c r="M633" s="18"/>
      <c r="AF633" s="4"/>
      <c r="AG633" s="18"/>
    </row>
    <row r="634" ht="15.75" customHeight="1">
      <c r="D634" s="4"/>
      <c r="E634" s="18"/>
      <c r="J634" s="4"/>
      <c r="M634" s="18"/>
      <c r="AF634" s="4"/>
      <c r="AG634" s="18"/>
    </row>
    <row r="635" ht="15.75" customHeight="1">
      <c r="D635" s="4"/>
      <c r="E635" s="18"/>
      <c r="J635" s="4"/>
      <c r="M635" s="18"/>
      <c r="AF635" s="4"/>
      <c r="AG635" s="18"/>
    </row>
    <row r="636" ht="15.75" customHeight="1">
      <c r="D636" s="4"/>
      <c r="E636" s="18"/>
      <c r="J636" s="4"/>
      <c r="M636" s="18"/>
      <c r="AF636" s="4"/>
      <c r="AG636" s="18"/>
    </row>
    <row r="637" ht="15.75" customHeight="1">
      <c r="D637" s="4"/>
      <c r="E637" s="18"/>
      <c r="J637" s="4"/>
      <c r="M637" s="18"/>
      <c r="AF637" s="4"/>
      <c r="AG637" s="18"/>
    </row>
    <row r="638" ht="15.75" customHeight="1">
      <c r="D638" s="4"/>
      <c r="E638" s="18"/>
      <c r="J638" s="4"/>
      <c r="M638" s="18"/>
      <c r="AF638" s="4"/>
      <c r="AG638" s="18"/>
    </row>
    <row r="639" ht="15.75" customHeight="1">
      <c r="D639" s="4"/>
      <c r="E639" s="18"/>
      <c r="J639" s="4"/>
      <c r="M639" s="18"/>
      <c r="AF639" s="4"/>
      <c r="AG639" s="18"/>
    </row>
    <row r="640" ht="15.75" customHeight="1">
      <c r="D640" s="4"/>
      <c r="E640" s="18"/>
      <c r="J640" s="4"/>
      <c r="M640" s="18"/>
      <c r="AF640" s="4"/>
      <c r="AG640" s="18"/>
    </row>
    <row r="641" ht="15.75" customHeight="1">
      <c r="D641" s="4"/>
      <c r="E641" s="18"/>
      <c r="J641" s="4"/>
      <c r="M641" s="18"/>
      <c r="AF641" s="4"/>
      <c r="AG641" s="18"/>
    </row>
    <row r="642" ht="15.75" customHeight="1">
      <c r="D642" s="4"/>
      <c r="E642" s="18"/>
      <c r="J642" s="4"/>
      <c r="M642" s="18"/>
      <c r="AF642" s="4"/>
      <c r="AG642" s="18"/>
    </row>
    <row r="643" ht="15.75" customHeight="1">
      <c r="D643" s="4"/>
      <c r="E643" s="18"/>
      <c r="J643" s="4"/>
      <c r="M643" s="18"/>
      <c r="AF643" s="4"/>
      <c r="AG643" s="18"/>
    </row>
    <row r="644" ht="15.75" customHeight="1">
      <c r="D644" s="4"/>
      <c r="E644" s="18"/>
      <c r="J644" s="4"/>
      <c r="M644" s="18"/>
      <c r="AF644" s="4"/>
      <c r="AG644" s="18"/>
    </row>
    <row r="645" ht="15.75" customHeight="1">
      <c r="D645" s="4"/>
      <c r="E645" s="18"/>
      <c r="J645" s="4"/>
      <c r="M645" s="18"/>
      <c r="AF645" s="4"/>
      <c r="AG645" s="18"/>
    </row>
    <row r="646" ht="15.75" customHeight="1">
      <c r="D646" s="4"/>
      <c r="E646" s="18"/>
      <c r="J646" s="4"/>
      <c r="M646" s="18"/>
      <c r="AF646" s="4"/>
      <c r="AG646" s="18"/>
    </row>
    <row r="647" ht="15.75" customHeight="1">
      <c r="D647" s="4"/>
      <c r="E647" s="18"/>
      <c r="J647" s="4"/>
      <c r="M647" s="18"/>
      <c r="AF647" s="4"/>
      <c r="AG647" s="18"/>
    </row>
    <row r="648" ht="15.75" customHeight="1">
      <c r="D648" s="4"/>
      <c r="E648" s="18"/>
      <c r="J648" s="4"/>
      <c r="M648" s="18"/>
      <c r="AF648" s="4"/>
      <c r="AG648" s="18"/>
    </row>
    <row r="649" ht="15.75" customHeight="1">
      <c r="D649" s="4"/>
      <c r="E649" s="18"/>
      <c r="J649" s="4"/>
      <c r="M649" s="18"/>
      <c r="AF649" s="4"/>
      <c r="AG649" s="18"/>
    </row>
    <row r="650" ht="15.75" customHeight="1">
      <c r="D650" s="4"/>
      <c r="E650" s="18"/>
      <c r="J650" s="4"/>
      <c r="M650" s="18"/>
      <c r="AF650" s="4"/>
      <c r="AG650" s="18"/>
    </row>
    <row r="651" ht="15.75" customHeight="1">
      <c r="D651" s="4"/>
      <c r="E651" s="18"/>
      <c r="J651" s="4"/>
      <c r="M651" s="18"/>
      <c r="AF651" s="4"/>
      <c r="AG651" s="18"/>
    </row>
    <row r="652" ht="15.75" customHeight="1">
      <c r="D652" s="4"/>
      <c r="E652" s="18"/>
      <c r="J652" s="4"/>
      <c r="M652" s="18"/>
      <c r="AF652" s="4"/>
      <c r="AG652" s="18"/>
    </row>
    <row r="653" ht="15.75" customHeight="1">
      <c r="D653" s="4"/>
      <c r="E653" s="18"/>
      <c r="J653" s="4"/>
      <c r="M653" s="18"/>
      <c r="AF653" s="4"/>
      <c r="AG653" s="18"/>
    </row>
    <row r="654" ht="15.75" customHeight="1">
      <c r="D654" s="4"/>
      <c r="E654" s="18"/>
      <c r="J654" s="4"/>
      <c r="M654" s="18"/>
      <c r="AF654" s="4"/>
      <c r="AG654" s="18"/>
    </row>
    <row r="655" ht="15.75" customHeight="1">
      <c r="D655" s="4"/>
      <c r="E655" s="18"/>
      <c r="J655" s="4"/>
      <c r="M655" s="18"/>
      <c r="AF655" s="4"/>
      <c r="AG655" s="18"/>
    </row>
    <row r="656" ht="15.75" customHeight="1">
      <c r="D656" s="4"/>
      <c r="E656" s="18"/>
      <c r="J656" s="4"/>
      <c r="M656" s="18"/>
      <c r="AF656" s="4"/>
      <c r="AG656" s="18"/>
    </row>
    <row r="657" ht="15.75" customHeight="1">
      <c r="D657" s="4"/>
      <c r="E657" s="18"/>
      <c r="J657" s="4"/>
      <c r="M657" s="18"/>
      <c r="AF657" s="4"/>
      <c r="AG657" s="18"/>
    </row>
    <row r="658" ht="15.75" customHeight="1">
      <c r="D658" s="4"/>
      <c r="E658" s="18"/>
      <c r="J658" s="4"/>
      <c r="M658" s="18"/>
      <c r="AF658" s="4"/>
      <c r="AG658" s="18"/>
    </row>
    <row r="659" ht="15.75" customHeight="1">
      <c r="D659" s="4"/>
      <c r="E659" s="18"/>
      <c r="J659" s="4"/>
      <c r="M659" s="18"/>
      <c r="AF659" s="4"/>
      <c r="AG659" s="18"/>
    </row>
    <row r="660" ht="15.75" customHeight="1">
      <c r="D660" s="4"/>
      <c r="E660" s="18"/>
      <c r="J660" s="4"/>
      <c r="M660" s="18"/>
      <c r="AF660" s="4"/>
      <c r="AG660" s="18"/>
    </row>
    <row r="661" ht="15.75" customHeight="1">
      <c r="D661" s="4"/>
      <c r="E661" s="18"/>
      <c r="J661" s="4"/>
      <c r="M661" s="18"/>
      <c r="AF661" s="4"/>
      <c r="AG661" s="18"/>
    </row>
    <row r="662" ht="15.75" customHeight="1">
      <c r="D662" s="4"/>
      <c r="E662" s="18"/>
      <c r="J662" s="4"/>
      <c r="M662" s="18"/>
      <c r="AF662" s="4"/>
      <c r="AG662" s="18"/>
    </row>
    <row r="663" ht="15.75" customHeight="1">
      <c r="D663" s="4"/>
      <c r="E663" s="18"/>
      <c r="J663" s="4"/>
      <c r="M663" s="18"/>
      <c r="AF663" s="4"/>
      <c r="AG663" s="18"/>
    </row>
    <row r="664" ht="15.75" customHeight="1">
      <c r="D664" s="4"/>
      <c r="E664" s="18"/>
      <c r="J664" s="4"/>
      <c r="M664" s="18"/>
      <c r="AF664" s="4"/>
      <c r="AG664" s="18"/>
    </row>
    <row r="665" ht="15.75" customHeight="1">
      <c r="D665" s="4"/>
      <c r="E665" s="18"/>
      <c r="J665" s="4"/>
      <c r="M665" s="18"/>
      <c r="AF665" s="4"/>
      <c r="AG665" s="18"/>
    </row>
    <row r="666" ht="15.75" customHeight="1">
      <c r="D666" s="4"/>
      <c r="E666" s="18"/>
      <c r="J666" s="4"/>
      <c r="M666" s="18"/>
      <c r="AF666" s="4"/>
      <c r="AG666" s="18"/>
    </row>
    <row r="667" ht="15.75" customHeight="1">
      <c r="D667" s="4"/>
      <c r="E667" s="18"/>
      <c r="J667" s="4"/>
      <c r="M667" s="18"/>
      <c r="AF667" s="4"/>
      <c r="AG667" s="18"/>
    </row>
    <row r="668" ht="15.75" customHeight="1">
      <c r="D668" s="4"/>
      <c r="E668" s="18"/>
      <c r="J668" s="4"/>
      <c r="M668" s="18"/>
      <c r="AF668" s="4"/>
      <c r="AG668" s="18"/>
    </row>
    <row r="669" ht="15.75" customHeight="1">
      <c r="D669" s="4"/>
      <c r="E669" s="18"/>
      <c r="J669" s="4"/>
      <c r="M669" s="18"/>
      <c r="AF669" s="4"/>
      <c r="AG669" s="18"/>
    </row>
    <row r="670" ht="15.75" customHeight="1">
      <c r="D670" s="4"/>
      <c r="E670" s="18"/>
      <c r="J670" s="4"/>
      <c r="M670" s="18"/>
      <c r="AF670" s="4"/>
      <c r="AG670" s="18"/>
    </row>
    <row r="671" ht="15.75" customHeight="1">
      <c r="D671" s="4"/>
      <c r="E671" s="18"/>
      <c r="J671" s="4"/>
      <c r="M671" s="18"/>
      <c r="AF671" s="4"/>
      <c r="AG671" s="18"/>
    </row>
    <row r="672" ht="15.75" customHeight="1">
      <c r="D672" s="4"/>
      <c r="E672" s="18"/>
      <c r="J672" s="4"/>
      <c r="M672" s="18"/>
      <c r="AF672" s="4"/>
      <c r="AG672" s="18"/>
    </row>
    <row r="673" ht="15.75" customHeight="1">
      <c r="D673" s="4"/>
      <c r="E673" s="18"/>
      <c r="J673" s="4"/>
      <c r="M673" s="18"/>
      <c r="AF673" s="4"/>
      <c r="AG673" s="18"/>
    </row>
    <row r="674" ht="15.75" customHeight="1">
      <c r="D674" s="4"/>
      <c r="E674" s="18"/>
      <c r="J674" s="4"/>
      <c r="M674" s="18"/>
      <c r="AF674" s="4"/>
      <c r="AG674" s="18"/>
    </row>
    <row r="675" ht="15.75" customHeight="1">
      <c r="D675" s="4"/>
      <c r="E675" s="18"/>
      <c r="J675" s="4"/>
      <c r="M675" s="18"/>
      <c r="AF675" s="4"/>
      <c r="AG675" s="18"/>
    </row>
    <row r="676" ht="15.75" customHeight="1">
      <c r="D676" s="4"/>
      <c r="E676" s="18"/>
      <c r="J676" s="4"/>
      <c r="M676" s="18"/>
      <c r="AF676" s="4"/>
      <c r="AG676" s="18"/>
    </row>
    <row r="677" ht="15.75" customHeight="1">
      <c r="D677" s="4"/>
      <c r="E677" s="18"/>
      <c r="J677" s="4"/>
      <c r="M677" s="18"/>
      <c r="AF677" s="4"/>
      <c r="AG677" s="18"/>
    </row>
    <row r="678" ht="15.75" customHeight="1">
      <c r="D678" s="4"/>
      <c r="E678" s="18"/>
      <c r="J678" s="4"/>
      <c r="M678" s="18"/>
      <c r="AF678" s="4"/>
      <c r="AG678" s="18"/>
    </row>
    <row r="679" ht="15.75" customHeight="1">
      <c r="D679" s="4"/>
      <c r="E679" s="18"/>
      <c r="J679" s="4"/>
      <c r="M679" s="18"/>
      <c r="AF679" s="4"/>
      <c r="AG679" s="18"/>
    </row>
    <row r="680" ht="15.75" customHeight="1">
      <c r="D680" s="4"/>
      <c r="E680" s="18"/>
      <c r="J680" s="4"/>
      <c r="M680" s="18"/>
      <c r="AF680" s="4"/>
      <c r="AG680" s="18"/>
    </row>
    <row r="681" ht="15.75" customHeight="1">
      <c r="D681" s="4"/>
      <c r="E681" s="18"/>
      <c r="J681" s="4"/>
      <c r="M681" s="18"/>
      <c r="AF681" s="4"/>
      <c r="AG681" s="18"/>
    </row>
    <row r="682" ht="15.75" customHeight="1">
      <c r="D682" s="4"/>
      <c r="E682" s="18"/>
      <c r="J682" s="4"/>
      <c r="M682" s="18"/>
      <c r="AF682" s="4"/>
      <c r="AG682" s="18"/>
    </row>
    <row r="683" ht="15.75" customHeight="1">
      <c r="D683" s="4"/>
      <c r="E683" s="18"/>
      <c r="J683" s="4"/>
      <c r="M683" s="18"/>
      <c r="AF683" s="4"/>
      <c r="AG683" s="18"/>
    </row>
    <row r="684" ht="15.75" customHeight="1">
      <c r="D684" s="4"/>
      <c r="E684" s="18"/>
      <c r="J684" s="4"/>
      <c r="M684" s="18"/>
      <c r="AF684" s="4"/>
      <c r="AG684" s="18"/>
    </row>
    <row r="685" ht="15.75" customHeight="1">
      <c r="D685" s="4"/>
      <c r="E685" s="18"/>
      <c r="J685" s="4"/>
      <c r="M685" s="18"/>
      <c r="AF685" s="4"/>
      <c r="AG685" s="18"/>
    </row>
    <row r="686" ht="15.75" customHeight="1">
      <c r="D686" s="4"/>
      <c r="E686" s="18"/>
      <c r="J686" s="4"/>
      <c r="M686" s="18"/>
      <c r="AF686" s="4"/>
      <c r="AG686" s="18"/>
    </row>
    <row r="687" ht="15.75" customHeight="1">
      <c r="D687" s="4"/>
      <c r="E687" s="18"/>
      <c r="J687" s="4"/>
      <c r="M687" s="18"/>
      <c r="AF687" s="4"/>
      <c r="AG687" s="18"/>
    </row>
    <row r="688" ht="15.75" customHeight="1">
      <c r="D688" s="4"/>
      <c r="E688" s="18"/>
      <c r="J688" s="4"/>
      <c r="M688" s="18"/>
      <c r="AF688" s="4"/>
      <c r="AG688" s="18"/>
    </row>
    <row r="689" ht="15.75" customHeight="1">
      <c r="D689" s="4"/>
      <c r="E689" s="18"/>
      <c r="J689" s="4"/>
      <c r="M689" s="18"/>
      <c r="AF689" s="4"/>
      <c r="AG689" s="18"/>
    </row>
    <row r="690" ht="15.75" customHeight="1">
      <c r="D690" s="4"/>
      <c r="E690" s="18"/>
      <c r="J690" s="4"/>
      <c r="M690" s="18"/>
      <c r="AF690" s="4"/>
      <c r="AG690" s="18"/>
    </row>
    <row r="691" ht="15.75" customHeight="1">
      <c r="D691" s="4"/>
      <c r="E691" s="18"/>
      <c r="J691" s="4"/>
      <c r="M691" s="18"/>
      <c r="AF691" s="4"/>
      <c r="AG691" s="18"/>
    </row>
    <row r="692" ht="15.75" customHeight="1">
      <c r="D692" s="4"/>
      <c r="E692" s="18"/>
      <c r="J692" s="4"/>
      <c r="M692" s="18"/>
      <c r="AF692" s="4"/>
      <c r="AG692" s="18"/>
    </row>
    <row r="693" ht="15.75" customHeight="1">
      <c r="D693" s="4"/>
      <c r="E693" s="18"/>
      <c r="J693" s="4"/>
      <c r="M693" s="18"/>
      <c r="AF693" s="4"/>
      <c r="AG693" s="18"/>
    </row>
    <row r="694" ht="15.75" customHeight="1">
      <c r="D694" s="4"/>
      <c r="E694" s="18"/>
      <c r="J694" s="4"/>
      <c r="M694" s="18"/>
      <c r="AF694" s="4"/>
      <c r="AG694" s="18"/>
    </row>
    <row r="695" ht="15.75" customHeight="1">
      <c r="D695" s="4"/>
      <c r="E695" s="18"/>
      <c r="J695" s="4"/>
      <c r="M695" s="18"/>
      <c r="AF695" s="4"/>
      <c r="AG695" s="18"/>
    </row>
    <row r="696" ht="15.75" customHeight="1">
      <c r="D696" s="4"/>
      <c r="E696" s="18"/>
      <c r="J696" s="4"/>
      <c r="M696" s="18"/>
      <c r="AF696" s="4"/>
      <c r="AG696" s="18"/>
    </row>
    <row r="697" ht="15.75" customHeight="1">
      <c r="D697" s="4"/>
      <c r="E697" s="18"/>
      <c r="J697" s="4"/>
      <c r="M697" s="18"/>
      <c r="AF697" s="4"/>
      <c r="AG697" s="18"/>
    </row>
    <row r="698" ht="15.75" customHeight="1">
      <c r="D698" s="4"/>
      <c r="E698" s="18"/>
      <c r="J698" s="4"/>
      <c r="M698" s="18"/>
      <c r="AF698" s="4"/>
      <c r="AG698" s="18"/>
    </row>
    <row r="699" ht="15.75" customHeight="1">
      <c r="D699" s="4"/>
      <c r="E699" s="18"/>
      <c r="J699" s="4"/>
      <c r="M699" s="18"/>
      <c r="AF699" s="4"/>
      <c r="AG699" s="18"/>
    </row>
    <row r="700" ht="15.75" customHeight="1">
      <c r="D700" s="4"/>
      <c r="E700" s="18"/>
      <c r="J700" s="4"/>
      <c r="M700" s="18"/>
      <c r="AF700" s="4"/>
      <c r="AG700" s="18"/>
    </row>
    <row r="701" ht="15.75" customHeight="1">
      <c r="D701" s="4"/>
      <c r="E701" s="18"/>
      <c r="J701" s="4"/>
      <c r="M701" s="18"/>
      <c r="AF701" s="4"/>
      <c r="AG701" s="18"/>
    </row>
    <row r="702" ht="15.75" customHeight="1">
      <c r="D702" s="4"/>
      <c r="E702" s="18"/>
      <c r="J702" s="4"/>
      <c r="M702" s="18"/>
      <c r="AF702" s="4"/>
      <c r="AG702" s="18"/>
    </row>
    <row r="703" ht="15.75" customHeight="1">
      <c r="D703" s="4"/>
      <c r="E703" s="18"/>
      <c r="J703" s="4"/>
      <c r="M703" s="18"/>
      <c r="AF703" s="4"/>
      <c r="AG703" s="18"/>
    </row>
    <row r="704" ht="15.75" customHeight="1">
      <c r="D704" s="4"/>
      <c r="E704" s="18"/>
      <c r="J704" s="4"/>
      <c r="M704" s="18"/>
      <c r="AF704" s="4"/>
      <c r="AG704" s="18"/>
    </row>
    <row r="705" ht="15.75" customHeight="1">
      <c r="D705" s="4"/>
      <c r="E705" s="18"/>
      <c r="J705" s="4"/>
      <c r="M705" s="18"/>
      <c r="AF705" s="4"/>
      <c r="AG705" s="18"/>
    </row>
    <row r="706" ht="15.75" customHeight="1">
      <c r="D706" s="4"/>
      <c r="E706" s="18"/>
      <c r="J706" s="4"/>
      <c r="M706" s="18"/>
      <c r="AF706" s="4"/>
      <c r="AG706" s="18"/>
    </row>
    <row r="707" ht="15.75" customHeight="1">
      <c r="D707" s="4"/>
      <c r="E707" s="18"/>
      <c r="J707" s="4"/>
      <c r="M707" s="18"/>
      <c r="AF707" s="4"/>
      <c r="AG707" s="18"/>
    </row>
    <row r="708" ht="15.75" customHeight="1">
      <c r="D708" s="4"/>
      <c r="E708" s="18"/>
      <c r="J708" s="4"/>
      <c r="M708" s="18"/>
      <c r="AF708" s="4"/>
      <c r="AG708" s="18"/>
    </row>
    <row r="709" ht="15.75" customHeight="1">
      <c r="D709" s="4"/>
      <c r="E709" s="18"/>
      <c r="J709" s="4"/>
      <c r="M709" s="18"/>
      <c r="AF709" s="4"/>
      <c r="AG709" s="18"/>
    </row>
    <row r="710" ht="15.75" customHeight="1">
      <c r="D710" s="4"/>
      <c r="E710" s="18"/>
      <c r="J710" s="4"/>
      <c r="M710" s="18"/>
      <c r="AF710" s="4"/>
      <c r="AG710" s="18"/>
    </row>
    <row r="711" ht="15.75" customHeight="1">
      <c r="D711" s="4"/>
      <c r="E711" s="18"/>
      <c r="J711" s="4"/>
      <c r="M711" s="18"/>
      <c r="AF711" s="4"/>
      <c r="AG711" s="18"/>
    </row>
    <row r="712" ht="15.75" customHeight="1">
      <c r="D712" s="4"/>
      <c r="E712" s="18"/>
      <c r="J712" s="4"/>
      <c r="M712" s="18"/>
      <c r="AF712" s="4"/>
      <c r="AG712" s="18"/>
    </row>
    <row r="713" ht="15.75" customHeight="1">
      <c r="D713" s="4"/>
      <c r="E713" s="18"/>
      <c r="J713" s="4"/>
      <c r="M713" s="18"/>
      <c r="AF713" s="4"/>
      <c r="AG713" s="18"/>
    </row>
    <row r="714" ht="15.75" customHeight="1">
      <c r="D714" s="4"/>
      <c r="E714" s="18"/>
      <c r="J714" s="4"/>
      <c r="M714" s="18"/>
      <c r="AF714" s="4"/>
      <c r="AG714" s="18"/>
    </row>
    <row r="715" ht="15.75" customHeight="1">
      <c r="D715" s="4"/>
      <c r="E715" s="18"/>
      <c r="J715" s="4"/>
      <c r="M715" s="18"/>
      <c r="AF715" s="4"/>
      <c r="AG715" s="18"/>
    </row>
    <row r="716" ht="15.75" customHeight="1">
      <c r="D716" s="4"/>
      <c r="E716" s="18"/>
      <c r="J716" s="4"/>
      <c r="M716" s="18"/>
      <c r="AF716" s="4"/>
      <c r="AG716" s="18"/>
    </row>
    <row r="717" ht="15.75" customHeight="1">
      <c r="D717" s="4"/>
      <c r="E717" s="18"/>
      <c r="J717" s="4"/>
      <c r="M717" s="18"/>
      <c r="AF717" s="4"/>
      <c r="AG717" s="18"/>
    </row>
    <row r="718" ht="15.75" customHeight="1">
      <c r="D718" s="4"/>
      <c r="E718" s="18"/>
      <c r="J718" s="4"/>
      <c r="M718" s="18"/>
      <c r="AF718" s="4"/>
      <c r="AG718" s="18"/>
    </row>
    <row r="719" ht="15.75" customHeight="1">
      <c r="D719" s="4"/>
      <c r="E719" s="18"/>
      <c r="J719" s="4"/>
      <c r="M719" s="18"/>
      <c r="AF719" s="4"/>
      <c r="AG719" s="18"/>
    </row>
    <row r="720" ht="15.75" customHeight="1">
      <c r="D720" s="4"/>
      <c r="E720" s="18"/>
      <c r="J720" s="4"/>
      <c r="M720" s="18"/>
      <c r="AF720" s="4"/>
      <c r="AG720" s="18"/>
    </row>
    <row r="721" ht="15.75" customHeight="1">
      <c r="D721" s="4"/>
      <c r="E721" s="18"/>
      <c r="J721" s="4"/>
      <c r="M721" s="18"/>
      <c r="AF721" s="4"/>
      <c r="AG721" s="18"/>
    </row>
    <row r="722" ht="15.75" customHeight="1">
      <c r="D722" s="4"/>
      <c r="E722" s="18"/>
      <c r="J722" s="4"/>
      <c r="M722" s="18"/>
      <c r="AF722" s="4"/>
      <c r="AG722" s="18"/>
    </row>
    <row r="723" ht="15.75" customHeight="1">
      <c r="D723" s="4"/>
      <c r="E723" s="18"/>
      <c r="J723" s="4"/>
      <c r="M723" s="18"/>
      <c r="AF723" s="4"/>
      <c r="AG723" s="18"/>
    </row>
    <row r="724" ht="15.75" customHeight="1">
      <c r="D724" s="4"/>
      <c r="E724" s="18"/>
      <c r="J724" s="4"/>
      <c r="M724" s="18"/>
      <c r="AF724" s="4"/>
      <c r="AG724" s="18"/>
    </row>
    <row r="725" ht="15.75" customHeight="1">
      <c r="D725" s="4"/>
      <c r="E725" s="18"/>
      <c r="J725" s="4"/>
      <c r="M725" s="18"/>
      <c r="AF725" s="4"/>
      <c r="AG725" s="18"/>
    </row>
    <row r="726" ht="15.75" customHeight="1">
      <c r="D726" s="4"/>
      <c r="E726" s="18"/>
      <c r="J726" s="4"/>
      <c r="M726" s="18"/>
      <c r="AF726" s="4"/>
      <c r="AG726" s="18"/>
    </row>
    <row r="727" ht="15.75" customHeight="1">
      <c r="D727" s="4"/>
      <c r="E727" s="18"/>
      <c r="J727" s="4"/>
      <c r="M727" s="18"/>
      <c r="AF727" s="4"/>
      <c r="AG727" s="18"/>
    </row>
    <row r="728" ht="15.75" customHeight="1">
      <c r="D728" s="4"/>
      <c r="E728" s="18"/>
      <c r="J728" s="4"/>
      <c r="M728" s="18"/>
      <c r="AF728" s="4"/>
      <c r="AG728" s="18"/>
    </row>
    <row r="729" ht="15.75" customHeight="1">
      <c r="D729" s="4"/>
      <c r="E729" s="18"/>
      <c r="J729" s="4"/>
      <c r="M729" s="18"/>
      <c r="AF729" s="4"/>
      <c r="AG729" s="18"/>
    </row>
    <row r="730" ht="15.75" customHeight="1">
      <c r="D730" s="4"/>
      <c r="E730" s="18"/>
      <c r="J730" s="4"/>
      <c r="M730" s="18"/>
      <c r="AF730" s="4"/>
      <c r="AG730" s="18"/>
    </row>
    <row r="731" ht="15.75" customHeight="1">
      <c r="D731" s="4"/>
      <c r="E731" s="18"/>
      <c r="J731" s="4"/>
      <c r="M731" s="18"/>
      <c r="AF731" s="4"/>
      <c r="AG731" s="18"/>
    </row>
    <row r="732" ht="15.75" customHeight="1">
      <c r="D732" s="4"/>
      <c r="E732" s="18"/>
      <c r="J732" s="4"/>
      <c r="M732" s="18"/>
      <c r="AF732" s="4"/>
      <c r="AG732" s="18"/>
    </row>
    <row r="733" ht="15.75" customHeight="1">
      <c r="D733" s="4"/>
      <c r="E733" s="18"/>
      <c r="J733" s="4"/>
      <c r="M733" s="18"/>
      <c r="AF733" s="4"/>
      <c r="AG733" s="18"/>
    </row>
    <row r="734" ht="15.75" customHeight="1">
      <c r="D734" s="4"/>
      <c r="E734" s="18"/>
      <c r="J734" s="4"/>
      <c r="M734" s="18"/>
      <c r="AF734" s="4"/>
      <c r="AG734" s="18"/>
    </row>
    <row r="735" ht="15.75" customHeight="1">
      <c r="D735" s="4"/>
      <c r="E735" s="18"/>
      <c r="J735" s="4"/>
      <c r="M735" s="18"/>
      <c r="AF735" s="4"/>
      <c r="AG735" s="18"/>
    </row>
    <row r="736" ht="15.75" customHeight="1">
      <c r="D736" s="4"/>
      <c r="E736" s="18"/>
      <c r="J736" s="4"/>
      <c r="M736" s="18"/>
      <c r="AF736" s="4"/>
      <c r="AG736" s="18"/>
    </row>
    <row r="737" ht="15.75" customHeight="1">
      <c r="D737" s="4"/>
      <c r="E737" s="18"/>
      <c r="J737" s="4"/>
      <c r="M737" s="18"/>
      <c r="AF737" s="4"/>
      <c r="AG737" s="18"/>
    </row>
    <row r="738" ht="15.75" customHeight="1">
      <c r="D738" s="4"/>
      <c r="E738" s="18"/>
      <c r="J738" s="4"/>
      <c r="M738" s="18"/>
      <c r="AF738" s="4"/>
      <c r="AG738" s="18"/>
    </row>
    <row r="739" ht="15.75" customHeight="1">
      <c r="D739" s="4"/>
      <c r="E739" s="18"/>
      <c r="J739" s="4"/>
      <c r="M739" s="18"/>
      <c r="AF739" s="4"/>
      <c r="AG739" s="18"/>
    </row>
    <row r="740" ht="15.75" customHeight="1">
      <c r="D740" s="4"/>
      <c r="E740" s="18"/>
      <c r="J740" s="4"/>
      <c r="M740" s="18"/>
      <c r="AF740" s="4"/>
      <c r="AG740" s="18"/>
    </row>
    <row r="741" ht="15.75" customHeight="1">
      <c r="D741" s="4"/>
      <c r="E741" s="18"/>
      <c r="J741" s="4"/>
      <c r="M741" s="18"/>
      <c r="AF741" s="4"/>
      <c r="AG741" s="18"/>
    </row>
    <row r="742" ht="15.75" customHeight="1">
      <c r="D742" s="4"/>
      <c r="E742" s="18"/>
      <c r="J742" s="4"/>
      <c r="M742" s="18"/>
      <c r="AF742" s="4"/>
      <c r="AG742" s="18"/>
    </row>
    <row r="743" ht="15.75" customHeight="1">
      <c r="D743" s="4"/>
      <c r="E743" s="18"/>
      <c r="J743" s="4"/>
      <c r="M743" s="18"/>
      <c r="AF743" s="4"/>
      <c r="AG743" s="18"/>
    </row>
    <row r="744" ht="15.75" customHeight="1">
      <c r="D744" s="4"/>
      <c r="E744" s="18"/>
      <c r="J744" s="4"/>
      <c r="M744" s="18"/>
      <c r="AF744" s="4"/>
      <c r="AG744" s="18"/>
    </row>
    <row r="745" ht="15.75" customHeight="1">
      <c r="D745" s="4"/>
      <c r="E745" s="18"/>
      <c r="J745" s="4"/>
      <c r="M745" s="18"/>
      <c r="AF745" s="4"/>
      <c r="AG745" s="18"/>
    </row>
    <row r="746" ht="15.75" customHeight="1">
      <c r="D746" s="4"/>
      <c r="E746" s="18"/>
      <c r="J746" s="4"/>
      <c r="M746" s="18"/>
      <c r="AF746" s="4"/>
      <c r="AG746" s="18"/>
    </row>
    <row r="747" ht="15.75" customHeight="1">
      <c r="D747" s="4"/>
      <c r="E747" s="18"/>
      <c r="J747" s="4"/>
      <c r="M747" s="18"/>
      <c r="AF747" s="4"/>
      <c r="AG747" s="18"/>
    </row>
    <row r="748" ht="15.75" customHeight="1">
      <c r="D748" s="4"/>
      <c r="E748" s="18"/>
      <c r="J748" s="4"/>
      <c r="M748" s="18"/>
      <c r="AF748" s="4"/>
      <c r="AG748" s="18"/>
    </row>
    <row r="749" ht="15.75" customHeight="1">
      <c r="D749" s="4"/>
      <c r="E749" s="18"/>
      <c r="J749" s="4"/>
      <c r="M749" s="18"/>
      <c r="AF749" s="4"/>
      <c r="AG749" s="18"/>
    </row>
    <row r="750" ht="15.75" customHeight="1">
      <c r="D750" s="4"/>
      <c r="E750" s="18"/>
      <c r="J750" s="4"/>
      <c r="M750" s="18"/>
      <c r="AF750" s="4"/>
      <c r="AG750" s="18"/>
    </row>
    <row r="751" ht="15.75" customHeight="1">
      <c r="D751" s="4"/>
      <c r="E751" s="18"/>
      <c r="J751" s="4"/>
      <c r="M751" s="18"/>
      <c r="AF751" s="4"/>
      <c r="AG751" s="18"/>
    </row>
    <row r="752" ht="15.75" customHeight="1">
      <c r="D752" s="4"/>
      <c r="E752" s="18"/>
      <c r="J752" s="4"/>
      <c r="M752" s="18"/>
      <c r="AF752" s="4"/>
      <c r="AG752" s="18"/>
    </row>
    <row r="753" ht="15.75" customHeight="1">
      <c r="D753" s="4"/>
      <c r="E753" s="18"/>
      <c r="J753" s="4"/>
      <c r="M753" s="18"/>
      <c r="AF753" s="4"/>
      <c r="AG753" s="18"/>
    </row>
    <row r="754" ht="15.75" customHeight="1">
      <c r="D754" s="4"/>
      <c r="E754" s="18"/>
      <c r="J754" s="4"/>
      <c r="M754" s="18"/>
      <c r="AF754" s="4"/>
      <c r="AG754" s="18"/>
    </row>
    <row r="755" ht="15.75" customHeight="1">
      <c r="D755" s="4"/>
      <c r="E755" s="18"/>
      <c r="J755" s="4"/>
      <c r="M755" s="18"/>
      <c r="AF755" s="4"/>
      <c r="AG755" s="18"/>
    </row>
    <row r="756" ht="15.75" customHeight="1">
      <c r="D756" s="4"/>
      <c r="E756" s="18"/>
      <c r="J756" s="4"/>
      <c r="M756" s="18"/>
      <c r="AF756" s="4"/>
      <c r="AG756" s="18"/>
    </row>
    <row r="757" ht="15.75" customHeight="1">
      <c r="D757" s="4"/>
      <c r="E757" s="18"/>
      <c r="J757" s="4"/>
      <c r="M757" s="18"/>
      <c r="AF757" s="4"/>
      <c r="AG757" s="18"/>
    </row>
    <row r="758" ht="15.75" customHeight="1">
      <c r="D758" s="4"/>
      <c r="E758" s="18"/>
      <c r="J758" s="4"/>
      <c r="M758" s="18"/>
      <c r="AF758" s="4"/>
      <c r="AG758" s="18"/>
    </row>
    <row r="759" ht="15.75" customHeight="1">
      <c r="D759" s="4"/>
      <c r="E759" s="18"/>
      <c r="J759" s="4"/>
      <c r="M759" s="18"/>
      <c r="AF759" s="4"/>
      <c r="AG759" s="18"/>
    </row>
    <row r="760" ht="15.75" customHeight="1">
      <c r="D760" s="4"/>
      <c r="E760" s="18"/>
      <c r="J760" s="4"/>
      <c r="M760" s="18"/>
      <c r="AF760" s="4"/>
      <c r="AG760" s="18"/>
    </row>
    <row r="761" ht="15.75" customHeight="1">
      <c r="D761" s="4"/>
      <c r="E761" s="18"/>
      <c r="J761" s="4"/>
      <c r="M761" s="18"/>
      <c r="AF761" s="4"/>
      <c r="AG761" s="18"/>
    </row>
    <row r="762" ht="15.75" customHeight="1">
      <c r="D762" s="4"/>
      <c r="E762" s="18"/>
      <c r="J762" s="4"/>
      <c r="M762" s="18"/>
      <c r="AF762" s="4"/>
      <c r="AG762" s="18"/>
    </row>
    <row r="763" ht="15.75" customHeight="1">
      <c r="D763" s="4"/>
      <c r="E763" s="18"/>
      <c r="J763" s="4"/>
      <c r="M763" s="18"/>
      <c r="AF763" s="4"/>
      <c r="AG763" s="18"/>
    </row>
    <row r="764" ht="15.75" customHeight="1">
      <c r="D764" s="4"/>
      <c r="E764" s="18"/>
      <c r="J764" s="4"/>
      <c r="M764" s="18"/>
      <c r="AF764" s="4"/>
      <c r="AG764" s="18"/>
    </row>
    <row r="765" ht="15.75" customHeight="1">
      <c r="D765" s="4"/>
      <c r="E765" s="18"/>
      <c r="J765" s="4"/>
      <c r="M765" s="18"/>
      <c r="AF765" s="4"/>
      <c r="AG765" s="18"/>
    </row>
    <row r="766" ht="15.75" customHeight="1">
      <c r="D766" s="4"/>
      <c r="E766" s="18"/>
      <c r="J766" s="4"/>
      <c r="M766" s="18"/>
      <c r="AF766" s="4"/>
      <c r="AG766" s="18"/>
    </row>
    <row r="767" ht="15.75" customHeight="1">
      <c r="D767" s="4"/>
      <c r="E767" s="18"/>
      <c r="J767" s="4"/>
      <c r="M767" s="18"/>
      <c r="AF767" s="4"/>
      <c r="AG767" s="18"/>
    </row>
    <row r="768" ht="15.75" customHeight="1">
      <c r="D768" s="4"/>
      <c r="E768" s="18"/>
      <c r="J768" s="4"/>
      <c r="M768" s="18"/>
      <c r="AF768" s="4"/>
      <c r="AG768" s="18"/>
    </row>
    <row r="769" ht="15.75" customHeight="1">
      <c r="D769" s="4"/>
      <c r="E769" s="18"/>
      <c r="J769" s="4"/>
      <c r="M769" s="18"/>
      <c r="AF769" s="4"/>
      <c r="AG769" s="18"/>
    </row>
    <row r="770" ht="15.75" customHeight="1">
      <c r="D770" s="4"/>
      <c r="E770" s="18"/>
      <c r="J770" s="4"/>
      <c r="M770" s="18"/>
      <c r="AF770" s="4"/>
      <c r="AG770" s="18"/>
    </row>
    <row r="771" ht="15.75" customHeight="1">
      <c r="D771" s="4"/>
      <c r="E771" s="18"/>
      <c r="J771" s="4"/>
      <c r="M771" s="18"/>
      <c r="AF771" s="4"/>
      <c r="AG771" s="18"/>
    </row>
    <row r="772" ht="15.75" customHeight="1">
      <c r="D772" s="4"/>
      <c r="E772" s="18"/>
      <c r="J772" s="4"/>
      <c r="M772" s="18"/>
      <c r="AF772" s="4"/>
      <c r="AG772" s="18"/>
    </row>
    <row r="773" ht="15.75" customHeight="1">
      <c r="D773" s="4"/>
      <c r="E773" s="18"/>
      <c r="J773" s="4"/>
      <c r="M773" s="18"/>
      <c r="AF773" s="4"/>
      <c r="AG773" s="18"/>
    </row>
    <row r="774" ht="15.75" customHeight="1">
      <c r="D774" s="4"/>
      <c r="E774" s="18"/>
      <c r="J774" s="4"/>
      <c r="M774" s="18"/>
      <c r="AF774" s="4"/>
      <c r="AG774" s="18"/>
    </row>
    <row r="775" ht="15.75" customHeight="1">
      <c r="D775" s="4"/>
      <c r="E775" s="18"/>
      <c r="J775" s="4"/>
      <c r="M775" s="18"/>
      <c r="AF775" s="4"/>
      <c r="AG775" s="18"/>
    </row>
    <row r="776" ht="15.75" customHeight="1">
      <c r="D776" s="4"/>
      <c r="E776" s="18"/>
      <c r="J776" s="4"/>
      <c r="M776" s="18"/>
      <c r="AF776" s="4"/>
      <c r="AG776" s="18"/>
    </row>
    <row r="777" ht="15.75" customHeight="1">
      <c r="D777" s="4"/>
      <c r="E777" s="18"/>
      <c r="J777" s="4"/>
      <c r="M777" s="18"/>
      <c r="AF777" s="4"/>
      <c r="AG777" s="18"/>
    </row>
    <row r="778" ht="15.75" customHeight="1">
      <c r="D778" s="4"/>
      <c r="E778" s="18"/>
      <c r="J778" s="4"/>
      <c r="M778" s="18"/>
      <c r="AF778" s="4"/>
      <c r="AG778" s="18"/>
    </row>
    <row r="779" ht="15.75" customHeight="1">
      <c r="D779" s="4"/>
      <c r="E779" s="18"/>
      <c r="J779" s="4"/>
      <c r="M779" s="18"/>
      <c r="AF779" s="4"/>
      <c r="AG779" s="18"/>
    </row>
    <row r="780" ht="15.75" customHeight="1">
      <c r="D780" s="4"/>
      <c r="E780" s="18"/>
      <c r="J780" s="4"/>
      <c r="M780" s="18"/>
      <c r="AF780" s="4"/>
      <c r="AG780" s="18"/>
    </row>
    <row r="781" ht="15.75" customHeight="1">
      <c r="D781" s="4"/>
      <c r="E781" s="18"/>
      <c r="J781" s="4"/>
      <c r="M781" s="18"/>
      <c r="AF781" s="4"/>
      <c r="AG781" s="18"/>
    </row>
    <row r="782" ht="15.75" customHeight="1">
      <c r="D782" s="4"/>
      <c r="E782" s="18"/>
      <c r="J782" s="4"/>
      <c r="M782" s="18"/>
      <c r="AF782" s="4"/>
      <c r="AG782" s="18"/>
    </row>
    <row r="783" ht="15.75" customHeight="1">
      <c r="D783" s="4"/>
      <c r="E783" s="18"/>
      <c r="J783" s="4"/>
      <c r="M783" s="18"/>
      <c r="AF783" s="4"/>
      <c r="AG783" s="18"/>
    </row>
    <row r="784" ht="15.75" customHeight="1">
      <c r="D784" s="4"/>
      <c r="E784" s="18"/>
      <c r="J784" s="4"/>
      <c r="M784" s="18"/>
      <c r="AF784" s="4"/>
      <c r="AG784" s="18"/>
    </row>
    <row r="785" ht="15.75" customHeight="1">
      <c r="D785" s="4"/>
      <c r="E785" s="18"/>
      <c r="J785" s="4"/>
      <c r="M785" s="18"/>
      <c r="AF785" s="4"/>
      <c r="AG785" s="18"/>
    </row>
    <row r="786" ht="15.75" customHeight="1">
      <c r="D786" s="4"/>
      <c r="E786" s="18"/>
      <c r="J786" s="4"/>
      <c r="M786" s="18"/>
      <c r="AF786" s="4"/>
      <c r="AG786" s="18"/>
    </row>
    <row r="787" ht="15.75" customHeight="1">
      <c r="D787" s="4"/>
      <c r="E787" s="18"/>
      <c r="J787" s="4"/>
      <c r="M787" s="18"/>
      <c r="AF787" s="4"/>
      <c r="AG787" s="18"/>
    </row>
    <row r="788" ht="15.75" customHeight="1">
      <c r="D788" s="4"/>
      <c r="E788" s="18"/>
      <c r="J788" s="4"/>
      <c r="M788" s="18"/>
      <c r="AF788" s="4"/>
      <c r="AG788" s="18"/>
    </row>
    <row r="789" ht="15.75" customHeight="1">
      <c r="D789" s="4"/>
      <c r="E789" s="18"/>
      <c r="J789" s="4"/>
      <c r="M789" s="18"/>
      <c r="AF789" s="4"/>
      <c r="AG789" s="18"/>
    </row>
    <row r="790" ht="15.75" customHeight="1">
      <c r="D790" s="4"/>
      <c r="E790" s="18"/>
      <c r="J790" s="4"/>
      <c r="M790" s="18"/>
      <c r="AF790" s="4"/>
      <c r="AG790" s="18"/>
    </row>
    <row r="791" ht="15.75" customHeight="1">
      <c r="D791" s="4"/>
      <c r="E791" s="18"/>
      <c r="J791" s="4"/>
      <c r="M791" s="18"/>
      <c r="AF791" s="4"/>
      <c r="AG791" s="18"/>
    </row>
    <row r="792" ht="15.75" customHeight="1">
      <c r="D792" s="4"/>
      <c r="E792" s="18"/>
      <c r="J792" s="4"/>
      <c r="M792" s="18"/>
      <c r="AF792" s="4"/>
      <c r="AG792" s="18"/>
    </row>
    <row r="793" ht="15.75" customHeight="1">
      <c r="D793" s="4"/>
      <c r="E793" s="18"/>
      <c r="J793" s="4"/>
      <c r="M793" s="18"/>
      <c r="AF793" s="4"/>
      <c r="AG793" s="18"/>
    </row>
    <row r="794" ht="15.75" customHeight="1">
      <c r="D794" s="4"/>
      <c r="E794" s="18"/>
      <c r="J794" s="4"/>
      <c r="M794" s="18"/>
      <c r="AF794" s="4"/>
      <c r="AG794" s="18"/>
    </row>
    <row r="795" ht="15.75" customHeight="1">
      <c r="D795" s="4"/>
      <c r="E795" s="18"/>
      <c r="J795" s="4"/>
      <c r="M795" s="18"/>
      <c r="AF795" s="4"/>
      <c r="AG795" s="18"/>
    </row>
    <row r="796" ht="15.75" customHeight="1">
      <c r="D796" s="4"/>
      <c r="E796" s="18"/>
      <c r="J796" s="4"/>
      <c r="M796" s="18"/>
      <c r="AF796" s="4"/>
      <c r="AG796" s="18"/>
    </row>
    <row r="797" ht="15.75" customHeight="1">
      <c r="D797" s="4"/>
      <c r="E797" s="18"/>
      <c r="J797" s="4"/>
      <c r="M797" s="18"/>
      <c r="AF797" s="4"/>
      <c r="AG797" s="18"/>
    </row>
    <row r="798" ht="15.75" customHeight="1">
      <c r="D798" s="4"/>
      <c r="E798" s="18"/>
      <c r="J798" s="4"/>
      <c r="M798" s="18"/>
      <c r="AF798" s="4"/>
      <c r="AG798" s="18"/>
    </row>
    <row r="799" ht="15.75" customHeight="1">
      <c r="D799" s="4"/>
      <c r="E799" s="18"/>
      <c r="J799" s="4"/>
      <c r="M799" s="18"/>
      <c r="AF799" s="4"/>
      <c r="AG799" s="18"/>
    </row>
    <row r="800" ht="15.75" customHeight="1">
      <c r="D800" s="4"/>
      <c r="E800" s="18"/>
      <c r="J800" s="4"/>
      <c r="M800" s="18"/>
      <c r="AF800" s="4"/>
      <c r="AG800" s="18"/>
    </row>
    <row r="801" ht="15.75" customHeight="1">
      <c r="D801" s="4"/>
      <c r="E801" s="18"/>
      <c r="J801" s="4"/>
      <c r="M801" s="18"/>
      <c r="AF801" s="4"/>
      <c r="AG801" s="18"/>
    </row>
    <row r="802" ht="15.75" customHeight="1">
      <c r="D802" s="4"/>
      <c r="E802" s="18"/>
      <c r="J802" s="4"/>
      <c r="M802" s="18"/>
      <c r="AF802" s="4"/>
      <c r="AG802" s="18"/>
    </row>
    <row r="803" ht="15.75" customHeight="1">
      <c r="D803" s="4"/>
      <c r="E803" s="18"/>
      <c r="J803" s="4"/>
      <c r="M803" s="18"/>
      <c r="AF803" s="4"/>
      <c r="AG803" s="18"/>
    </row>
    <row r="804" ht="15.75" customHeight="1">
      <c r="D804" s="4"/>
      <c r="E804" s="18"/>
      <c r="J804" s="4"/>
      <c r="M804" s="18"/>
      <c r="AF804" s="4"/>
      <c r="AG804" s="18"/>
    </row>
    <row r="805" ht="15.75" customHeight="1">
      <c r="D805" s="4"/>
      <c r="E805" s="18"/>
      <c r="J805" s="4"/>
      <c r="M805" s="18"/>
      <c r="AF805" s="4"/>
      <c r="AG805" s="18"/>
    </row>
    <row r="806" ht="15.75" customHeight="1">
      <c r="D806" s="4"/>
      <c r="E806" s="18"/>
      <c r="J806" s="4"/>
      <c r="M806" s="18"/>
      <c r="AF806" s="4"/>
      <c r="AG806" s="18"/>
    </row>
    <row r="807" ht="15.75" customHeight="1">
      <c r="D807" s="4"/>
      <c r="E807" s="18"/>
      <c r="J807" s="4"/>
      <c r="M807" s="18"/>
      <c r="AF807" s="4"/>
      <c r="AG807" s="18"/>
    </row>
    <row r="808" ht="15.75" customHeight="1">
      <c r="D808" s="4"/>
      <c r="E808" s="18"/>
      <c r="J808" s="4"/>
      <c r="M808" s="18"/>
      <c r="AF808" s="4"/>
      <c r="AG808" s="18"/>
    </row>
    <row r="809" ht="15.75" customHeight="1">
      <c r="D809" s="4"/>
      <c r="E809" s="18"/>
      <c r="J809" s="4"/>
      <c r="M809" s="18"/>
      <c r="AF809" s="4"/>
      <c r="AG809" s="18"/>
    </row>
    <row r="810" ht="15.75" customHeight="1">
      <c r="D810" s="4"/>
      <c r="E810" s="18"/>
      <c r="J810" s="4"/>
      <c r="M810" s="18"/>
      <c r="AF810" s="4"/>
      <c r="AG810" s="18"/>
    </row>
    <row r="811" ht="15.75" customHeight="1">
      <c r="D811" s="4"/>
      <c r="E811" s="18"/>
      <c r="J811" s="4"/>
      <c r="M811" s="18"/>
      <c r="AF811" s="4"/>
      <c r="AG811" s="18"/>
    </row>
    <row r="812" ht="15.75" customHeight="1">
      <c r="D812" s="4"/>
      <c r="E812" s="18"/>
      <c r="J812" s="4"/>
      <c r="M812" s="18"/>
      <c r="AF812" s="4"/>
      <c r="AG812" s="18"/>
    </row>
    <row r="813" ht="15.75" customHeight="1">
      <c r="D813" s="4"/>
      <c r="E813" s="18"/>
      <c r="J813" s="4"/>
      <c r="M813" s="18"/>
      <c r="AF813" s="4"/>
      <c r="AG813" s="18"/>
    </row>
    <row r="814" ht="15.75" customHeight="1">
      <c r="D814" s="4"/>
      <c r="E814" s="18"/>
      <c r="J814" s="4"/>
      <c r="M814" s="18"/>
      <c r="AF814" s="4"/>
      <c r="AG814" s="18"/>
    </row>
    <row r="815" ht="15.75" customHeight="1">
      <c r="D815" s="4"/>
      <c r="E815" s="18"/>
      <c r="J815" s="4"/>
      <c r="M815" s="18"/>
      <c r="AF815" s="4"/>
      <c r="AG815" s="18"/>
    </row>
    <row r="816" ht="15.75" customHeight="1">
      <c r="D816" s="4"/>
      <c r="E816" s="18"/>
      <c r="J816" s="4"/>
      <c r="M816" s="18"/>
      <c r="AF816" s="4"/>
      <c r="AG816" s="18"/>
    </row>
    <row r="817" ht="15.75" customHeight="1">
      <c r="D817" s="4"/>
      <c r="E817" s="18"/>
      <c r="J817" s="4"/>
      <c r="M817" s="18"/>
      <c r="AF817" s="4"/>
      <c r="AG817" s="18"/>
    </row>
    <row r="818" ht="15.75" customHeight="1">
      <c r="D818" s="4"/>
      <c r="E818" s="18"/>
      <c r="J818" s="4"/>
      <c r="M818" s="18"/>
      <c r="AF818" s="4"/>
      <c r="AG818" s="18"/>
    </row>
    <row r="819" ht="15.75" customHeight="1">
      <c r="D819" s="4"/>
      <c r="E819" s="18"/>
      <c r="J819" s="4"/>
      <c r="M819" s="18"/>
      <c r="AF819" s="4"/>
      <c r="AG819" s="18"/>
    </row>
    <row r="820" ht="15.75" customHeight="1">
      <c r="D820" s="4"/>
      <c r="E820" s="18"/>
      <c r="J820" s="4"/>
      <c r="M820" s="18"/>
      <c r="AF820" s="4"/>
      <c r="AG820" s="18"/>
    </row>
    <row r="821" ht="15.75" customHeight="1">
      <c r="D821" s="4"/>
      <c r="E821" s="18"/>
      <c r="J821" s="4"/>
      <c r="M821" s="18"/>
      <c r="AF821" s="4"/>
      <c r="AG821" s="18"/>
    </row>
    <row r="822" ht="15.75" customHeight="1">
      <c r="D822" s="4"/>
      <c r="E822" s="18"/>
      <c r="J822" s="4"/>
      <c r="M822" s="18"/>
      <c r="AF822" s="4"/>
      <c r="AG822" s="18"/>
    </row>
    <row r="823" ht="15.75" customHeight="1">
      <c r="D823" s="4"/>
      <c r="E823" s="18"/>
      <c r="J823" s="4"/>
      <c r="M823" s="18"/>
      <c r="AF823" s="4"/>
      <c r="AG823" s="18"/>
    </row>
    <row r="824" ht="15.75" customHeight="1">
      <c r="D824" s="4"/>
      <c r="E824" s="18"/>
      <c r="J824" s="4"/>
      <c r="M824" s="18"/>
      <c r="AF824" s="4"/>
      <c r="AG824" s="18"/>
    </row>
    <row r="825" ht="15.75" customHeight="1">
      <c r="D825" s="4"/>
      <c r="E825" s="18"/>
      <c r="J825" s="4"/>
      <c r="M825" s="18"/>
      <c r="AF825" s="4"/>
      <c r="AG825" s="18"/>
    </row>
    <row r="826" ht="15.75" customHeight="1">
      <c r="D826" s="4"/>
      <c r="E826" s="18"/>
      <c r="J826" s="4"/>
      <c r="M826" s="18"/>
      <c r="AF826" s="4"/>
      <c r="AG826" s="18"/>
    </row>
    <row r="827" ht="15.75" customHeight="1">
      <c r="D827" s="4"/>
      <c r="E827" s="18"/>
      <c r="J827" s="4"/>
      <c r="M827" s="18"/>
      <c r="AF827" s="4"/>
      <c r="AG827" s="18"/>
    </row>
    <row r="828" ht="15.75" customHeight="1">
      <c r="D828" s="4"/>
      <c r="E828" s="18"/>
      <c r="J828" s="4"/>
      <c r="M828" s="18"/>
      <c r="AF828" s="4"/>
      <c r="AG828" s="18"/>
    </row>
    <row r="829" ht="15.75" customHeight="1">
      <c r="D829" s="4"/>
      <c r="E829" s="18"/>
      <c r="J829" s="4"/>
      <c r="M829" s="18"/>
      <c r="AF829" s="4"/>
      <c r="AG829" s="18"/>
    </row>
    <row r="830" ht="15.75" customHeight="1">
      <c r="D830" s="4"/>
      <c r="E830" s="18"/>
      <c r="J830" s="4"/>
      <c r="M830" s="18"/>
      <c r="AF830" s="4"/>
      <c r="AG830" s="18"/>
    </row>
    <row r="831" ht="15.75" customHeight="1">
      <c r="D831" s="4"/>
      <c r="E831" s="18"/>
      <c r="J831" s="4"/>
      <c r="M831" s="18"/>
      <c r="AF831" s="4"/>
      <c r="AG831" s="18"/>
    </row>
    <row r="832" ht="15.75" customHeight="1">
      <c r="D832" s="4"/>
      <c r="E832" s="18"/>
      <c r="J832" s="4"/>
      <c r="M832" s="18"/>
      <c r="AF832" s="4"/>
      <c r="AG832" s="18"/>
    </row>
    <row r="833" ht="15.75" customHeight="1">
      <c r="D833" s="4"/>
      <c r="E833" s="18"/>
      <c r="J833" s="4"/>
      <c r="M833" s="18"/>
      <c r="AF833" s="4"/>
      <c r="AG833" s="18"/>
    </row>
    <row r="834" ht="15.75" customHeight="1">
      <c r="D834" s="4"/>
      <c r="E834" s="18"/>
      <c r="J834" s="4"/>
      <c r="M834" s="18"/>
      <c r="AF834" s="4"/>
      <c r="AG834" s="18"/>
    </row>
    <row r="835" ht="15.75" customHeight="1">
      <c r="D835" s="4"/>
      <c r="E835" s="18"/>
      <c r="J835" s="4"/>
      <c r="M835" s="18"/>
      <c r="AF835" s="4"/>
      <c r="AG835" s="18"/>
    </row>
    <row r="836" ht="15.75" customHeight="1">
      <c r="D836" s="4"/>
      <c r="E836" s="18"/>
      <c r="J836" s="4"/>
      <c r="M836" s="18"/>
      <c r="AF836" s="4"/>
      <c r="AG836" s="18"/>
    </row>
    <row r="837" ht="15.75" customHeight="1">
      <c r="D837" s="4"/>
      <c r="E837" s="18"/>
      <c r="J837" s="4"/>
      <c r="M837" s="18"/>
      <c r="AF837" s="4"/>
      <c r="AG837" s="18"/>
    </row>
    <row r="838" ht="15.75" customHeight="1">
      <c r="D838" s="4"/>
      <c r="E838" s="18"/>
      <c r="J838" s="4"/>
      <c r="M838" s="18"/>
      <c r="AF838" s="4"/>
      <c r="AG838" s="18"/>
    </row>
    <row r="839" ht="15.75" customHeight="1">
      <c r="D839" s="4"/>
      <c r="E839" s="18"/>
      <c r="J839" s="4"/>
      <c r="M839" s="18"/>
      <c r="AF839" s="4"/>
      <c r="AG839" s="18"/>
    </row>
    <row r="840" ht="15.75" customHeight="1">
      <c r="D840" s="4"/>
      <c r="E840" s="18"/>
      <c r="J840" s="4"/>
      <c r="M840" s="18"/>
      <c r="AF840" s="4"/>
      <c r="AG840" s="18"/>
    </row>
    <row r="841" ht="15.75" customHeight="1">
      <c r="D841" s="4"/>
      <c r="E841" s="18"/>
      <c r="J841" s="4"/>
      <c r="M841" s="18"/>
      <c r="AF841" s="4"/>
      <c r="AG841" s="18"/>
    </row>
    <row r="842" ht="15.75" customHeight="1">
      <c r="D842" s="4"/>
      <c r="E842" s="18"/>
      <c r="J842" s="4"/>
      <c r="M842" s="18"/>
      <c r="AF842" s="4"/>
      <c r="AG842" s="18"/>
    </row>
    <row r="843" ht="15.75" customHeight="1">
      <c r="D843" s="4"/>
      <c r="E843" s="18"/>
      <c r="J843" s="4"/>
      <c r="M843" s="18"/>
      <c r="AF843" s="4"/>
      <c r="AG843" s="18"/>
    </row>
    <row r="844" ht="15.75" customHeight="1">
      <c r="D844" s="4"/>
      <c r="E844" s="18"/>
      <c r="J844" s="4"/>
      <c r="M844" s="18"/>
      <c r="AF844" s="4"/>
      <c r="AG844" s="18"/>
    </row>
    <row r="845" ht="15.75" customHeight="1">
      <c r="D845" s="4"/>
      <c r="E845" s="18"/>
      <c r="J845" s="4"/>
      <c r="M845" s="18"/>
      <c r="AF845" s="4"/>
      <c r="AG845" s="18"/>
    </row>
    <row r="846" ht="15.75" customHeight="1">
      <c r="D846" s="4"/>
      <c r="E846" s="18"/>
      <c r="J846" s="4"/>
      <c r="M846" s="18"/>
      <c r="AF846" s="4"/>
      <c r="AG846" s="18"/>
    </row>
    <row r="847" ht="15.75" customHeight="1">
      <c r="D847" s="4"/>
      <c r="E847" s="18"/>
      <c r="J847" s="4"/>
      <c r="M847" s="18"/>
      <c r="AF847" s="4"/>
      <c r="AG847" s="18"/>
    </row>
    <row r="848" ht="15.75" customHeight="1">
      <c r="D848" s="4"/>
      <c r="E848" s="18"/>
      <c r="J848" s="4"/>
      <c r="M848" s="18"/>
      <c r="AF848" s="4"/>
      <c r="AG848" s="18"/>
    </row>
    <row r="849" ht="15.75" customHeight="1">
      <c r="D849" s="4"/>
      <c r="E849" s="18"/>
      <c r="J849" s="4"/>
      <c r="M849" s="18"/>
      <c r="AF849" s="4"/>
      <c r="AG849" s="18"/>
    </row>
    <row r="850" ht="15.75" customHeight="1">
      <c r="D850" s="4"/>
      <c r="E850" s="18"/>
      <c r="J850" s="4"/>
      <c r="M850" s="18"/>
      <c r="AF850" s="4"/>
      <c r="AG850" s="18"/>
    </row>
    <row r="851" ht="15.75" customHeight="1">
      <c r="D851" s="4"/>
      <c r="E851" s="18"/>
      <c r="J851" s="4"/>
      <c r="M851" s="18"/>
      <c r="AF851" s="4"/>
      <c r="AG851" s="18"/>
    </row>
    <row r="852" ht="15.75" customHeight="1">
      <c r="D852" s="4"/>
      <c r="E852" s="18"/>
      <c r="J852" s="4"/>
      <c r="M852" s="18"/>
      <c r="AF852" s="4"/>
      <c r="AG852" s="18"/>
    </row>
    <row r="853" ht="15.75" customHeight="1">
      <c r="D853" s="4"/>
      <c r="E853" s="18"/>
      <c r="J853" s="4"/>
      <c r="M853" s="18"/>
      <c r="AF853" s="4"/>
      <c r="AG853" s="18"/>
    </row>
    <row r="854" ht="15.75" customHeight="1">
      <c r="D854" s="4"/>
      <c r="E854" s="18"/>
      <c r="J854" s="4"/>
      <c r="M854" s="18"/>
      <c r="AF854" s="4"/>
      <c r="AG854" s="18"/>
    </row>
    <row r="855" ht="15.75" customHeight="1">
      <c r="D855" s="4"/>
      <c r="E855" s="18"/>
      <c r="J855" s="4"/>
      <c r="M855" s="18"/>
      <c r="AF855" s="4"/>
      <c r="AG855" s="18"/>
    </row>
    <row r="856" ht="15.75" customHeight="1">
      <c r="D856" s="4"/>
      <c r="E856" s="18"/>
      <c r="J856" s="4"/>
      <c r="M856" s="18"/>
      <c r="AF856" s="4"/>
      <c r="AG856" s="18"/>
    </row>
    <row r="857" ht="15.75" customHeight="1">
      <c r="D857" s="4"/>
      <c r="E857" s="18"/>
      <c r="J857" s="4"/>
      <c r="M857" s="18"/>
      <c r="AF857" s="4"/>
      <c r="AG857" s="18"/>
    </row>
    <row r="858" ht="15.75" customHeight="1">
      <c r="D858" s="4"/>
      <c r="E858" s="18"/>
      <c r="J858" s="4"/>
      <c r="M858" s="18"/>
      <c r="AF858" s="4"/>
      <c r="AG858" s="18"/>
    </row>
    <row r="859" ht="15.75" customHeight="1">
      <c r="D859" s="4"/>
      <c r="E859" s="18"/>
      <c r="J859" s="4"/>
      <c r="M859" s="18"/>
      <c r="AF859" s="4"/>
      <c r="AG859" s="18"/>
    </row>
    <row r="860" ht="15.75" customHeight="1">
      <c r="D860" s="4"/>
      <c r="E860" s="18"/>
      <c r="J860" s="4"/>
      <c r="M860" s="18"/>
      <c r="AF860" s="4"/>
      <c r="AG860" s="18"/>
    </row>
    <row r="861" ht="15.75" customHeight="1">
      <c r="D861" s="4"/>
      <c r="E861" s="18"/>
      <c r="J861" s="4"/>
      <c r="M861" s="18"/>
      <c r="AF861" s="4"/>
      <c r="AG861" s="18"/>
    </row>
    <row r="862" ht="15.75" customHeight="1">
      <c r="D862" s="4"/>
      <c r="E862" s="18"/>
      <c r="J862" s="4"/>
      <c r="M862" s="18"/>
      <c r="AF862" s="4"/>
      <c r="AG862" s="18"/>
    </row>
    <row r="863" ht="15.75" customHeight="1">
      <c r="D863" s="4"/>
      <c r="E863" s="18"/>
      <c r="J863" s="4"/>
      <c r="M863" s="18"/>
      <c r="AF863" s="4"/>
      <c r="AG863" s="18"/>
    </row>
    <row r="864" ht="15.75" customHeight="1">
      <c r="D864" s="4"/>
      <c r="E864" s="18"/>
      <c r="J864" s="4"/>
      <c r="M864" s="18"/>
      <c r="AF864" s="4"/>
      <c r="AG864" s="18"/>
    </row>
    <row r="865" ht="15.75" customHeight="1">
      <c r="D865" s="4"/>
      <c r="E865" s="18"/>
      <c r="J865" s="4"/>
      <c r="M865" s="18"/>
      <c r="AF865" s="4"/>
      <c r="AG865" s="18"/>
    </row>
    <row r="866" ht="15.75" customHeight="1">
      <c r="D866" s="4"/>
      <c r="E866" s="18"/>
      <c r="J866" s="4"/>
      <c r="M866" s="18"/>
      <c r="AF866" s="4"/>
      <c r="AG866" s="18"/>
    </row>
    <row r="867" ht="15.75" customHeight="1">
      <c r="D867" s="4"/>
      <c r="E867" s="18"/>
      <c r="J867" s="4"/>
      <c r="M867" s="18"/>
      <c r="AF867" s="4"/>
      <c r="AG867" s="18"/>
    </row>
    <row r="868" ht="15.75" customHeight="1">
      <c r="D868" s="4"/>
      <c r="E868" s="18"/>
      <c r="J868" s="4"/>
      <c r="M868" s="18"/>
      <c r="AF868" s="4"/>
      <c r="AG868" s="18"/>
    </row>
    <row r="869" ht="15.75" customHeight="1">
      <c r="D869" s="4"/>
      <c r="E869" s="18"/>
      <c r="J869" s="4"/>
      <c r="M869" s="18"/>
      <c r="AF869" s="4"/>
      <c r="AG869" s="18"/>
    </row>
    <row r="870" ht="15.75" customHeight="1">
      <c r="D870" s="4"/>
      <c r="E870" s="18"/>
      <c r="J870" s="4"/>
      <c r="M870" s="18"/>
      <c r="AF870" s="4"/>
      <c r="AG870" s="18"/>
    </row>
    <row r="871" ht="15.75" customHeight="1">
      <c r="D871" s="4"/>
      <c r="E871" s="18"/>
      <c r="J871" s="4"/>
      <c r="M871" s="18"/>
      <c r="AF871" s="4"/>
      <c r="AG871" s="18"/>
    </row>
    <row r="872" ht="15.75" customHeight="1">
      <c r="D872" s="4"/>
      <c r="E872" s="18"/>
      <c r="J872" s="4"/>
      <c r="M872" s="18"/>
      <c r="AF872" s="4"/>
      <c r="AG872" s="18"/>
    </row>
    <row r="873" ht="15.75" customHeight="1">
      <c r="D873" s="4"/>
      <c r="E873" s="18"/>
      <c r="J873" s="4"/>
      <c r="M873" s="18"/>
      <c r="AF873" s="4"/>
      <c r="AG873" s="18"/>
    </row>
    <row r="874" ht="15.75" customHeight="1">
      <c r="D874" s="4"/>
      <c r="E874" s="18"/>
      <c r="J874" s="4"/>
      <c r="M874" s="18"/>
      <c r="AF874" s="4"/>
      <c r="AG874" s="18"/>
    </row>
    <row r="875" ht="15.75" customHeight="1">
      <c r="D875" s="4"/>
      <c r="E875" s="18"/>
      <c r="J875" s="4"/>
      <c r="M875" s="18"/>
      <c r="AF875" s="4"/>
      <c r="AG875" s="18"/>
    </row>
    <row r="876" ht="15.75" customHeight="1">
      <c r="D876" s="4"/>
      <c r="E876" s="18"/>
      <c r="J876" s="4"/>
      <c r="M876" s="18"/>
      <c r="AF876" s="4"/>
      <c r="AG876" s="18"/>
    </row>
    <row r="877" ht="15.75" customHeight="1">
      <c r="D877" s="4"/>
      <c r="E877" s="18"/>
      <c r="J877" s="4"/>
      <c r="M877" s="18"/>
      <c r="AF877" s="4"/>
      <c r="AG877" s="18"/>
    </row>
    <row r="878" ht="15.75" customHeight="1">
      <c r="D878" s="4"/>
      <c r="E878" s="18"/>
      <c r="J878" s="4"/>
      <c r="M878" s="18"/>
      <c r="AF878" s="4"/>
      <c r="AG878" s="18"/>
    </row>
    <row r="879" ht="15.75" customHeight="1">
      <c r="D879" s="4"/>
      <c r="E879" s="18"/>
      <c r="J879" s="4"/>
      <c r="M879" s="18"/>
      <c r="AF879" s="4"/>
      <c r="AG879" s="18"/>
    </row>
    <row r="880" ht="15.75" customHeight="1">
      <c r="D880" s="4"/>
      <c r="E880" s="18"/>
      <c r="J880" s="4"/>
      <c r="M880" s="18"/>
      <c r="AF880" s="4"/>
      <c r="AG880" s="18"/>
    </row>
    <row r="881" ht="15.75" customHeight="1">
      <c r="D881" s="4"/>
      <c r="E881" s="18"/>
      <c r="J881" s="4"/>
      <c r="M881" s="18"/>
      <c r="AF881" s="4"/>
      <c r="AG881" s="18"/>
    </row>
    <row r="882" ht="15.75" customHeight="1">
      <c r="D882" s="4"/>
      <c r="E882" s="18"/>
      <c r="J882" s="4"/>
      <c r="M882" s="18"/>
      <c r="AF882" s="4"/>
      <c r="AG882" s="18"/>
    </row>
    <row r="883" ht="15.75" customHeight="1">
      <c r="D883" s="4"/>
      <c r="E883" s="18"/>
      <c r="J883" s="4"/>
      <c r="M883" s="18"/>
      <c r="AF883" s="4"/>
      <c r="AG883" s="18"/>
    </row>
    <row r="884" ht="15.75" customHeight="1">
      <c r="D884" s="4"/>
      <c r="E884" s="18"/>
      <c r="J884" s="4"/>
      <c r="M884" s="18"/>
      <c r="AF884" s="4"/>
      <c r="AG884" s="18"/>
    </row>
    <row r="885" ht="15.75" customHeight="1">
      <c r="D885" s="4"/>
      <c r="E885" s="18"/>
      <c r="J885" s="4"/>
      <c r="M885" s="18"/>
      <c r="AF885" s="4"/>
      <c r="AG885" s="18"/>
    </row>
    <row r="886" ht="15.75" customHeight="1">
      <c r="D886" s="4"/>
      <c r="E886" s="18"/>
      <c r="J886" s="4"/>
      <c r="M886" s="18"/>
      <c r="AF886" s="4"/>
      <c r="AG886" s="18"/>
    </row>
    <row r="887" ht="15.75" customHeight="1">
      <c r="D887" s="4"/>
      <c r="E887" s="18"/>
      <c r="J887" s="4"/>
      <c r="M887" s="18"/>
      <c r="AF887" s="4"/>
      <c r="AG887" s="18"/>
    </row>
    <row r="888" ht="15.75" customHeight="1">
      <c r="D888" s="4"/>
      <c r="E888" s="18"/>
      <c r="J888" s="4"/>
      <c r="M888" s="18"/>
      <c r="AF888" s="4"/>
      <c r="AG888" s="18"/>
    </row>
    <row r="889" ht="15.75" customHeight="1">
      <c r="D889" s="4"/>
      <c r="E889" s="18"/>
      <c r="J889" s="4"/>
      <c r="M889" s="18"/>
      <c r="AF889" s="4"/>
      <c r="AG889" s="18"/>
    </row>
    <row r="890" ht="15.75" customHeight="1">
      <c r="D890" s="4"/>
      <c r="E890" s="18"/>
      <c r="J890" s="4"/>
      <c r="M890" s="18"/>
      <c r="AF890" s="4"/>
      <c r="AG890" s="18"/>
    </row>
    <row r="891" ht="15.75" customHeight="1">
      <c r="D891" s="4"/>
      <c r="E891" s="18"/>
      <c r="J891" s="4"/>
      <c r="M891" s="18"/>
      <c r="AF891" s="4"/>
      <c r="AG891" s="18"/>
    </row>
    <row r="892" ht="15.75" customHeight="1">
      <c r="D892" s="4"/>
      <c r="E892" s="18"/>
      <c r="J892" s="4"/>
      <c r="M892" s="18"/>
      <c r="AF892" s="4"/>
      <c r="AG892" s="18"/>
    </row>
    <row r="893" ht="15.75" customHeight="1">
      <c r="D893" s="4"/>
      <c r="E893" s="18"/>
      <c r="J893" s="4"/>
      <c r="M893" s="18"/>
      <c r="AF893" s="4"/>
      <c r="AG893" s="18"/>
    </row>
    <row r="894" ht="15.75" customHeight="1">
      <c r="D894" s="4"/>
      <c r="E894" s="18"/>
      <c r="J894" s="4"/>
      <c r="M894" s="18"/>
      <c r="AF894" s="4"/>
      <c r="AG894" s="18"/>
    </row>
    <row r="895" ht="15.75" customHeight="1">
      <c r="D895" s="4"/>
      <c r="E895" s="18"/>
      <c r="J895" s="4"/>
      <c r="M895" s="18"/>
      <c r="AF895" s="4"/>
      <c r="AG895" s="18"/>
    </row>
    <row r="896" ht="15.75" customHeight="1">
      <c r="D896" s="4"/>
      <c r="E896" s="18"/>
      <c r="J896" s="4"/>
      <c r="M896" s="18"/>
      <c r="AF896" s="4"/>
      <c r="AG896" s="18"/>
    </row>
    <row r="897" ht="15.75" customHeight="1">
      <c r="D897" s="4"/>
      <c r="E897" s="18"/>
      <c r="J897" s="4"/>
      <c r="M897" s="18"/>
      <c r="AF897" s="4"/>
      <c r="AG897" s="18"/>
    </row>
    <row r="898" ht="15.75" customHeight="1">
      <c r="D898" s="4"/>
      <c r="E898" s="18"/>
      <c r="J898" s="4"/>
      <c r="M898" s="18"/>
      <c r="AF898" s="4"/>
      <c r="AG898" s="18"/>
    </row>
    <row r="899" ht="15.75" customHeight="1">
      <c r="D899" s="4"/>
      <c r="E899" s="18"/>
      <c r="J899" s="4"/>
      <c r="M899" s="18"/>
      <c r="AF899" s="4"/>
      <c r="AG899" s="18"/>
    </row>
    <row r="900" ht="15.75" customHeight="1">
      <c r="D900" s="4"/>
      <c r="E900" s="18"/>
      <c r="J900" s="4"/>
      <c r="M900" s="18"/>
      <c r="AF900" s="4"/>
      <c r="AG900" s="18"/>
    </row>
    <row r="901" ht="15.75" customHeight="1">
      <c r="D901" s="4"/>
      <c r="E901" s="18"/>
      <c r="J901" s="4"/>
      <c r="M901" s="18"/>
      <c r="AF901" s="4"/>
      <c r="AG901" s="18"/>
    </row>
    <row r="902" ht="15.75" customHeight="1">
      <c r="D902" s="4"/>
      <c r="E902" s="18"/>
      <c r="J902" s="4"/>
      <c r="M902" s="18"/>
      <c r="AF902" s="4"/>
      <c r="AG902" s="18"/>
    </row>
    <row r="903" ht="15.75" customHeight="1">
      <c r="D903" s="4"/>
      <c r="E903" s="18"/>
      <c r="J903" s="4"/>
      <c r="M903" s="18"/>
      <c r="AF903" s="4"/>
      <c r="AG903" s="18"/>
    </row>
    <row r="904" ht="15.75" customHeight="1">
      <c r="D904" s="4"/>
      <c r="E904" s="18"/>
      <c r="J904" s="4"/>
      <c r="M904" s="18"/>
      <c r="AF904" s="4"/>
      <c r="AG904" s="18"/>
    </row>
    <row r="905" ht="15.75" customHeight="1">
      <c r="D905" s="4"/>
      <c r="E905" s="18"/>
      <c r="J905" s="4"/>
      <c r="M905" s="18"/>
      <c r="AF905" s="4"/>
      <c r="AG905" s="18"/>
    </row>
    <row r="906" ht="15.75" customHeight="1">
      <c r="D906" s="4"/>
      <c r="E906" s="18"/>
      <c r="J906" s="4"/>
      <c r="M906" s="18"/>
      <c r="AF906" s="4"/>
      <c r="AG906" s="18"/>
    </row>
    <row r="907" ht="15.75" customHeight="1">
      <c r="D907" s="4"/>
      <c r="E907" s="18"/>
      <c r="J907" s="4"/>
      <c r="M907" s="18"/>
      <c r="AF907" s="4"/>
      <c r="AG907" s="18"/>
    </row>
    <row r="908" ht="15.75" customHeight="1">
      <c r="D908" s="4"/>
      <c r="E908" s="18"/>
      <c r="J908" s="4"/>
      <c r="M908" s="18"/>
      <c r="AF908" s="4"/>
      <c r="AG908" s="18"/>
    </row>
    <row r="909" ht="15.75" customHeight="1">
      <c r="D909" s="4"/>
      <c r="E909" s="18"/>
      <c r="J909" s="4"/>
      <c r="M909" s="18"/>
      <c r="AF909" s="4"/>
      <c r="AG909" s="18"/>
    </row>
    <row r="910" ht="15.75" customHeight="1">
      <c r="D910" s="4"/>
      <c r="E910" s="18"/>
      <c r="J910" s="4"/>
      <c r="M910" s="18"/>
      <c r="AF910" s="4"/>
      <c r="AG910" s="18"/>
    </row>
    <row r="911" ht="15.75" customHeight="1">
      <c r="D911" s="4"/>
      <c r="E911" s="18"/>
      <c r="J911" s="4"/>
      <c r="M911" s="18"/>
      <c r="AF911" s="4"/>
      <c r="AG911" s="18"/>
    </row>
    <row r="912" ht="15.75" customHeight="1">
      <c r="D912" s="4"/>
      <c r="E912" s="18"/>
      <c r="J912" s="4"/>
      <c r="M912" s="18"/>
      <c r="AF912" s="4"/>
      <c r="AG912" s="18"/>
    </row>
    <row r="913" ht="15.75" customHeight="1">
      <c r="D913" s="4"/>
      <c r="E913" s="18"/>
      <c r="J913" s="4"/>
      <c r="M913" s="18"/>
      <c r="AF913" s="4"/>
      <c r="AG913" s="18"/>
    </row>
    <row r="914" ht="15.75" customHeight="1">
      <c r="D914" s="4"/>
      <c r="E914" s="18"/>
      <c r="J914" s="4"/>
      <c r="M914" s="18"/>
      <c r="AF914" s="4"/>
      <c r="AG914" s="18"/>
    </row>
    <row r="915" ht="15.75" customHeight="1">
      <c r="D915" s="4"/>
      <c r="E915" s="18"/>
      <c r="J915" s="4"/>
      <c r="M915" s="18"/>
      <c r="AF915" s="4"/>
      <c r="AG915" s="18"/>
    </row>
    <row r="916" ht="15.75" customHeight="1">
      <c r="D916" s="4"/>
      <c r="E916" s="18"/>
      <c r="J916" s="4"/>
      <c r="M916" s="18"/>
      <c r="AF916" s="4"/>
      <c r="AG916" s="18"/>
    </row>
    <row r="917" ht="15.75" customHeight="1">
      <c r="D917" s="4"/>
      <c r="E917" s="18"/>
      <c r="J917" s="4"/>
      <c r="M917" s="18"/>
      <c r="AF917" s="4"/>
      <c r="AG917" s="18"/>
    </row>
    <row r="918" ht="15.75" customHeight="1">
      <c r="D918" s="4"/>
      <c r="E918" s="18"/>
      <c r="J918" s="4"/>
      <c r="M918" s="18"/>
      <c r="AF918" s="4"/>
      <c r="AG918" s="18"/>
    </row>
    <row r="919" ht="15.75" customHeight="1">
      <c r="D919" s="4"/>
      <c r="E919" s="18"/>
      <c r="J919" s="4"/>
      <c r="M919" s="18"/>
      <c r="AF919" s="4"/>
      <c r="AG919" s="18"/>
    </row>
    <row r="920" ht="15.75" customHeight="1">
      <c r="D920" s="4"/>
      <c r="E920" s="18"/>
      <c r="J920" s="4"/>
      <c r="M920" s="18"/>
      <c r="AF920" s="4"/>
      <c r="AG920" s="18"/>
    </row>
    <row r="921" ht="15.75" customHeight="1">
      <c r="D921" s="4"/>
      <c r="E921" s="18"/>
      <c r="J921" s="4"/>
      <c r="M921" s="18"/>
      <c r="AF921" s="4"/>
      <c r="AG921" s="18"/>
    </row>
    <row r="922" ht="15.75" customHeight="1">
      <c r="D922" s="4"/>
      <c r="E922" s="18"/>
      <c r="J922" s="4"/>
      <c r="M922" s="18"/>
      <c r="AF922" s="4"/>
      <c r="AG922" s="18"/>
    </row>
    <row r="923" ht="15.75" customHeight="1">
      <c r="D923" s="4"/>
      <c r="E923" s="18"/>
      <c r="J923" s="4"/>
      <c r="M923" s="18"/>
      <c r="AF923" s="4"/>
      <c r="AG923" s="18"/>
    </row>
    <row r="924" ht="15.75" customHeight="1">
      <c r="D924" s="4"/>
      <c r="E924" s="18"/>
      <c r="J924" s="4"/>
      <c r="M924" s="18"/>
      <c r="AF924" s="4"/>
      <c r="AG924" s="18"/>
    </row>
    <row r="925" ht="15.75" customHeight="1">
      <c r="D925" s="4"/>
      <c r="E925" s="18"/>
      <c r="J925" s="4"/>
      <c r="M925" s="18"/>
      <c r="AF925" s="4"/>
      <c r="AG925" s="18"/>
    </row>
    <row r="926" ht="15.75" customHeight="1">
      <c r="D926" s="4"/>
      <c r="E926" s="18"/>
      <c r="J926" s="4"/>
      <c r="M926" s="18"/>
      <c r="AF926" s="4"/>
      <c r="AG926" s="18"/>
    </row>
    <row r="927" ht="15.75" customHeight="1">
      <c r="D927" s="4"/>
      <c r="E927" s="18"/>
      <c r="J927" s="4"/>
      <c r="M927" s="18"/>
      <c r="AF927" s="4"/>
      <c r="AG927" s="18"/>
    </row>
    <row r="928" ht="15.75" customHeight="1">
      <c r="D928" s="4"/>
      <c r="E928" s="18"/>
      <c r="J928" s="4"/>
      <c r="M928" s="18"/>
      <c r="AF928" s="4"/>
      <c r="AG928" s="18"/>
    </row>
    <row r="929" ht="15.75" customHeight="1">
      <c r="D929" s="4"/>
      <c r="E929" s="18"/>
      <c r="J929" s="4"/>
      <c r="M929" s="18"/>
      <c r="AF929" s="4"/>
      <c r="AG929" s="18"/>
    </row>
    <row r="930" ht="15.75" customHeight="1">
      <c r="D930" s="4"/>
      <c r="E930" s="18"/>
      <c r="J930" s="4"/>
      <c r="M930" s="18"/>
      <c r="AF930" s="4"/>
      <c r="AG930" s="18"/>
    </row>
    <row r="931" ht="15.75" customHeight="1">
      <c r="D931" s="4"/>
      <c r="E931" s="18"/>
      <c r="J931" s="4"/>
      <c r="M931" s="18"/>
      <c r="AF931" s="4"/>
      <c r="AG931" s="18"/>
    </row>
    <row r="932" ht="15.75" customHeight="1">
      <c r="D932" s="4"/>
      <c r="E932" s="18"/>
      <c r="J932" s="4"/>
      <c r="M932" s="18"/>
      <c r="AF932" s="4"/>
      <c r="AG932" s="18"/>
    </row>
    <row r="933" ht="15.75" customHeight="1">
      <c r="D933" s="4"/>
      <c r="E933" s="18"/>
      <c r="J933" s="4"/>
      <c r="M933" s="18"/>
      <c r="AF933" s="4"/>
      <c r="AG933" s="18"/>
    </row>
    <row r="934" ht="15.75" customHeight="1">
      <c r="D934" s="4"/>
      <c r="E934" s="18"/>
      <c r="J934" s="4"/>
      <c r="M934" s="18"/>
      <c r="AF934" s="4"/>
      <c r="AG934" s="18"/>
    </row>
    <row r="935" ht="15.75" customHeight="1">
      <c r="D935" s="4"/>
      <c r="E935" s="18"/>
      <c r="J935" s="4"/>
      <c r="M935" s="18"/>
      <c r="AF935" s="4"/>
      <c r="AG935" s="18"/>
    </row>
    <row r="936" ht="15.75" customHeight="1">
      <c r="D936" s="4"/>
      <c r="E936" s="18"/>
      <c r="J936" s="4"/>
      <c r="M936" s="18"/>
      <c r="AF936" s="4"/>
      <c r="AG936" s="18"/>
    </row>
    <row r="937" ht="15.75" customHeight="1">
      <c r="D937" s="4"/>
      <c r="E937" s="18"/>
      <c r="J937" s="4"/>
      <c r="M937" s="18"/>
      <c r="AF937" s="4"/>
      <c r="AG937" s="18"/>
    </row>
    <row r="938" ht="15.75" customHeight="1">
      <c r="D938" s="4"/>
      <c r="E938" s="18"/>
      <c r="J938" s="4"/>
      <c r="M938" s="18"/>
      <c r="AF938" s="4"/>
      <c r="AG938" s="18"/>
    </row>
    <row r="939" ht="15.75" customHeight="1">
      <c r="D939" s="4"/>
      <c r="E939" s="18"/>
      <c r="J939" s="4"/>
      <c r="M939" s="18"/>
      <c r="AF939" s="4"/>
      <c r="AG939" s="18"/>
    </row>
    <row r="940" ht="15.75" customHeight="1">
      <c r="D940" s="4"/>
      <c r="E940" s="18"/>
      <c r="J940" s="4"/>
      <c r="M940" s="18"/>
      <c r="AF940" s="4"/>
      <c r="AG940" s="18"/>
    </row>
    <row r="941" ht="15.75" customHeight="1">
      <c r="D941" s="4"/>
      <c r="E941" s="18"/>
      <c r="J941" s="4"/>
      <c r="M941" s="18"/>
      <c r="AF941" s="4"/>
      <c r="AG941" s="18"/>
    </row>
    <row r="942" ht="15.75" customHeight="1">
      <c r="D942" s="4"/>
      <c r="E942" s="18"/>
      <c r="J942" s="4"/>
      <c r="M942" s="18"/>
      <c r="AF942" s="4"/>
      <c r="AG942" s="18"/>
    </row>
    <row r="943" ht="15.75" customHeight="1">
      <c r="D943" s="4"/>
      <c r="E943" s="18"/>
      <c r="J943" s="4"/>
      <c r="M943" s="18"/>
      <c r="AF943" s="4"/>
      <c r="AG943" s="18"/>
    </row>
    <row r="944" ht="15.75" customHeight="1">
      <c r="D944" s="4"/>
      <c r="E944" s="18"/>
      <c r="J944" s="4"/>
      <c r="M944" s="18"/>
      <c r="AF944" s="4"/>
      <c r="AG944" s="18"/>
    </row>
    <row r="945" ht="15.75" customHeight="1">
      <c r="D945" s="4"/>
      <c r="E945" s="18"/>
      <c r="J945" s="4"/>
      <c r="M945" s="18"/>
      <c r="AF945" s="4"/>
      <c r="AG945" s="18"/>
    </row>
    <row r="946" ht="15.75" customHeight="1">
      <c r="D946" s="4"/>
      <c r="E946" s="18"/>
      <c r="J946" s="4"/>
      <c r="M946" s="18"/>
      <c r="AF946" s="4"/>
      <c r="AG946" s="18"/>
    </row>
    <row r="947" ht="15.75" customHeight="1">
      <c r="D947" s="4"/>
      <c r="E947" s="18"/>
      <c r="J947" s="4"/>
      <c r="M947" s="18"/>
      <c r="AF947" s="4"/>
      <c r="AG947" s="18"/>
    </row>
    <row r="948" ht="15.75" customHeight="1">
      <c r="D948" s="4"/>
      <c r="E948" s="18"/>
      <c r="J948" s="4"/>
      <c r="M948" s="18"/>
      <c r="AF948" s="4"/>
      <c r="AG948" s="18"/>
    </row>
    <row r="949" ht="15.75" customHeight="1">
      <c r="D949" s="4"/>
      <c r="E949" s="18"/>
      <c r="J949" s="4"/>
      <c r="M949" s="18"/>
      <c r="AF949" s="4"/>
      <c r="AG949" s="18"/>
    </row>
    <row r="950" ht="15.75" customHeight="1">
      <c r="D950" s="4"/>
      <c r="E950" s="18"/>
      <c r="J950" s="4"/>
      <c r="M950" s="18"/>
      <c r="AF950" s="4"/>
      <c r="AG950" s="18"/>
    </row>
    <row r="951" ht="15.75" customHeight="1">
      <c r="D951" s="4"/>
      <c r="E951" s="18"/>
      <c r="J951" s="4"/>
      <c r="M951" s="18"/>
      <c r="AF951" s="4"/>
      <c r="AG951" s="18"/>
    </row>
    <row r="952" ht="15.75" customHeight="1">
      <c r="D952" s="4"/>
      <c r="E952" s="18"/>
      <c r="J952" s="4"/>
      <c r="M952" s="18"/>
      <c r="AF952" s="4"/>
      <c r="AG952" s="18"/>
    </row>
    <row r="953" ht="15.75" customHeight="1">
      <c r="D953" s="4"/>
      <c r="E953" s="18"/>
      <c r="J953" s="4"/>
      <c r="M953" s="18"/>
      <c r="AF953" s="4"/>
      <c r="AG953" s="18"/>
    </row>
    <row r="954" ht="15.75" customHeight="1">
      <c r="D954" s="4"/>
      <c r="E954" s="18"/>
      <c r="J954" s="4"/>
      <c r="M954" s="18"/>
      <c r="AF954" s="4"/>
      <c r="AG954" s="18"/>
    </row>
    <row r="955" ht="15.75" customHeight="1">
      <c r="D955" s="4"/>
      <c r="E955" s="18"/>
      <c r="J955" s="4"/>
      <c r="M955" s="18"/>
      <c r="AF955" s="4"/>
      <c r="AG955" s="18"/>
    </row>
    <row r="956" ht="15.75" customHeight="1">
      <c r="D956" s="4"/>
      <c r="E956" s="18"/>
      <c r="J956" s="4"/>
      <c r="M956" s="18"/>
      <c r="AF956" s="4"/>
      <c r="AG956" s="18"/>
    </row>
    <row r="957" ht="15.75" customHeight="1">
      <c r="D957" s="4"/>
      <c r="E957" s="18"/>
      <c r="J957" s="4"/>
      <c r="M957" s="18"/>
      <c r="AF957" s="4"/>
      <c r="AG957" s="18"/>
    </row>
    <row r="958" ht="15.75" customHeight="1">
      <c r="D958" s="4"/>
      <c r="E958" s="18"/>
      <c r="J958" s="4"/>
      <c r="M958" s="18"/>
      <c r="AF958" s="4"/>
      <c r="AG958" s="18"/>
    </row>
    <row r="959" ht="15.75" customHeight="1">
      <c r="D959" s="4"/>
      <c r="E959" s="18"/>
      <c r="J959" s="4"/>
      <c r="M959" s="18"/>
      <c r="AF959" s="4"/>
      <c r="AG959" s="18"/>
    </row>
    <row r="960" ht="15.75" customHeight="1">
      <c r="D960" s="4"/>
      <c r="E960" s="18"/>
      <c r="J960" s="4"/>
      <c r="M960" s="18"/>
      <c r="AF960" s="4"/>
      <c r="AG960" s="18"/>
    </row>
    <row r="961" ht="15.75" customHeight="1">
      <c r="D961" s="4"/>
      <c r="E961" s="18"/>
      <c r="J961" s="4"/>
      <c r="M961" s="18"/>
      <c r="AF961" s="4"/>
      <c r="AG961" s="18"/>
    </row>
    <row r="962" ht="15.75" customHeight="1">
      <c r="D962" s="4"/>
      <c r="E962" s="18"/>
      <c r="J962" s="4"/>
      <c r="M962" s="18"/>
      <c r="AF962" s="4"/>
      <c r="AG962" s="18"/>
    </row>
    <row r="963" ht="15.75" customHeight="1">
      <c r="D963" s="4"/>
      <c r="E963" s="18"/>
      <c r="J963" s="4"/>
      <c r="M963" s="18"/>
      <c r="AF963" s="4"/>
      <c r="AG963" s="18"/>
    </row>
    <row r="964" ht="15.75" customHeight="1">
      <c r="D964" s="4"/>
      <c r="E964" s="18"/>
      <c r="J964" s="4"/>
      <c r="M964" s="18"/>
      <c r="AF964" s="4"/>
      <c r="AG964" s="18"/>
    </row>
    <row r="965" ht="15.75" customHeight="1">
      <c r="D965" s="4"/>
      <c r="E965" s="18"/>
      <c r="J965" s="4"/>
      <c r="M965" s="18"/>
      <c r="AF965" s="4"/>
      <c r="AG965" s="18"/>
    </row>
    <row r="966" ht="15.75" customHeight="1">
      <c r="D966" s="4"/>
      <c r="E966" s="18"/>
      <c r="J966" s="4"/>
      <c r="M966" s="18"/>
      <c r="AF966" s="4"/>
      <c r="AG966" s="18"/>
    </row>
    <row r="967" ht="15.75" customHeight="1">
      <c r="D967" s="4"/>
      <c r="E967" s="18"/>
      <c r="J967" s="4"/>
      <c r="M967" s="18"/>
      <c r="AF967" s="4"/>
      <c r="AG967" s="18"/>
    </row>
    <row r="968" ht="15.75" customHeight="1">
      <c r="D968" s="4"/>
      <c r="E968" s="18"/>
      <c r="J968" s="4"/>
      <c r="M968" s="18"/>
      <c r="AF968" s="4"/>
      <c r="AG968" s="18"/>
    </row>
    <row r="969" ht="15.75" customHeight="1">
      <c r="D969" s="4"/>
      <c r="E969" s="18"/>
      <c r="J969" s="4"/>
      <c r="M969" s="18"/>
      <c r="AF969" s="4"/>
      <c r="AG969" s="18"/>
    </row>
    <row r="970" ht="15.75" customHeight="1">
      <c r="D970" s="4"/>
      <c r="E970" s="18"/>
      <c r="J970" s="4"/>
      <c r="M970" s="18"/>
      <c r="AF970" s="4"/>
      <c r="AG970" s="18"/>
    </row>
    <row r="971" ht="15.75" customHeight="1">
      <c r="D971" s="4"/>
      <c r="E971" s="18"/>
      <c r="J971" s="4"/>
      <c r="M971" s="18"/>
      <c r="AF971" s="4"/>
      <c r="AG971" s="18"/>
    </row>
    <row r="972" ht="15.75" customHeight="1">
      <c r="D972" s="4"/>
      <c r="E972" s="18"/>
      <c r="J972" s="4"/>
      <c r="M972" s="18"/>
      <c r="AF972" s="4"/>
      <c r="AG972" s="18"/>
    </row>
    <row r="973" ht="15.75" customHeight="1">
      <c r="D973" s="4"/>
      <c r="E973" s="18"/>
      <c r="J973" s="4"/>
      <c r="M973" s="18"/>
      <c r="AF973" s="4"/>
      <c r="AG973" s="18"/>
    </row>
    <row r="974" ht="15.75" customHeight="1">
      <c r="D974" s="4"/>
      <c r="E974" s="18"/>
      <c r="J974" s="4"/>
      <c r="M974" s="18"/>
      <c r="AF974" s="4"/>
      <c r="AG974" s="18"/>
    </row>
    <row r="975" ht="15.75" customHeight="1">
      <c r="D975" s="4"/>
      <c r="E975" s="18"/>
      <c r="J975" s="4"/>
      <c r="M975" s="18"/>
      <c r="AF975" s="4"/>
      <c r="AG975" s="18"/>
    </row>
    <row r="976" ht="15.75" customHeight="1">
      <c r="D976" s="4"/>
      <c r="E976" s="18"/>
      <c r="J976" s="4"/>
      <c r="M976" s="18"/>
      <c r="AF976" s="4"/>
      <c r="AG976" s="18"/>
    </row>
    <row r="977" ht="15.75" customHeight="1">
      <c r="D977" s="4"/>
      <c r="E977" s="18"/>
      <c r="J977" s="4"/>
      <c r="M977" s="18"/>
      <c r="AF977" s="4"/>
      <c r="AG977" s="18"/>
    </row>
    <row r="978" ht="15.75" customHeight="1">
      <c r="D978" s="4"/>
      <c r="E978" s="18"/>
      <c r="J978" s="4"/>
      <c r="M978" s="18"/>
      <c r="AF978" s="4"/>
      <c r="AG978" s="18"/>
    </row>
    <row r="979" ht="15.75" customHeight="1">
      <c r="D979" s="4"/>
      <c r="E979" s="18"/>
      <c r="J979" s="4"/>
      <c r="M979" s="18"/>
      <c r="AF979" s="4"/>
      <c r="AG979" s="18"/>
    </row>
    <row r="980" ht="15.75" customHeight="1">
      <c r="D980" s="4"/>
      <c r="E980" s="18"/>
      <c r="J980" s="4"/>
      <c r="M980" s="18"/>
      <c r="AF980" s="4"/>
      <c r="AG980" s="18"/>
    </row>
    <row r="981" ht="15.75" customHeight="1">
      <c r="D981" s="4"/>
      <c r="E981" s="18"/>
      <c r="J981" s="4"/>
      <c r="M981" s="18"/>
      <c r="AF981" s="4"/>
      <c r="AG981" s="18"/>
    </row>
    <row r="982" ht="15.75" customHeight="1">
      <c r="D982" s="4"/>
      <c r="E982" s="18"/>
      <c r="J982" s="4"/>
      <c r="M982" s="18"/>
      <c r="AF982" s="4"/>
      <c r="AG982" s="18"/>
    </row>
    <row r="983" ht="15.75" customHeight="1">
      <c r="D983" s="4"/>
      <c r="E983" s="18"/>
      <c r="J983" s="4"/>
      <c r="M983" s="18"/>
      <c r="AF983" s="4"/>
      <c r="AG983" s="18"/>
    </row>
    <row r="984" ht="15.75" customHeight="1">
      <c r="D984" s="4"/>
      <c r="E984" s="18"/>
      <c r="J984" s="4"/>
      <c r="M984" s="18"/>
      <c r="AF984" s="4"/>
      <c r="AG984" s="18"/>
    </row>
    <row r="985" ht="15.75" customHeight="1">
      <c r="D985" s="4"/>
      <c r="E985" s="18"/>
      <c r="J985" s="4"/>
      <c r="M985" s="18"/>
      <c r="AF985" s="4"/>
      <c r="AG985" s="18"/>
    </row>
    <row r="986" ht="15.75" customHeight="1">
      <c r="D986" s="4"/>
      <c r="E986" s="18"/>
      <c r="J986" s="4"/>
      <c r="M986" s="18"/>
      <c r="AF986" s="4"/>
      <c r="AG986" s="18"/>
    </row>
    <row r="987" ht="15.75" customHeight="1">
      <c r="D987" s="4"/>
      <c r="E987" s="18"/>
      <c r="J987" s="4"/>
      <c r="M987" s="18"/>
      <c r="AF987" s="4"/>
      <c r="AG987" s="18"/>
    </row>
    <row r="988" ht="15.75" customHeight="1">
      <c r="D988" s="4"/>
      <c r="E988" s="18"/>
      <c r="J988" s="4"/>
      <c r="M988" s="18"/>
      <c r="AF988" s="4"/>
      <c r="AG988" s="18"/>
    </row>
    <row r="989" ht="15.75" customHeight="1">
      <c r="D989" s="4"/>
      <c r="E989" s="18"/>
      <c r="J989" s="4"/>
      <c r="M989" s="18"/>
      <c r="AF989" s="4"/>
      <c r="AG989" s="18"/>
    </row>
    <row r="990" ht="15.75" customHeight="1">
      <c r="D990" s="4"/>
      <c r="E990" s="18"/>
      <c r="J990" s="4"/>
      <c r="M990" s="18"/>
      <c r="AF990" s="4"/>
      <c r="AG990" s="18"/>
    </row>
    <row r="991" ht="15.75" customHeight="1">
      <c r="D991" s="4"/>
      <c r="E991" s="18"/>
      <c r="J991" s="4"/>
      <c r="M991" s="18"/>
      <c r="AF991" s="4"/>
      <c r="AG991" s="18"/>
    </row>
    <row r="992" ht="15.75" customHeight="1">
      <c r="D992" s="4"/>
      <c r="E992" s="18"/>
      <c r="J992" s="4"/>
      <c r="M992" s="18"/>
      <c r="AF992" s="4"/>
      <c r="AG992" s="18"/>
    </row>
    <row r="993" ht="15.75" customHeight="1">
      <c r="D993" s="4"/>
      <c r="E993" s="18"/>
      <c r="J993" s="4"/>
      <c r="M993" s="18"/>
      <c r="AF993" s="4"/>
      <c r="AG993" s="18"/>
    </row>
    <row r="994" ht="15.75" customHeight="1">
      <c r="D994" s="4"/>
      <c r="E994" s="18"/>
      <c r="J994" s="4"/>
      <c r="M994" s="18"/>
      <c r="AF994" s="4"/>
      <c r="AG994" s="18"/>
    </row>
    <row r="995" ht="15.75" customHeight="1">
      <c r="D995" s="4"/>
      <c r="E995" s="18"/>
      <c r="J995" s="4"/>
      <c r="M995" s="18"/>
      <c r="AF995" s="4"/>
      <c r="AG995" s="18"/>
    </row>
    <row r="996" ht="15.75" customHeight="1">
      <c r="D996" s="4"/>
      <c r="E996" s="18"/>
      <c r="J996" s="4"/>
      <c r="M996" s="18"/>
      <c r="AF996" s="4"/>
      <c r="AG996" s="18"/>
    </row>
    <row r="997" ht="15.75" customHeight="1">
      <c r="D997" s="4"/>
      <c r="E997" s="18"/>
      <c r="J997" s="4"/>
      <c r="M997" s="18"/>
      <c r="AF997" s="4"/>
      <c r="AG997" s="18"/>
    </row>
    <row r="998" ht="15.75" customHeight="1">
      <c r="D998" s="4"/>
      <c r="E998" s="18"/>
      <c r="J998" s="4"/>
      <c r="M998" s="18"/>
      <c r="AF998" s="4"/>
      <c r="AG998" s="18"/>
    </row>
    <row r="999" ht="15.75" customHeight="1">
      <c r="D999" s="4"/>
      <c r="E999" s="18"/>
      <c r="J999" s="4"/>
      <c r="M999" s="18"/>
      <c r="AF999" s="4"/>
      <c r="AG999" s="18"/>
    </row>
    <row r="1000" ht="15.75" customHeight="1">
      <c r="D1000" s="4"/>
      <c r="E1000" s="18"/>
      <c r="J1000" s="4"/>
      <c r="M1000" s="18"/>
      <c r="AF1000" s="4"/>
      <c r="AG1000" s="18"/>
    </row>
  </sheetData>
  <autoFilter ref="$A$5:$AK$164">
    <sortState ref="A5:AK164">
      <sortCondition descending="1" ref="E5:E164"/>
      <sortCondition descending="1" ref="I5:I164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20.67"/>
    <col customWidth="1" min="2" max="2" width="21.44"/>
    <col customWidth="1" min="3" max="3" width="10.78"/>
    <col customWidth="1" min="4" max="8" width="10.56"/>
    <col customWidth="1" min="9" max="10" width="10.78"/>
    <col customWidth="1" min="11" max="15" width="10.56"/>
    <col customWidth="1" min="16" max="17" width="10.78"/>
    <col customWidth="1" min="18" max="22" width="10.56"/>
    <col customWidth="1" min="23" max="24" width="10.78"/>
    <col customWidth="1" min="25" max="29" width="10.56"/>
    <col customWidth="1" min="30" max="33" width="10.78"/>
    <col customWidth="1" min="34" max="36" width="10.56"/>
    <col customWidth="1" min="37" max="38" width="10.78"/>
    <col customWidth="1" min="39" max="45" width="10.56"/>
    <col customWidth="1" min="46" max="47" width="10.78"/>
    <col customWidth="1" min="48" max="54" width="10.56"/>
    <col customWidth="1" min="55" max="56" width="10.78"/>
    <col customWidth="1" min="57" max="60" width="10.56"/>
  </cols>
  <sheetData>
    <row r="1" ht="15.75" customHeight="1">
      <c r="B1" s="30"/>
      <c r="C1" s="31" t="s">
        <v>250</v>
      </c>
      <c r="I1" s="32"/>
      <c r="J1" s="31" t="s">
        <v>251</v>
      </c>
      <c r="P1" s="32"/>
      <c r="Q1" s="33" t="s">
        <v>252</v>
      </c>
      <c r="X1" s="33" t="s">
        <v>253</v>
      </c>
      <c r="AE1" s="10" t="s">
        <v>254</v>
      </c>
      <c r="AF1" s="30" t="s">
        <v>255</v>
      </c>
      <c r="AG1" s="33" t="s">
        <v>256</v>
      </c>
      <c r="AL1" s="33" t="s">
        <v>257</v>
      </c>
      <c r="AT1" s="32"/>
      <c r="AU1" s="31" t="s">
        <v>258</v>
      </c>
      <c r="BC1" s="32"/>
      <c r="BD1" s="31" t="s">
        <v>101</v>
      </c>
    </row>
    <row r="2" ht="15.75" customHeight="1">
      <c r="B2" s="30"/>
      <c r="C2" s="31"/>
      <c r="D2" s="33"/>
      <c r="E2" s="33"/>
      <c r="F2" s="33"/>
      <c r="G2" s="33"/>
      <c r="H2" s="33"/>
      <c r="I2" s="34"/>
      <c r="J2" s="10"/>
      <c r="P2" s="30"/>
      <c r="Q2" s="10"/>
      <c r="W2" s="30"/>
      <c r="X2" s="10"/>
      <c r="AD2" s="30"/>
      <c r="AE2" s="35"/>
      <c r="AF2" s="35"/>
      <c r="AG2" s="10"/>
      <c r="AK2" s="30"/>
      <c r="AL2" s="10"/>
      <c r="AT2" s="30"/>
      <c r="AU2" s="10"/>
      <c r="BC2" s="30"/>
      <c r="BD2" s="10"/>
    </row>
    <row r="3" ht="15.75" customHeight="1">
      <c r="A3" s="6" t="s">
        <v>35</v>
      </c>
      <c r="B3" s="30" t="s">
        <v>105</v>
      </c>
      <c r="C3" s="10" t="s">
        <v>259</v>
      </c>
      <c r="D3" s="6" t="s">
        <v>260</v>
      </c>
      <c r="E3" s="6" t="s">
        <v>261</v>
      </c>
      <c r="F3" s="6" t="s">
        <v>262</v>
      </c>
      <c r="G3" s="6" t="s">
        <v>263</v>
      </c>
      <c r="H3" s="6" t="s">
        <v>264</v>
      </c>
      <c r="I3" s="30" t="s">
        <v>108</v>
      </c>
      <c r="J3" s="10" t="s">
        <v>265</v>
      </c>
      <c r="K3" s="6" t="s">
        <v>266</v>
      </c>
      <c r="L3" s="6" t="s">
        <v>267</v>
      </c>
      <c r="M3" s="6" t="s">
        <v>268</v>
      </c>
      <c r="N3" s="6" t="s">
        <v>263</v>
      </c>
      <c r="O3" s="6" t="s">
        <v>264</v>
      </c>
      <c r="P3" s="30" t="s">
        <v>108</v>
      </c>
      <c r="Q3" s="10" t="s">
        <v>269</v>
      </c>
      <c r="R3" s="6" t="s">
        <v>270</v>
      </c>
      <c r="S3" s="6" t="s">
        <v>271</v>
      </c>
      <c r="T3" s="6" t="s">
        <v>272</v>
      </c>
      <c r="U3" s="6" t="s">
        <v>263</v>
      </c>
      <c r="V3" s="6" t="s">
        <v>264</v>
      </c>
      <c r="W3" s="30" t="s">
        <v>108</v>
      </c>
      <c r="X3" s="10" t="s">
        <v>273</v>
      </c>
      <c r="Y3" s="6" t="s">
        <v>274</v>
      </c>
      <c r="Z3" s="6" t="s">
        <v>275</v>
      </c>
      <c r="AA3" s="6" t="s">
        <v>276</v>
      </c>
      <c r="AB3" s="6" t="s">
        <v>263</v>
      </c>
      <c r="AC3" s="6" t="s">
        <v>264</v>
      </c>
      <c r="AD3" s="30" t="s">
        <v>108</v>
      </c>
      <c r="AE3" s="35" t="s">
        <v>110</v>
      </c>
      <c r="AF3" s="35" t="s">
        <v>111</v>
      </c>
      <c r="AG3" s="10" t="s">
        <v>269</v>
      </c>
      <c r="AH3" s="6" t="s">
        <v>270</v>
      </c>
      <c r="AI3" s="6" t="s">
        <v>277</v>
      </c>
      <c r="AJ3" s="6" t="s">
        <v>278</v>
      </c>
      <c r="AK3" s="30" t="s">
        <v>108</v>
      </c>
      <c r="AL3" s="10" t="s">
        <v>277</v>
      </c>
      <c r="AM3" s="6" t="s">
        <v>278</v>
      </c>
      <c r="AN3" s="6" t="s">
        <v>269</v>
      </c>
      <c r="AO3" s="6" t="s">
        <v>270</v>
      </c>
      <c r="AP3" s="6" t="s">
        <v>279</v>
      </c>
      <c r="AQ3" s="6" t="s">
        <v>280</v>
      </c>
      <c r="AR3" s="6" t="s">
        <v>263</v>
      </c>
      <c r="AS3" s="6" t="s">
        <v>264</v>
      </c>
      <c r="AT3" s="30" t="s">
        <v>108</v>
      </c>
      <c r="AU3" s="10" t="s">
        <v>259</v>
      </c>
      <c r="AV3" s="6" t="s">
        <v>260</v>
      </c>
      <c r="AW3" s="6" t="s">
        <v>281</v>
      </c>
      <c r="AX3" s="6" t="s">
        <v>282</v>
      </c>
      <c r="AY3" s="6" t="s">
        <v>283</v>
      </c>
      <c r="AZ3" s="6" t="s">
        <v>284</v>
      </c>
      <c r="BA3" s="6" t="s">
        <v>263</v>
      </c>
      <c r="BB3" s="6" t="s">
        <v>264</v>
      </c>
      <c r="BC3" s="30" t="s">
        <v>108</v>
      </c>
      <c r="BD3" s="10" t="s">
        <v>285</v>
      </c>
      <c r="BE3" s="6" t="s">
        <v>286</v>
      </c>
      <c r="BF3" s="6" t="s">
        <v>263</v>
      </c>
      <c r="BG3" s="6" t="s">
        <v>264</v>
      </c>
      <c r="BH3" s="6" t="s">
        <v>108</v>
      </c>
    </row>
    <row r="4" ht="15.75" customHeight="1">
      <c r="A4" s="6" t="s">
        <v>287</v>
      </c>
      <c r="B4" s="30" t="s">
        <v>171</v>
      </c>
      <c r="C4" s="14">
        <v>1791.0</v>
      </c>
      <c r="E4" s="15">
        <v>99.0</v>
      </c>
      <c r="G4" s="15">
        <v>12.0</v>
      </c>
      <c r="I4" s="36">
        <v>1902.0</v>
      </c>
      <c r="J4" s="14">
        <v>2879.0</v>
      </c>
      <c r="L4" s="15">
        <v>612.0</v>
      </c>
      <c r="N4" s="15">
        <v>212.0</v>
      </c>
      <c r="O4" s="15"/>
      <c r="P4" s="36">
        <v>3703.0</v>
      </c>
      <c r="Q4" s="14">
        <v>2167.0</v>
      </c>
      <c r="S4" s="15">
        <v>792.0</v>
      </c>
      <c r="U4" s="15">
        <v>822.0</v>
      </c>
      <c r="W4" s="36">
        <v>3781.0</v>
      </c>
      <c r="X4" s="15">
        <v>1856.0</v>
      </c>
      <c r="Z4" s="15">
        <v>976.0</v>
      </c>
      <c r="AB4" s="15">
        <v>612.0</v>
      </c>
      <c r="AD4" s="36">
        <v>3444.0</v>
      </c>
      <c r="AE4" s="37">
        <v>3238.0</v>
      </c>
      <c r="AF4" s="37">
        <v>3348.0</v>
      </c>
      <c r="AG4" s="14">
        <v>1217.0</v>
      </c>
      <c r="AI4" s="15">
        <v>293.0</v>
      </c>
      <c r="AK4" s="15">
        <v>1510.0</v>
      </c>
      <c r="AL4" s="14">
        <v>440.0</v>
      </c>
      <c r="AN4" s="15">
        <v>627.0</v>
      </c>
      <c r="AP4" s="15">
        <v>627.0</v>
      </c>
      <c r="AR4" s="15">
        <v>222.0</v>
      </c>
      <c r="AT4" s="36">
        <v>1916.0</v>
      </c>
      <c r="AU4" s="14">
        <v>1291.0</v>
      </c>
      <c r="AW4" s="15">
        <v>462.0</v>
      </c>
      <c r="AY4" s="15">
        <v>914.0</v>
      </c>
      <c r="BA4" s="15">
        <v>446.0</v>
      </c>
      <c r="BC4" s="36">
        <v>3113.0</v>
      </c>
      <c r="BD4" s="15">
        <v>3061.0</v>
      </c>
      <c r="BF4" s="15">
        <v>1001.0</v>
      </c>
      <c r="BH4" s="15">
        <v>4062.0</v>
      </c>
    </row>
    <row r="5" ht="15.75" customHeight="1">
      <c r="A5" s="6" t="s">
        <v>52</v>
      </c>
      <c r="B5" s="30" t="s">
        <v>227</v>
      </c>
      <c r="C5" s="14">
        <v>464.0</v>
      </c>
      <c r="E5" s="15">
        <v>9.0</v>
      </c>
      <c r="G5" s="15">
        <v>4.0</v>
      </c>
      <c r="I5" s="36">
        <v>477.0</v>
      </c>
      <c r="J5" s="14">
        <v>732.0</v>
      </c>
      <c r="L5" s="15">
        <v>171.0</v>
      </c>
      <c r="N5" s="15">
        <v>73.0</v>
      </c>
      <c r="O5" s="15"/>
      <c r="P5" s="36">
        <v>976.0</v>
      </c>
      <c r="Q5" s="14">
        <v>588.0</v>
      </c>
      <c r="S5" s="15">
        <v>323.0</v>
      </c>
      <c r="U5" s="15">
        <v>86.0</v>
      </c>
      <c r="W5" s="36">
        <v>997.0</v>
      </c>
      <c r="X5" s="15">
        <v>472.0</v>
      </c>
      <c r="Z5" s="15">
        <v>245.0</v>
      </c>
      <c r="AB5" s="15">
        <v>186.0</v>
      </c>
      <c r="AD5" s="36">
        <v>903.0</v>
      </c>
      <c r="AE5" s="37">
        <v>1361.0</v>
      </c>
      <c r="AF5" s="37">
        <v>1228.0</v>
      </c>
      <c r="AG5" s="14">
        <v>389.0</v>
      </c>
      <c r="AI5" s="15">
        <v>150.0</v>
      </c>
      <c r="AK5" s="15">
        <v>539.0</v>
      </c>
      <c r="AL5" s="14">
        <v>178.0</v>
      </c>
      <c r="AN5" s="15">
        <v>103.0</v>
      </c>
      <c r="AP5" s="15">
        <v>105.0</v>
      </c>
      <c r="AR5" s="15">
        <v>79.0</v>
      </c>
      <c r="AT5" s="36">
        <v>465.0</v>
      </c>
      <c r="AU5" s="14">
        <v>622.0</v>
      </c>
      <c r="AW5" s="15">
        <v>73.0</v>
      </c>
      <c r="AY5" s="15">
        <v>183.0</v>
      </c>
      <c r="BA5" s="15">
        <v>67.0</v>
      </c>
      <c r="BC5" s="36">
        <v>945.0</v>
      </c>
      <c r="BD5" s="15">
        <v>82.0</v>
      </c>
      <c r="BF5" s="15">
        <v>33.0</v>
      </c>
      <c r="BH5" s="15">
        <v>115.0</v>
      </c>
    </row>
    <row r="6" ht="15.75" customHeight="1">
      <c r="A6" s="6" t="s">
        <v>287</v>
      </c>
      <c r="B6" s="30" t="s">
        <v>198</v>
      </c>
      <c r="C6" s="14">
        <v>1043.0</v>
      </c>
      <c r="E6" s="15">
        <v>57.0</v>
      </c>
      <c r="G6" s="15">
        <v>13.0</v>
      </c>
      <c r="I6" s="36">
        <v>1113.0</v>
      </c>
      <c r="J6" s="14">
        <v>1735.0</v>
      </c>
      <c r="L6" s="15">
        <v>397.0</v>
      </c>
      <c r="N6" s="15">
        <v>180.0</v>
      </c>
      <c r="O6" s="15"/>
      <c r="P6" s="36">
        <v>2312.0</v>
      </c>
      <c r="Q6" s="14">
        <v>1295.0</v>
      </c>
      <c r="S6" s="15">
        <v>650.0</v>
      </c>
      <c r="U6" s="15">
        <v>443.0</v>
      </c>
      <c r="W6" s="36">
        <v>2388.0</v>
      </c>
      <c r="X6" s="15">
        <v>960.0</v>
      </c>
      <c r="Z6" s="15">
        <v>608.0</v>
      </c>
      <c r="AB6" s="15">
        <v>504.0</v>
      </c>
      <c r="AD6" s="36">
        <v>2072.0</v>
      </c>
      <c r="AE6" s="37">
        <v>2310.0</v>
      </c>
      <c r="AF6" s="37">
        <v>2214.0</v>
      </c>
      <c r="AG6" s="14">
        <v>569.0</v>
      </c>
      <c r="AI6" s="15">
        <v>190.0</v>
      </c>
      <c r="AK6" s="15">
        <v>759.0</v>
      </c>
      <c r="AL6" s="14">
        <v>224.0</v>
      </c>
      <c r="AN6" s="15">
        <v>315.0</v>
      </c>
      <c r="AP6" s="15">
        <v>147.0</v>
      </c>
      <c r="AR6" s="15">
        <v>145.0</v>
      </c>
      <c r="AT6" s="36">
        <v>831.0</v>
      </c>
      <c r="AU6" s="14">
        <v>904.0</v>
      </c>
      <c r="AW6" s="15">
        <v>246.0</v>
      </c>
      <c r="AY6" s="15">
        <v>341.0</v>
      </c>
      <c r="BA6" s="15">
        <v>189.0</v>
      </c>
      <c r="BC6" s="36">
        <v>1680.0</v>
      </c>
      <c r="BD6" s="15">
        <v>1514.0</v>
      </c>
      <c r="BF6" s="15">
        <v>588.0</v>
      </c>
      <c r="BH6" s="15">
        <v>2102.0</v>
      </c>
    </row>
    <row r="7" ht="15.75" customHeight="1">
      <c r="A7" s="6" t="s">
        <v>52</v>
      </c>
      <c r="B7" s="30" t="s">
        <v>243</v>
      </c>
      <c r="C7" s="14">
        <v>241.0</v>
      </c>
      <c r="E7" s="15">
        <v>13.0</v>
      </c>
      <c r="G7" s="15">
        <v>1.0</v>
      </c>
      <c r="I7" s="36">
        <v>255.0</v>
      </c>
      <c r="J7" s="14">
        <v>271.0</v>
      </c>
      <c r="L7" s="15">
        <v>183.0</v>
      </c>
      <c r="N7" s="15">
        <v>20.0</v>
      </c>
      <c r="O7" s="15"/>
      <c r="P7" s="36">
        <v>474.0</v>
      </c>
      <c r="Q7" s="14">
        <v>347.0</v>
      </c>
      <c r="S7" s="15">
        <v>107.0</v>
      </c>
      <c r="U7" s="15">
        <v>26.0</v>
      </c>
      <c r="W7" s="36">
        <v>480.0</v>
      </c>
      <c r="X7" s="15">
        <v>203.0</v>
      </c>
      <c r="Z7" s="15">
        <v>148.0</v>
      </c>
      <c r="AB7" s="15">
        <v>75.0</v>
      </c>
      <c r="AD7" s="36">
        <v>426.0</v>
      </c>
      <c r="AE7" s="37">
        <v>65.0</v>
      </c>
      <c r="AF7" s="37">
        <v>64.0</v>
      </c>
      <c r="AG7" s="14">
        <v>195.0</v>
      </c>
      <c r="AI7" s="15">
        <v>70.0</v>
      </c>
      <c r="AK7" s="15">
        <v>265.0</v>
      </c>
      <c r="AL7" s="14">
        <v>81.0</v>
      </c>
      <c r="AN7" s="15">
        <v>61.0</v>
      </c>
      <c r="AP7" s="15">
        <v>36.0</v>
      </c>
      <c r="AR7" s="15">
        <v>26.0</v>
      </c>
      <c r="AT7" s="36">
        <v>204.0</v>
      </c>
      <c r="AU7" s="14">
        <v>262.0</v>
      </c>
      <c r="AW7" s="15">
        <v>42.0</v>
      </c>
      <c r="AY7" s="15">
        <v>87.0</v>
      </c>
      <c r="BA7" s="15">
        <v>44.0</v>
      </c>
      <c r="BC7" s="36">
        <v>435.0</v>
      </c>
      <c r="BD7" s="15">
        <v>9.0</v>
      </c>
      <c r="BF7" s="15">
        <v>7.0</v>
      </c>
      <c r="BH7" s="15">
        <v>16.0</v>
      </c>
    </row>
    <row r="8" ht="15.75" customHeight="1">
      <c r="A8" s="6" t="s">
        <v>60</v>
      </c>
      <c r="B8" s="30" t="s">
        <v>159</v>
      </c>
      <c r="C8" s="14">
        <v>2135.0</v>
      </c>
      <c r="E8" s="15">
        <v>244.0</v>
      </c>
      <c r="G8" s="15">
        <v>40.0</v>
      </c>
      <c r="I8" s="36">
        <v>2419.0</v>
      </c>
      <c r="J8" s="14">
        <v>3779.0</v>
      </c>
      <c r="L8" s="15">
        <v>569.0</v>
      </c>
      <c r="N8" s="15">
        <v>408.0</v>
      </c>
      <c r="O8" s="15"/>
      <c r="P8" s="36">
        <v>4756.0</v>
      </c>
      <c r="Q8" s="14">
        <v>3731.0</v>
      </c>
      <c r="S8" s="15">
        <v>907.0</v>
      </c>
      <c r="U8" s="15">
        <v>182.0</v>
      </c>
      <c r="W8" s="36">
        <v>4820.0</v>
      </c>
      <c r="X8" s="15">
        <v>3420.0</v>
      </c>
      <c r="Z8" s="15">
        <v>800.0</v>
      </c>
      <c r="AB8" s="15">
        <v>402.0</v>
      </c>
      <c r="AD8" s="36">
        <v>4622.0</v>
      </c>
      <c r="AE8" s="37">
        <v>3587.0</v>
      </c>
      <c r="AF8" s="37">
        <v>3779.0</v>
      </c>
      <c r="AG8" s="14">
        <v>1954.0</v>
      </c>
      <c r="AI8" s="15">
        <v>672.0</v>
      </c>
      <c r="AK8" s="15">
        <v>2626.0</v>
      </c>
      <c r="AL8" s="14">
        <v>872.0</v>
      </c>
      <c r="AN8" s="15">
        <v>707.0</v>
      </c>
      <c r="AP8" s="15">
        <v>427.0</v>
      </c>
      <c r="AR8" s="15">
        <v>343.0</v>
      </c>
      <c r="AT8" s="36">
        <v>2349.0</v>
      </c>
      <c r="AU8" s="14">
        <v>2070.0</v>
      </c>
      <c r="AW8" s="15">
        <v>962.0</v>
      </c>
      <c r="AY8" s="15">
        <v>883.0</v>
      </c>
      <c r="BA8" s="15">
        <v>612.0</v>
      </c>
      <c r="BC8" s="36">
        <v>4527.0</v>
      </c>
      <c r="BD8" s="15">
        <v>2656.0</v>
      </c>
      <c r="BF8" s="15">
        <v>454.0</v>
      </c>
      <c r="BH8" s="15">
        <v>3110.0</v>
      </c>
    </row>
    <row r="9" ht="15.75" customHeight="1">
      <c r="A9" s="6" t="s">
        <v>53</v>
      </c>
      <c r="B9" s="30" t="s">
        <v>169</v>
      </c>
      <c r="C9" s="14">
        <v>1781.0</v>
      </c>
      <c r="E9" s="15">
        <v>79.0</v>
      </c>
      <c r="G9" s="15">
        <v>28.0</v>
      </c>
      <c r="I9" s="36">
        <v>1888.0</v>
      </c>
      <c r="J9" s="14">
        <v>2190.0</v>
      </c>
      <c r="L9" s="15">
        <v>1079.0</v>
      </c>
      <c r="N9" s="15">
        <v>446.0</v>
      </c>
      <c r="O9" s="15"/>
      <c r="P9" s="36">
        <v>3715.0</v>
      </c>
      <c r="Q9" s="14">
        <v>2480.0</v>
      </c>
      <c r="S9" s="15">
        <v>1080.0</v>
      </c>
      <c r="U9" s="15">
        <v>182.0</v>
      </c>
      <c r="W9" s="36">
        <v>3742.0</v>
      </c>
      <c r="X9" s="15">
        <v>1737.0</v>
      </c>
      <c r="Z9" s="15">
        <v>1541.0</v>
      </c>
      <c r="AB9" s="15">
        <v>337.0</v>
      </c>
      <c r="AD9" s="36">
        <v>3615.0</v>
      </c>
      <c r="AE9" s="37">
        <v>3622.0</v>
      </c>
      <c r="AF9" s="37">
        <v>3625.0</v>
      </c>
      <c r="AG9" s="14">
        <v>1485.0</v>
      </c>
      <c r="AI9" s="15">
        <v>645.0</v>
      </c>
      <c r="AK9" s="15">
        <v>2130.0</v>
      </c>
      <c r="AL9" s="14">
        <v>1091.0</v>
      </c>
      <c r="AN9" s="15">
        <v>791.0</v>
      </c>
      <c r="AP9" s="15">
        <v>247.0</v>
      </c>
      <c r="AR9" s="15">
        <v>322.0</v>
      </c>
      <c r="AT9" s="36">
        <v>2451.0</v>
      </c>
      <c r="AU9" s="14">
        <v>1809.0</v>
      </c>
      <c r="AW9" s="15">
        <v>444.0</v>
      </c>
      <c r="AY9" s="15">
        <v>1050.0</v>
      </c>
      <c r="BA9" s="15">
        <v>397.0</v>
      </c>
      <c r="BC9" s="36">
        <v>3700.0</v>
      </c>
      <c r="BD9" s="15">
        <v>2161.0</v>
      </c>
      <c r="BF9" s="15">
        <v>647.0</v>
      </c>
      <c r="BH9" s="15">
        <v>2808.0</v>
      </c>
    </row>
    <row r="10" ht="15.75" customHeight="1">
      <c r="A10" s="6" t="s">
        <v>53</v>
      </c>
      <c r="B10" s="30" t="s">
        <v>118</v>
      </c>
      <c r="C10" s="14">
        <v>4882.0</v>
      </c>
      <c r="E10" s="15">
        <v>451.0</v>
      </c>
      <c r="G10" s="15">
        <v>111.0</v>
      </c>
      <c r="I10" s="36">
        <v>5444.0</v>
      </c>
      <c r="J10" s="14">
        <v>7327.0</v>
      </c>
      <c r="L10" s="15">
        <v>1572.0</v>
      </c>
      <c r="N10" s="15">
        <v>2584.0</v>
      </c>
      <c r="O10" s="15"/>
      <c r="P10" s="36">
        <v>11483.0</v>
      </c>
      <c r="Q10" s="14">
        <v>8891.0</v>
      </c>
      <c r="S10" s="15">
        <v>2375.0</v>
      </c>
      <c r="U10" s="15">
        <v>396.0</v>
      </c>
      <c r="W10" s="36">
        <v>11662.0</v>
      </c>
      <c r="X10" s="15">
        <v>5248.0</v>
      </c>
      <c r="Z10" s="15">
        <v>4130.0</v>
      </c>
      <c r="AB10" s="15">
        <v>1721.0</v>
      </c>
      <c r="AD10" s="36">
        <v>11099.0</v>
      </c>
      <c r="AE10" s="37">
        <v>8476.0</v>
      </c>
      <c r="AF10" s="37">
        <v>9064.0</v>
      </c>
      <c r="AG10" s="14">
        <v>4492.0</v>
      </c>
      <c r="AI10" s="15">
        <v>1129.0</v>
      </c>
      <c r="AK10" s="15">
        <v>5621.0</v>
      </c>
      <c r="AL10" s="14">
        <v>1731.0</v>
      </c>
      <c r="AN10" s="15">
        <v>1706.0</v>
      </c>
      <c r="AP10" s="15">
        <v>715.0</v>
      </c>
      <c r="AR10" s="15">
        <v>940.0</v>
      </c>
      <c r="AT10" s="36">
        <v>5092.0</v>
      </c>
      <c r="AU10" s="14">
        <v>4656.0</v>
      </c>
      <c r="AW10" s="15">
        <v>2050.0</v>
      </c>
      <c r="AY10" s="15">
        <v>3471.0</v>
      </c>
      <c r="BA10" s="15">
        <v>1244.0</v>
      </c>
      <c r="BC10" s="36">
        <v>11421.0</v>
      </c>
      <c r="BD10" s="15">
        <v>3923.0</v>
      </c>
      <c r="BF10" s="15">
        <v>1057.0</v>
      </c>
      <c r="BH10" s="15">
        <v>4980.0</v>
      </c>
    </row>
    <row r="11" ht="15.75" customHeight="1">
      <c r="A11" s="6" t="s">
        <v>53</v>
      </c>
      <c r="B11" s="30" t="s">
        <v>25</v>
      </c>
      <c r="C11" s="14">
        <v>7527.0</v>
      </c>
      <c r="E11" s="15">
        <v>563.0</v>
      </c>
      <c r="G11" s="15">
        <v>162.0</v>
      </c>
      <c r="I11" s="36">
        <v>8252.0</v>
      </c>
      <c r="J11" s="14">
        <v>11139.0</v>
      </c>
      <c r="L11" s="15">
        <v>1755.0</v>
      </c>
      <c r="N11" s="15">
        <v>3163.0</v>
      </c>
      <c r="O11" s="15"/>
      <c r="P11" s="36">
        <v>16057.0</v>
      </c>
      <c r="Q11" s="14">
        <v>12477.0</v>
      </c>
      <c r="S11" s="15">
        <v>3289.0</v>
      </c>
      <c r="U11" s="15">
        <v>630.0</v>
      </c>
      <c r="W11" s="36">
        <v>16396.0</v>
      </c>
      <c r="X11" s="15">
        <v>8107.0</v>
      </c>
      <c r="Z11" s="15">
        <v>5027.0</v>
      </c>
      <c r="AB11" s="15">
        <v>2328.0</v>
      </c>
      <c r="AD11" s="36">
        <v>15462.0</v>
      </c>
      <c r="AE11" s="37">
        <v>14559.0</v>
      </c>
      <c r="AF11" s="37">
        <v>14762.0</v>
      </c>
      <c r="AG11" s="14">
        <v>6031.0</v>
      </c>
      <c r="AI11" s="15">
        <v>1473.0</v>
      </c>
      <c r="AK11" s="15">
        <v>7504.0</v>
      </c>
      <c r="AL11" s="14">
        <v>2664.0</v>
      </c>
      <c r="AN11" s="15">
        <v>2040.0</v>
      </c>
      <c r="AP11" s="15">
        <v>957.0</v>
      </c>
      <c r="AR11" s="15">
        <v>1152.0</v>
      </c>
      <c r="AT11" s="36">
        <v>6813.0</v>
      </c>
      <c r="AU11" s="14">
        <v>8297.0</v>
      </c>
      <c r="AW11" s="15">
        <v>3262.0</v>
      </c>
      <c r="AY11" s="15">
        <v>4518.0</v>
      </c>
      <c r="BA11" s="15">
        <v>1900.0</v>
      </c>
      <c r="BC11" s="36">
        <v>17977.0</v>
      </c>
      <c r="BD11" s="15">
        <v>6947.0</v>
      </c>
      <c r="BF11" s="15">
        <v>2321.0</v>
      </c>
      <c r="BH11" s="15">
        <v>9268.0</v>
      </c>
    </row>
    <row r="12" ht="15.75" customHeight="1">
      <c r="A12" s="6" t="s">
        <v>52</v>
      </c>
      <c r="B12" s="30" t="s">
        <v>204</v>
      </c>
      <c r="C12" s="14">
        <v>1075.0</v>
      </c>
      <c r="E12" s="15">
        <v>70.0</v>
      </c>
      <c r="G12" s="15">
        <v>23.0</v>
      </c>
      <c r="I12" s="36">
        <v>1168.0</v>
      </c>
      <c r="J12" s="14">
        <v>1436.0</v>
      </c>
      <c r="L12" s="15">
        <v>288.0</v>
      </c>
      <c r="N12" s="15">
        <v>145.0</v>
      </c>
      <c r="O12" s="15"/>
      <c r="P12" s="36">
        <v>1869.0</v>
      </c>
      <c r="Q12" s="14">
        <v>1222.0</v>
      </c>
      <c r="S12" s="15">
        <v>483.0</v>
      </c>
      <c r="U12" s="15">
        <v>179.0</v>
      </c>
      <c r="W12" s="36">
        <v>1884.0</v>
      </c>
      <c r="X12" s="15">
        <v>1027.0</v>
      </c>
      <c r="Z12" s="15">
        <v>403.0</v>
      </c>
      <c r="AB12" s="15">
        <v>351.0</v>
      </c>
      <c r="AD12" s="36">
        <v>1781.0</v>
      </c>
      <c r="AE12" s="37">
        <v>1529.0</v>
      </c>
      <c r="AF12" s="37">
        <v>1636.0</v>
      </c>
      <c r="AG12" s="14">
        <v>542.0</v>
      </c>
      <c r="AI12" s="15">
        <v>281.0</v>
      </c>
      <c r="AK12" s="15">
        <v>823.0</v>
      </c>
      <c r="AL12" s="14">
        <v>414.0</v>
      </c>
      <c r="AN12" s="15">
        <v>213.0</v>
      </c>
      <c r="AP12" s="15">
        <v>200.0</v>
      </c>
      <c r="AR12" s="15">
        <v>132.0</v>
      </c>
      <c r="AT12" s="36">
        <v>959.0</v>
      </c>
      <c r="AU12" s="14">
        <v>1025.0</v>
      </c>
      <c r="AW12" s="15">
        <v>196.0</v>
      </c>
      <c r="AY12" s="15">
        <v>317.0</v>
      </c>
      <c r="BA12" s="15">
        <v>296.0</v>
      </c>
      <c r="BC12" s="36">
        <v>1834.0</v>
      </c>
      <c r="BD12" s="15">
        <v>900.0</v>
      </c>
      <c r="BF12" s="15">
        <v>288.0</v>
      </c>
      <c r="BH12" s="15">
        <v>1188.0</v>
      </c>
    </row>
    <row r="13" ht="15.75" customHeight="1">
      <c r="A13" s="6" t="s">
        <v>52</v>
      </c>
      <c r="B13" s="30" t="s">
        <v>179</v>
      </c>
      <c r="C13" s="14">
        <v>1489.0</v>
      </c>
      <c r="E13" s="15">
        <v>61.0</v>
      </c>
      <c r="G13" s="15">
        <v>22.0</v>
      </c>
      <c r="I13" s="36">
        <v>1572.0</v>
      </c>
      <c r="J13" s="14">
        <v>2304.0</v>
      </c>
      <c r="L13" s="15">
        <v>725.0</v>
      </c>
      <c r="N13" s="15">
        <v>251.0</v>
      </c>
      <c r="O13" s="15"/>
      <c r="P13" s="36">
        <v>3280.0</v>
      </c>
      <c r="Q13" s="14">
        <v>2023.0</v>
      </c>
      <c r="S13" s="15">
        <v>944.0</v>
      </c>
      <c r="U13" s="15">
        <v>354.0</v>
      </c>
      <c r="W13" s="36">
        <v>3321.0</v>
      </c>
      <c r="X13" s="15">
        <v>1538.0</v>
      </c>
      <c r="Z13" s="15">
        <v>852.0</v>
      </c>
      <c r="AB13" s="15">
        <v>700.0</v>
      </c>
      <c r="AD13" s="36">
        <v>3090.0</v>
      </c>
      <c r="AE13" s="37">
        <v>3014.0</v>
      </c>
      <c r="AF13" s="37">
        <v>3117.0</v>
      </c>
      <c r="AG13" s="14">
        <v>1219.0</v>
      </c>
      <c r="AI13" s="15">
        <v>270.0</v>
      </c>
      <c r="AK13" s="15">
        <v>1489.0</v>
      </c>
      <c r="AL13" s="14">
        <v>467.0</v>
      </c>
      <c r="AN13" s="15">
        <v>744.0</v>
      </c>
      <c r="AP13" s="15">
        <v>366.0</v>
      </c>
      <c r="AR13" s="15">
        <v>199.0</v>
      </c>
      <c r="AT13" s="36">
        <v>1776.0</v>
      </c>
      <c r="AU13" s="14">
        <v>1568.0</v>
      </c>
      <c r="AW13" s="15">
        <v>242.0</v>
      </c>
      <c r="AY13" s="15">
        <v>720.0</v>
      </c>
      <c r="BA13" s="15">
        <v>310.0</v>
      </c>
      <c r="BC13" s="36">
        <v>2840.0</v>
      </c>
      <c r="BD13" s="15">
        <v>1529.0</v>
      </c>
      <c r="BF13" s="15">
        <v>449.0</v>
      </c>
      <c r="BH13" s="15">
        <v>1978.0</v>
      </c>
    </row>
    <row r="14" ht="15.75" customHeight="1">
      <c r="A14" s="6" t="s">
        <v>60</v>
      </c>
      <c r="B14" s="30" t="s">
        <v>29</v>
      </c>
      <c r="C14" s="14">
        <v>5063.0</v>
      </c>
      <c r="E14" s="15">
        <v>637.0</v>
      </c>
      <c r="G14" s="15">
        <v>149.0</v>
      </c>
      <c r="I14" s="36">
        <v>5849.0</v>
      </c>
      <c r="J14" s="14">
        <v>10014.0</v>
      </c>
      <c r="L14" s="15">
        <v>2041.0</v>
      </c>
      <c r="N14" s="15">
        <v>1348.0</v>
      </c>
      <c r="O14" s="15"/>
      <c r="P14" s="36">
        <v>13403.0</v>
      </c>
      <c r="Q14" s="14">
        <v>10663.0</v>
      </c>
      <c r="S14" s="15">
        <v>2503.0</v>
      </c>
      <c r="U14" s="15">
        <v>458.0</v>
      </c>
      <c r="W14" s="36">
        <v>13624.0</v>
      </c>
      <c r="X14" s="15">
        <v>7502.0</v>
      </c>
      <c r="Z14" s="15">
        <v>3516.0</v>
      </c>
      <c r="AB14" s="15">
        <v>1698.0</v>
      </c>
      <c r="AD14" s="36">
        <v>12716.0</v>
      </c>
      <c r="AE14" s="37">
        <v>11137.0</v>
      </c>
      <c r="AF14" s="37">
        <v>11479.0</v>
      </c>
      <c r="AG14" s="14">
        <v>5758.0</v>
      </c>
      <c r="AI14" s="15">
        <v>2728.0</v>
      </c>
      <c r="AK14" s="15">
        <v>8486.0</v>
      </c>
      <c r="AL14" s="14">
        <v>3024.0</v>
      </c>
      <c r="AN14" s="15">
        <v>2258.0</v>
      </c>
      <c r="AP14" s="15">
        <v>1193.0</v>
      </c>
      <c r="AR14" s="15">
        <v>2080.0</v>
      </c>
      <c r="AT14" s="36">
        <v>8555.0</v>
      </c>
      <c r="AU14" s="14">
        <v>5962.0</v>
      </c>
      <c r="AW14" s="15">
        <v>3531.0</v>
      </c>
      <c r="AY14" s="15">
        <v>3405.0</v>
      </c>
      <c r="BA14" s="15">
        <v>2481.0</v>
      </c>
      <c r="BC14" s="36">
        <v>15379.0</v>
      </c>
      <c r="BD14" s="15">
        <v>1380.0</v>
      </c>
      <c r="BF14" s="15">
        <v>340.0</v>
      </c>
      <c r="BH14" s="15">
        <v>1720.0</v>
      </c>
    </row>
    <row r="15" ht="15.75" customHeight="1">
      <c r="A15" s="6" t="s">
        <v>60</v>
      </c>
      <c r="B15" s="30" t="s">
        <v>193</v>
      </c>
      <c r="C15" s="14">
        <v>961.0</v>
      </c>
      <c r="E15" s="15">
        <v>81.0</v>
      </c>
      <c r="G15" s="15">
        <v>22.0</v>
      </c>
      <c r="I15" s="36">
        <v>1064.0</v>
      </c>
      <c r="J15" s="14">
        <v>1914.0</v>
      </c>
      <c r="L15" s="15">
        <v>508.0</v>
      </c>
      <c r="N15" s="15">
        <v>115.0</v>
      </c>
      <c r="O15" s="15"/>
      <c r="P15" s="36">
        <v>2537.0</v>
      </c>
      <c r="Q15" s="14">
        <v>1952.0</v>
      </c>
      <c r="S15" s="15">
        <v>476.0</v>
      </c>
      <c r="U15" s="15">
        <v>135.0</v>
      </c>
      <c r="W15" s="36">
        <v>2563.0</v>
      </c>
      <c r="X15" s="15">
        <v>1583.0</v>
      </c>
      <c r="Z15" s="15">
        <v>549.0</v>
      </c>
      <c r="AB15" s="15">
        <v>288.0</v>
      </c>
      <c r="AD15" s="36">
        <v>2420.0</v>
      </c>
      <c r="AE15" s="37">
        <v>1684.0</v>
      </c>
      <c r="AF15" s="37">
        <v>1756.0</v>
      </c>
      <c r="AG15" s="14">
        <v>904.0</v>
      </c>
      <c r="AI15" s="15">
        <v>260.0</v>
      </c>
      <c r="AK15" s="15">
        <v>1164.0</v>
      </c>
      <c r="AL15" s="14">
        <v>465.0</v>
      </c>
      <c r="AN15" s="15">
        <v>560.0</v>
      </c>
      <c r="AP15" s="15">
        <v>230.0</v>
      </c>
      <c r="AR15" s="15">
        <v>358.0</v>
      </c>
      <c r="AT15" s="36">
        <v>1613.0</v>
      </c>
      <c r="AU15" s="14">
        <v>935.0</v>
      </c>
      <c r="AW15" s="15">
        <v>412.0</v>
      </c>
      <c r="AY15" s="15">
        <v>534.0</v>
      </c>
      <c r="BA15" s="15">
        <v>263.0</v>
      </c>
      <c r="BC15" s="36">
        <v>2144.0</v>
      </c>
      <c r="BD15" s="15">
        <v>2077.0</v>
      </c>
      <c r="BF15" s="15">
        <v>416.0</v>
      </c>
      <c r="BH15" s="15">
        <v>2493.0</v>
      </c>
    </row>
    <row r="16" ht="15.75" customHeight="1">
      <c r="A16" s="6" t="s">
        <v>59</v>
      </c>
      <c r="B16" s="30" t="s">
        <v>181</v>
      </c>
      <c r="C16" s="14">
        <v>1609.0</v>
      </c>
      <c r="E16" s="15">
        <v>36.0</v>
      </c>
      <c r="G16" s="15">
        <v>25.0</v>
      </c>
      <c r="I16" s="36">
        <v>1670.0</v>
      </c>
      <c r="J16" s="14">
        <v>2607.0</v>
      </c>
      <c r="L16" s="15">
        <v>227.0</v>
      </c>
      <c r="N16" s="15">
        <v>250.0</v>
      </c>
      <c r="O16" s="15"/>
      <c r="P16" s="36">
        <v>3084.0</v>
      </c>
      <c r="Q16" s="14">
        <v>1535.0</v>
      </c>
      <c r="S16" s="15">
        <v>979.0</v>
      </c>
      <c r="U16" s="15">
        <v>644.0</v>
      </c>
      <c r="W16" s="36">
        <v>3158.0</v>
      </c>
      <c r="X16" s="15">
        <v>1590.0</v>
      </c>
      <c r="Z16" s="15">
        <v>619.0</v>
      </c>
      <c r="AB16" s="15">
        <v>624.0</v>
      </c>
      <c r="AD16" s="36">
        <v>2833.0</v>
      </c>
      <c r="AE16" s="37">
        <v>3442.0</v>
      </c>
      <c r="AF16" s="37">
        <v>3203.0</v>
      </c>
      <c r="AG16" s="14">
        <v>696.0</v>
      </c>
      <c r="AI16" s="15">
        <v>245.0</v>
      </c>
      <c r="AK16" s="15">
        <v>941.0</v>
      </c>
      <c r="AL16" s="14">
        <v>398.0</v>
      </c>
      <c r="AN16" s="15">
        <v>399.0</v>
      </c>
      <c r="AP16" s="15">
        <v>223.0</v>
      </c>
      <c r="AR16" s="15">
        <v>376.0</v>
      </c>
      <c r="AT16" s="36">
        <v>1396.0</v>
      </c>
      <c r="AU16" s="14">
        <v>1163.0</v>
      </c>
      <c r="AW16" s="15">
        <v>319.0</v>
      </c>
      <c r="AY16" s="15">
        <v>604.0</v>
      </c>
      <c r="BA16" s="15">
        <v>297.0</v>
      </c>
      <c r="BC16" s="36">
        <v>2383.0</v>
      </c>
      <c r="BD16" s="15">
        <v>1965.0</v>
      </c>
      <c r="BF16" s="15">
        <v>933.0</v>
      </c>
      <c r="BH16" s="15">
        <v>2898.0</v>
      </c>
    </row>
    <row r="17" ht="15.75" customHeight="1">
      <c r="A17" s="6" t="s">
        <v>62</v>
      </c>
      <c r="B17" s="30" t="s">
        <v>202</v>
      </c>
      <c r="C17" s="14">
        <v>949.0</v>
      </c>
      <c r="E17" s="15">
        <v>40.0</v>
      </c>
      <c r="G17" s="15">
        <v>22.0</v>
      </c>
      <c r="I17" s="36">
        <v>1011.0</v>
      </c>
      <c r="J17" s="14">
        <v>1367.0</v>
      </c>
      <c r="L17" s="15">
        <v>497.0</v>
      </c>
      <c r="N17" s="15">
        <v>140.0</v>
      </c>
      <c r="O17" s="15"/>
      <c r="P17" s="36">
        <v>2004.0</v>
      </c>
      <c r="Q17" s="14">
        <v>1230.0</v>
      </c>
      <c r="S17" s="15">
        <v>647.0</v>
      </c>
      <c r="U17" s="15">
        <v>145.0</v>
      </c>
      <c r="W17" s="36">
        <v>2022.0</v>
      </c>
      <c r="X17" s="15">
        <v>820.0</v>
      </c>
      <c r="Z17" s="15">
        <v>537.0</v>
      </c>
      <c r="AB17" s="15">
        <v>450.0</v>
      </c>
      <c r="AD17" s="36">
        <v>1807.0</v>
      </c>
      <c r="AE17" s="37">
        <v>1680.0</v>
      </c>
      <c r="AF17" s="37">
        <v>1651.0</v>
      </c>
      <c r="AG17" s="14">
        <v>529.0</v>
      </c>
      <c r="AI17" s="15">
        <v>286.0</v>
      </c>
      <c r="AK17" s="15">
        <v>815.0</v>
      </c>
      <c r="AL17" s="14">
        <v>552.0</v>
      </c>
      <c r="AN17" s="15">
        <v>315.0</v>
      </c>
      <c r="AP17" s="15">
        <v>194.0</v>
      </c>
      <c r="AR17" s="15">
        <v>182.0</v>
      </c>
      <c r="AT17" s="36">
        <v>1243.0</v>
      </c>
      <c r="AU17" s="14">
        <v>1017.0</v>
      </c>
      <c r="AW17" s="15">
        <v>267.0</v>
      </c>
      <c r="AY17" s="15">
        <v>476.0</v>
      </c>
      <c r="BA17" s="15">
        <v>195.0</v>
      </c>
      <c r="BC17" s="36">
        <v>1955.0</v>
      </c>
      <c r="BD17" s="15">
        <v>521.0</v>
      </c>
      <c r="BF17" s="15">
        <v>177.0</v>
      </c>
      <c r="BH17" s="15">
        <v>698.0</v>
      </c>
    </row>
    <row r="18" ht="15.75" customHeight="1">
      <c r="A18" s="6" t="s">
        <v>287</v>
      </c>
      <c r="B18" s="30" t="s">
        <v>147</v>
      </c>
      <c r="C18" s="14">
        <v>2399.0</v>
      </c>
      <c r="E18" s="15">
        <v>457.0</v>
      </c>
      <c r="G18" s="15">
        <v>40.0</v>
      </c>
      <c r="I18" s="36">
        <v>2896.0</v>
      </c>
      <c r="J18" s="14">
        <v>4883.0</v>
      </c>
      <c r="L18" s="15">
        <v>514.0</v>
      </c>
      <c r="N18" s="15">
        <v>648.0</v>
      </c>
      <c r="O18" s="15"/>
      <c r="P18" s="36">
        <v>6045.0</v>
      </c>
      <c r="Q18" s="14">
        <v>4299.0</v>
      </c>
      <c r="S18" s="15">
        <v>1412.0</v>
      </c>
      <c r="U18" s="15">
        <v>484.0</v>
      </c>
      <c r="W18" s="36">
        <v>6195.0</v>
      </c>
      <c r="X18" s="15">
        <v>2281.0</v>
      </c>
      <c r="Z18" s="15">
        <v>1958.0</v>
      </c>
      <c r="AB18" s="15">
        <v>1415.0</v>
      </c>
      <c r="AD18" s="36">
        <v>5654.0</v>
      </c>
      <c r="AE18" s="37">
        <v>5639.0</v>
      </c>
      <c r="AF18" s="37">
        <v>5696.0</v>
      </c>
      <c r="AG18" s="14">
        <v>1277.0</v>
      </c>
      <c r="AI18" s="15">
        <v>808.0</v>
      </c>
      <c r="AK18" s="15">
        <v>2085.0</v>
      </c>
      <c r="AL18" s="14">
        <v>907.0</v>
      </c>
      <c r="AN18" s="15">
        <v>433.0</v>
      </c>
      <c r="AP18" s="15">
        <v>454.0</v>
      </c>
      <c r="AR18" s="15">
        <v>421.0</v>
      </c>
      <c r="AT18" s="36">
        <v>2215.0</v>
      </c>
      <c r="AU18" s="14">
        <v>2220.0</v>
      </c>
      <c r="AW18" s="15">
        <v>1295.0</v>
      </c>
      <c r="AY18" s="15">
        <v>1480.0</v>
      </c>
      <c r="BA18" s="15">
        <v>677.0</v>
      </c>
      <c r="BC18" s="36">
        <v>5672.0</v>
      </c>
      <c r="BD18" s="15">
        <v>2714.0</v>
      </c>
      <c r="BF18" s="15">
        <v>784.0</v>
      </c>
      <c r="BH18" s="15">
        <v>3498.0</v>
      </c>
    </row>
    <row r="19" ht="15.75" customHeight="1">
      <c r="A19" s="6" t="s">
        <v>287</v>
      </c>
      <c r="B19" s="30" t="s">
        <v>125</v>
      </c>
      <c r="C19" s="14">
        <v>3325.0</v>
      </c>
      <c r="E19" s="15">
        <v>504.0</v>
      </c>
      <c r="G19" s="15">
        <v>74.0</v>
      </c>
      <c r="I19" s="36">
        <v>3903.0</v>
      </c>
      <c r="J19" s="14">
        <v>6711.0</v>
      </c>
      <c r="L19" s="15">
        <v>1628.0</v>
      </c>
      <c r="N19" s="15">
        <v>646.0</v>
      </c>
      <c r="O19" s="15"/>
      <c r="P19" s="36">
        <v>8985.0</v>
      </c>
      <c r="Q19" s="14">
        <v>6731.0</v>
      </c>
      <c r="S19" s="15">
        <v>1944.0</v>
      </c>
      <c r="U19" s="15">
        <v>430.0</v>
      </c>
      <c r="W19" s="36">
        <v>9105.0</v>
      </c>
      <c r="X19" s="15">
        <v>3305.0</v>
      </c>
      <c r="Z19" s="15">
        <v>3704.0</v>
      </c>
      <c r="AB19" s="15">
        <v>1484.0</v>
      </c>
      <c r="AD19" s="36">
        <v>8493.0</v>
      </c>
      <c r="AE19" s="37">
        <v>8846.0</v>
      </c>
      <c r="AF19" s="37">
        <v>8951.0</v>
      </c>
      <c r="AG19" s="14">
        <v>2422.0</v>
      </c>
      <c r="AI19" s="15">
        <v>1456.0</v>
      </c>
      <c r="AK19" s="15">
        <v>3878.0</v>
      </c>
      <c r="AL19" s="14">
        <v>2009.0</v>
      </c>
      <c r="AN19" s="15">
        <v>1199.0</v>
      </c>
      <c r="AP19" s="15">
        <v>814.0</v>
      </c>
      <c r="AR19" s="15">
        <v>664.0</v>
      </c>
      <c r="AT19" s="36">
        <v>4686.0</v>
      </c>
      <c r="AU19" s="14">
        <v>3115.0</v>
      </c>
      <c r="AW19" s="15">
        <v>1766.0</v>
      </c>
      <c r="AY19" s="15">
        <v>2149.0</v>
      </c>
      <c r="BA19" s="15">
        <v>1223.0</v>
      </c>
      <c r="BC19" s="36">
        <v>8253.0</v>
      </c>
      <c r="BD19" s="15">
        <v>6653.0</v>
      </c>
      <c r="BF19" s="15">
        <v>1429.0</v>
      </c>
      <c r="BH19" s="15">
        <v>8082.0</v>
      </c>
    </row>
    <row r="20" ht="15.75" customHeight="1">
      <c r="A20" s="6" t="s">
        <v>54</v>
      </c>
      <c r="B20" s="30" t="s">
        <v>197</v>
      </c>
      <c r="C20" s="14">
        <v>1161.0</v>
      </c>
      <c r="E20" s="15">
        <v>101.0</v>
      </c>
      <c r="G20" s="15">
        <v>13.0</v>
      </c>
      <c r="I20" s="36">
        <v>1275.0</v>
      </c>
      <c r="J20" s="14">
        <v>2141.0</v>
      </c>
      <c r="L20" s="15">
        <v>248.0</v>
      </c>
      <c r="N20" s="15">
        <v>161.0</v>
      </c>
      <c r="O20" s="15"/>
      <c r="P20" s="36">
        <v>2550.0</v>
      </c>
      <c r="Q20" s="14">
        <v>1880.0</v>
      </c>
      <c r="S20" s="15">
        <v>624.0</v>
      </c>
      <c r="U20" s="15">
        <v>79.0</v>
      </c>
      <c r="W20" s="36">
        <v>2583.0</v>
      </c>
      <c r="X20" s="15">
        <v>1285.0</v>
      </c>
      <c r="Z20" s="15">
        <v>665.0</v>
      </c>
      <c r="AB20" s="15">
        <v>455.0</v>
      </c>
      <c r="AD20" s="36">
        <v>2405.0</v>
      </c>
      <c r="AE20" s="37">
        <v>1569.0</v>
      </c>
      <c r="AF20" s="37">
        <v>1596.0</v>
      </c>
      <c r="AG20" s="14">
        <v>703.0</v>
      </c>
      <c r="AI20" s="15">
        <v>337.0</v>
      </c>
      <c r="AK20" s="15">
        <v>1040.0</v>
      </c>
      <c r="AL20" s="14">
        <v>501.0</v>
      </c>
      <c r="AN20" s="15">
        <v>279.0</v>
      </c>
      <c r="AP20" s="15">
        <v>256.0</v>
      </c>
      <c r="AR20" s="15">
        <v>80.0</v>
      </c>
      <c r="AT20" s="36">
        <v>1116.0</v>
      </c>
      <c r="AU20" s="14">
        <v>1181.0</v>
      </c>
      <c r="AW20" s="15">
        <v>375.0</v>
      </c>
      <c r="AY20" s="15">
        <v>803.0</v>
      </c>
      <c r="BA20" s="15">
        <v>258.0</v>
      </c>
      <c r="BC20" s="36">
        <v>2617.0</v>
      </c>
      <c r="BD20" s="15">
        <v>983.0</v>
      </c>
      <c r="BF20" s="15">
        <v>152.0</v>
      </c>
      <c r="BH20" s="15">
        <v>1135.0</v>
      </c>
    </row>
    <row r="21" ht="15.75" customHeight="1">
      <c r="A21" s="6" t="s">
        <v>53</v>
      </c>
      <c r="B21" s="30" t="s">
        <v>166</v>
      </c>
      <c r="C21" s="14">
        <v>2269.0</v>
      </c>
      <c r="E21" s="15">
        <v>195.0</v>
      </c>
      <c r="G21" s="15">
        <v>31.0</v>
      </c>
      <c r="I21" s="36">
        <v>2495.0</v>
      </c>
      <c r="J21" s="14">
        <v>2984.0</v>
      </c>
      <c r="L21" s="15">
        <v>589.0</v>
      </c>
      <c r="N21" s="15">
        <v>666.0</v>
      </c>
      <c r="O21" s="15"/>
      <c r="P21" s="36">
        <v>4239.0</v>
      </c>
      <c r="Q21" s="14">
        <v>3253.0</v>
      </c>
      <c r="S21" s="15">
        <v>950.0</v>
      </c>
      <c r="U21" s="15">
        <v>132.0</v>
      </c>
      <c r="W21" s="36">
        <v>4335.0</v>
      </c>
      <c r="X21" s="15">
        <v>3654.0</v>
      </c>
      <c r="Z21" s="15">
        <v>465.0</v>
      </c>
      <c r="AB21" s="15">
        <v>163.0</v>
      </c>
      <c r="AD21" s="36">
        <v>4282.0</v>
      </c>
      <c r="AE21" s="37">
        <v>3313.0</v>
      </c>
      <c r="AF21" s="37">
        <v>3700.0</v>
      </c>
      <c r="AG21" s="14">
        <v>1587.0</v>
      </c>
      <c r="AI21" s="15">
        <v>563.0</v>
      </c>
      <c r="AK21" s="15">
        <v>2150.0</v>
      </c>
      <c r="AL21" s="14">
        <v>626.0</v>
      </c>
      <c r="AN21" s="15">
        <v>681.0</v>
      </c>
      <c r="AP21" s="15">
        <v>215.0</v>
      </c>
      <c r="AR21" s="15">
        <v>268.0</v>
      </c>
      <c r="AT21" s="36">
        <v>1790.0</v>
      </c>
      <c r="AU21" s="14">
        <v>1884.0</v>
      </c>
      <c r="AW21" s="15">
        <v>597.0</v>
      </c>
      <c r="AY21" s="15">
        <v>1002.0</v>
      </c>
      <c r="BA21" s="15">
        <v>380.0</v>
      </c>
      <c r="BC21" s="36">
        <v>3863.0</v>
      </c>
      <c r="BD21" s="15">
        <v>2786.0</v>
      </c>
      <c r="BF21" s="15">
        <v>796.0</v>
      </c>
      <c r="BH21" s="15">
        <v>3582.0</v>
      </c>
    </row>
    <row r="22" ht="15.75" customHeight="1">
      <c r="A22" s="6" t="s">
        <v>52</v>
      </c>
      <c r="B22" s="30" t="s">
        <v>242</v>
      </c>
      <c r="C22" s="14">
        <v>204.0</v>
      </c>
      <c r="E22" s="15">
        <v>10.0</v>
      </c>
      <c r="G22" s="15">
        <v>3.0</v>
      </c>
      <c r="I22" s="36">
        <v>217.0</v>
      </c>
      <c r="J22" s="14">
        <v>277.0</v>
      </c>
      <c r="L22" s="15">
        <v>134.0</v>
      </c>
      <c r="N22" s="15">
        <v>37.0</v>
      </c>
      <c r="O22" s="15"/>
      <c r="P22" s="36">
        <v>448.0</v>
      </c>
      <c r="Q22" s="14">
        <v>367.0</v>
      </c>
      <c r="S22" s="15">
        <v>73.0</v>
      </c>
      <c r="U22" s="15">
        <v>15.0</v>
      </c>
      <c r="W22" s="36">
        <v>455.0</v>
      </c>
      <c r="X22" s="15">
        <v>194.0</v>
      </c>
      <c r="Z22" s="15">
        <v>129.0</v>
      </c>
      <c r="AB22" s="15">
        <v>83.0</v>
      </c>
      <c r="AD22" s="36">
        <v>406.0</v>
      </c>
      <c r="AE22" s="37">
        <v>162.0</v>
      </c>
      <c r="AF22" s="37">
        <v>149.0</v>
      </c>
      <c r="AG22" s="14">
        <v>115.0</v>
      </c>
      <c r="AI22" s="15">
        <v>85.0</v>
      </c>
      <c r="AK22" s="15">
        <v>200.0</v>
      </c>
      <c r="AL22" s="14">
        <v>113.0</v>
      </c>
      <c r="AN22" s="15">
        <v>34.0</v>
      </c>
      <c r="AP22" s="15">
        <v>43.0</v>
      </c>
      <c r="AR22" s="15">
        <v>17.0</v>
      </c>
      <c r="AT22" s="36">
        <v>207.0</v>
      </c>
      <c r="AU22" s="14">
        <v>227.0</v>
      </c>
      <c r="AW22" s="15">
        <v>69.0</v>
      </c>
      <c r="AY22" s="15">
        <v>105.0</v>
      </c>
      <c r="BA22" s="15">
        <v>47.0</v>
      </c>
      <c r="BC22" s="36">
        <v>448.0</v>
      </c>
      <c r="BD22" s="15">
        <v>51.0</v>
      </c>
      <c r="BF22" s="15">
        <v>6.0</v>
      </c>
      <c r="BH22" s="15">
        <v>57.0</v>
      </c>
    </row>
    <row r="23" ht="15.75" customHeight="1">
      <c r="A23" s="6" t="s">
        <v>59</v>
      </c>
      <c r="B23" s="30" t="s">
        <v>145</v>
      </c>
      <c r="C23" s="14">
        <v>3517.0</v>
      </c>
      <c r="E23" s="15">
        <v>423.0</v>
      </c>
      <c r="G23" s="15">
        <v>86.0</v>
      </c>
      <c r="I23" s="36">
        <v>4026.0</v>
      </c>
      <c r="J23" s="14">
        <v>5190.0</v>
      </c>
      <c r="L23" s="15">
        <v>520.0</v>
      </c>
      <c r="N23" s="15">
        <v>838.0</v>
      </c>
      <c r="O23" s="15"/>
      <c r="P23" s="36">
        <v>6548.0</v>
      </c>
      <c r="Q23" s="14">
        <v>4127.0</v>
      </c>
      <c r="S23" s="15">
        <v>2088.0</v>
      </c>
      <c r="U23" s="15">
        <v>482.0</v>
      </c>
      <c r="W23" s="36">
        <v>6697.0</v>
      </c>
      <c r="X23" s="15">
        <v>3156.0</v>
      </c>
      <c r="Z23" s="15">
        <v>1037.0</v>
      </c>
      <c r="AB23" s="15">
        <v>1899.0</v>
      </c>
      <c r="AD23" s="36">
        <v>6092.0</v>
      </c>
      <c r="AE23" s="37">
        <v>4600.0</v>
      </c>
      <c r="AF23" s="37">
        <v>4888.0</v>
      </c>
      <c r="AG23" s="14">
        <v>1747.0</v>
      </c>
      <c r="AI23" s="15">
        <v>694.0</v>
      </c>
      <c r="AK23" s="15">
        <v>2441.0</v>
      </c>
      <c r="AL23" s="14">
        <v>965.0</v>
      </c>
      <c r="AN23" s="15">
        <v>1269.0</v>
      </c>
      <c r="AP23" s="15">
        <v>489.0</v>
      </c>
      <c r="AR23" s="15">
        <v>725.0</v>
      </c>
      <c r="AT23" s="36">
        <v>3448.0</v>
      </c>
      <c r="AU23" s="14">
        <v>3073.0</v>
      </c>
      <c r="AW23" s="15">
        <v>1228.0</v>
      </c>
      <c r="AY23" s="15">
        <v>1181.0</v>
      </c>
      <c r="BA23" s="15">
        <v>847.0</v>
      </c>
      <c r="BC23" s="36">
        <v>6329.0</v>
      </c>
      <c r="BD23" s="15">
        <v>1649.0</v>
      </c>
      <c r="BF23" s="15">
        <v>691.0</v>
      </c>
      <c r="BH23" s="15">
        <v>2340.0</v>
      </c>
    </row>
    <row r="24" ht="15.75" customHeight="1">
      <c r="A24" s="6" t="s">
        <v>287</v>
      </c>
      <c r="B24" s="30" t="s">
        <v>212</v>
      </c>
      <c r="C24" s="14">
        <v>675.0</v>
      </c>
      <c r="E24" s="15">
        <v>83.0</v>
      </c>
      <c r="G24" s="15">
        <v>7.0</v>
      </c>
      <c r="I24" s="36">
        <v>765.0</v>
      </c>
      <c r="J24" s="14">
        <v>1069.0</v>
      </c>
      <c r="L24" s="15">
        <v>187.0</v>
      </c>
      <c r="N24" s="15">
        <v>85.0</v>
      </c>
      <c r="O24" s="15"/>
      <c r="P24" s="36">
        <v>1341.0</v>
      </c>
      <c r="Q24" s="14">
        <v>992.0</v>
      </c>
      <c r="S24" s="15">
        <v>285.0</v>
      </c>
      <c r="U24" s="15">
        <v>70.0</v>
      </c>
      <c r="W24" s="36">
        <v>1347.0</v>
      </c>
      <c r="X24" s="15">
        <v>582.0</v>
      </c>
      <c r="Z24" s="15">
        <v>481.0</v>
      </c>
      <c r="AB24" s="15">
        <v>213.0</v>
      </c>
      <c r="AD24" s="36">
        <v>1276.0</v>
      </c>
      <c r="AE24" s="37">
        <v>1510.0</v>
      </c>
      <c r="AF24" s="37">
        <v>1551.0</v>
      </c>
      <c r="AG24" s="14">
        <v>368.0</v>
      </c>
      <c r="AI24" s="15">
        <v>227.0</v>
      </c>
      <c r="AK24" s="15">
        <v>595.0</v>
      </c>
      <c r="AL24" s="14">
        <v>294.0</v>
      </c>
      <c r="AN24" s="15">
        <v>179.0</v>
      </c>
      <c r="AP24" s="15">
        <v>123.0</v>
      </c>
      <c r="AR24" s="15">
        <v>101.0</v>
      </c>
      <c r="AT24" s="36">
        <v>697.0</v>
      </c>
      <c r="AU24" s="14">
        <v>898.0</v>
      </c>
      <c r="AW24" s="15">
        <v>322.0</v>
      </c>
      <c r="AY24" s="15">
        <v>322.0</v>
      </c>
      <c r="BA24" s="15">
        <v>293.0</v>
      </c>
      <c r="BC24" s="36">
        <v>1835.0</v>
      </c>
      <c r="BD24" s="15">
        <v>824.0</v>
      </c>
      <c r="BF24" s="15">
        <v>172.0</v>
      </c>
      <c r="BH24" s="15">
        <v>996.0</v>
      </c>
    </row>
    <row r="25" ht="15.75" customHeight="1">
      <c r="A25" s="6" t="s">
        <v>53</v>
      </c>
      <c r="B25" s="30" t="s">
        <v>23</v>
      </c>
      <c r="C25" s="14">
        <v>8548.0</v>
      </c>
      <c r="E25" s="15">
        <v>702.0</v>
      </c>
      <c r="G25" s="15">
        <v>147.0</v>
      </c>
      <c r="I25" s="36">
        <v>9397.0</v>
      </c>
      <c r="J25" s="14">
        <v>12258.0</v>
      </c>
      <c r="L25" s="15">
        <v>2641.0</v>
      </c>
      <c r="N25" s="15">
        <v>3185.0</v>
      </c>
      <c r="O25" s="15"/>
      <c r="P25" s="36">
        <v>18084.0</v>
      </c>
      <c r="Q25" s="14">
        <v>13965.0</v>
      </c>
      <c r="S25" s="15">
        <v>3741.0</v>
      </c>
      <c r="U25" s="15">
        <v>677.0</v>
      </c>
      <c r="W25" s="36">
        <v>18383.0</v>
      </c>
      <c r="X25" s="15">
        <v>8507.0</v>
      </c>
      <c r="Z25" s="15">
        <v>5779.0</v>
      </c>
      <c r="AB25" s="15">
        <v>3033.0</v>
      </c>
      <c r="AD25" s="36">
        <v>17319.0</v>
      </c>
      <c r="AE25" s="37">
        <v>15290.0</v>
      </c>
      <c r="AF25" s="37">
        <v>15959.0</v>
      </c>
      <c r="AG25" s="14">
        <v>6531.0</v>
      </c>
      <c r="AI25" s="15">
        <v>2059.0</v>
      </c>
      <c r="AK25" s="15">
        <v>8590.0</v>
      </c>
      <c r="AL25" s="14">
        <v>3894.0</v>
      </c>
      <c r="AN25" s="15">
        <v>2615.0</v>
      </c>
      <c r="AP25" s="15">
        <v>1258.0</v>
      </c>
      <c r="AR25" s="15">
        <v>2061.0</v>
      </c>
      <c r="AT25" s="36">
        <v>9828.0</v>
      </c>
      <c r="AU25" s="14">
        <v>7516.0</v>
      </c>
      <c r="AW25" s="15">
        <v>3381.0</v>
      </c>
      <c r="AY25" s="15">
        <v>5006.0</v>
      </c>
      <c r="BA25" s="15">
        <v>2128.0</v>
      </c>
      <c r="BC25" s="36">
        <v>18031.0</v>
      </c>
      <c r="BD25" s="15">
        <v>6234.0</v>
      </c>
      <c r="BF25" s="15">
        <v>1746.0</v>
      </c>
      <c r="BH25" s="15">
        <v>7980.0</v>
      </c>
    </row>
    <row r="26" ht="15.75" customHeight="1">
      <c r="A26" s="6" t="s">
        <v>55</v>
      </c>
      <c r="B26" s="30" t="s">
        <v>119</v>
      </c>
      <c r="C26" s="14">
        <v>7099.0</v>
      </c>
      <c r="E26" s="15">
        <v>908.0</v>
      </c>
      <c r="G26" s="15">
        <v>266.0</v>
      </c>
      <c r="I26" s="36">
        <v>8273.0</v>
      </c>
      <c r="J26" s="14">
        <v>8021.0</v>
      </c>
      <c r="L26" s="15">
        <v>2179.0</v>
      </c>
      <c r="N26" s="15">
        <v>928.0</v>
      </c>
      <c r="O26" s="15"/>
      <c r="P26" s="36">
        <v>11128.0</v>
      </c>
      <c r="Q26" s="14">
        <v>6524.0</v>
      </c>
      <c r="S26" s="15">
        <v>4178.0</v>
      </c>
      <c r="U26" s="15">
        <v>609.0</v>
      </c>
      <c r="W26" s="36">
        <v>11311.0</v>
      </c>
      <c r="X26" s="15">
        <v>3833.0</v>
      </c>
      <c r="Z26" s="15">
        <v>3469.0</v>
      </c>
      <c r="AB26" s="15">
        <v>2988.0</v>
      </c>
      <c r="AD26" s="36">
        <v>10290.0</v>
      </c>
      <c r="AE26" s="37">
        <v>9604.0</v>
      </c>
      <c r="AF26" s="37">
        <v>10092.0</v>
      </c>
      <c r="AG26" s="14">
        <v>1708.0</v>
      </c>
      <c r="AI26" s="15">
        <v>1108.0</v>
      </c>
      <c r="AK26" s="15">
        <v>2816.0</v>
      </c>
      <c r="AL26" s="14">
        <v>1611.0</v>
      </c>
      <c r="AN26" s="15">
        <v>583.0</v>
      </c>
      <c r="AP26" s="15">
        <v>827.0</v>
      </c>
      <c r="AR26" s="15">
        <v>723.0</v>
      </c>
      <c r="AT26" s="36">
        <v>3744.0</v>
      </c>
      <c r="AU26" s="14">
        <v>4464.0</v>
      </c>
      <c r="AW26" s="15">
        <v>2434.0</v>
      </c>
      <c r="AY26" s="15">
        <v>2536.0</v>
      </c>
      <c r="BA26" s="15">
        <v>1681.0</v>
      </c>
      <c r="BC26" s="36">
        <v>11115.0</v>
      </c>
      <c r="BD26" s="15">
        <v>3530.0</v>
      </c>
      <c r="BF26" s="15">
        <v>1641.0</v>
      </c>
      <c r="BH26" s="15">
        <v>5171.0</v>
      </c>
    </row>
    <row r="27" ht="15.75" customHeight="1">
      <c r="A27" s="6" t="s">
        <v>59</v>
      </c>
      <c r="B27" s="30" t="s">
        <v>210</v>
      </c>
      <c r="C27" s="14">
        <v>796.0</v>
      </c>
      <c r="E27" s="15">
        <v>23.0</v>
      </c>
      <c r="G27" s="15">
        <v>12.0</v>
      </c>
      <c r="I27" s="36">
        <v>831.0</v>
      </c>
      <c r="J27" s="14">
        <v>1198.0</v>
      </c>
      <c r="L27" s="15">
        <v>130.0</v>
      </c>
      <c r="N27" s="15">
        <v>150.0</v>
      </c>
      <c r="O27" s="15"/>
      <c r="P27" s="36">
        <v>1478.0</v>
      </c>
      <c r="Q27" s="14">
        <v>814.0</v>
      </c>
      <c r="S27" s="15">
        <v>519.0</v>
      </c>
      <c r="U27" s="15">
        <v>169.0</v>
      </c>
      <c r="W27" s="36">
        <v>1502.0</v>
      </c>
      <c r="X27" s="15">
        <v>597.0</v>
      </c>
      <c r="Z27" s="15">
        <v>307.0</v>
      </c>
      <c r="AB27" s="15">
        <v>431.0</v>
      </c>
      <c r="AD27" s="36">
        <v>1335.0</v>
      </c>
      <c r="AE27" s="37">
        <v>1921.0</v>
      </c>
      <c r="AF27" s="37">
        <v>1953.0</v>
      </c>
      <c r="AG27" s="14">
        <v>347.0</v>
      </c>
      <c r="AI27" s="15">
        <v>139.0</v>
      </c>
      <c r="AK27" s="15">
        <v>486.0</v>
      </c>
      <c r="AL27" s="14">
        <v>132.0</v>
      </c>
      <c r="AN27" s="15">
        <v>189.0</v>
      </c>
      <c r="AP27" s="15">
        <v>77.0</v>
      </c>
      <c r="AR27" s="15">
        <v>168.0</v>
      </c>
      <c r="AT27" s="36">
        <v>566.0</v>
      </c>
      <c r="AU27" s="14">
        <v>603.0</v>
      </c>
      <c r="AW27" s="15">
        <v>209.0</v>
      </c>
      <c r="AY27" s="15">
        <v>319.0</v>
      </c>
      <c r="BA27" s="15">
        <v>143.0</v>
      </c>
      <c r="BC27" s="36">
        <v>1274.0</v>
      </c>
      <c r="BD27" s="15">
        <v>564.0</v>
      </c>
      <c r="BF27" s="15">
        <v>363.0</v>
      </c>
      <c r="BH27" s="15">
        <v>927.0</v>
      </c>
    </row>
    <row r="28" ht="15.75" customHeight="1">
      <c r="A28" s="6" t="s">
        <v>287</v>
      </c>
      <c r="B28" s="30" t="s">
        <v>17</v>
      </c>
      <c r="C28" s="14">
        <v>7710.0</v>
      </c>
      <c r="E28" s="15">
        <v>2094.0</v>
      </c>
      <c r="G28" s="15">
        <v>251.0</v>
      </c>
      <c r="I28" s="36">
        <v>10055.0</v>
      </c>
      <c r="J28" s="14">
        <v>19926.0</v>
      </c>
      <c r="L28" s="15">
        <v>2159.0</v>
      </c>
      <c r="N28" s="15">
        <v>3370.0</v>
      </c>
      <c r="O28" s="15"/>
      <c r="P28" s="36">
        <v>25455.0</v>
      </c>
      <c r="Q28" s="14">
        <v>20011.0</v>
      </c>
      <c r="S28" s="15">
        <v>5189.0</v>
      </c>
      <c r="U28" s="15">
        <v>913.0</v>
      </c>
      <c r="W28" s="36">
        <v>26113.0</v>
      </c>
      <c r="X28" s="15">
        <v>10499.0</v>
      </c>
      <c r="Z28" s="15">
        <v>7791.0</v>
      </c>
      <c r="AB28" s="15">
        <v>5558.0</v>
      </c>
      <c r="AD28" s="36">
        <v>23848.0</v>
      </c>
      <c r="AE28" s="37">
        <v>18680.0</v>
      </c>
      <c r="AF28" s="37">
        <v>19461.0</v>
      </c>
      <c r="AG28" s="14">
        <v>7623.0</v>
      </c>
      <c r="AI28" s="15">
        <v>4326.0</v>
      </c>
      <c r="AK28" s="15">
        <v>11949.0</v>
      </c>
      <c r="AL28" s="14">
        <v>4366.0</v>
      </c>
      <c r="AN28" s="15">
        <v>2470.0</v>
      </c>
      <c r="AP28" s="15">
        <v>2662.0</v>
      </c>
      <c r="AR28" s="15">
        <v>1896.0</v>
      </c>
      <c r="AT28" s="36">
        <v>11394.0</v>
      </c>
      <c r="AU28" s="14">
        <v>10738.0</v>
      </c>
      <c r="AW28" s="15">
        <v>7848.0</v>
      </c>
      <c r="AY28" s="15">
        <v>7055.0</v>
      </c>
      <c r="BA28" s="15">
        <v>5030.0</v>
      </c>
      <c r="BC28" s="36">
        <v>30671.0</v>
      </c>
      <c r="BD28" s="15">
        <v>4151.0</v>
      </c>
      <c r="BF28" s="15">
        <v>794.0</v>
      </c>
      <c r="BH28" s="15">
        <v>4945.0</v>
      </c>
    </row>
    <row r="29" ht="15.75" customHeight="1">
      <c r="A29" s="6" t="s">
        <v>56</v>
      </c>
      <c r="B29" s="30" t="s">
        <v>246</v>
      </c>
      <c r="C29" s="14">
        <v>212.0</v>
      </c>
      <c r="E29" s="15">
        <v>17.0</v>
      </c>
      <c r="G29" s="15">
        <v>1.0</v>
      </c>
      <c r="I29" s="36">
        <v>230.0</v>
      </c>
      <c r="J29" s="14">
        <v>241.0</v>
      </c>
      <c r="L29" s="15">
        <v>20.0</v>
      </c>
      <c r="N29" s="15">
        <v>47.0</v>
      </c>
      <c r="O29" s="15"/>
      <c r="P29" s="36">
        <v>308.0</v>
      </c>
      <c r="Q29" s="14">
        <v>167.0</v>
      </c>
      <c r="S29" s="15">
        <v>139.0</v>
      </c>
      <c r="U29" s="15">
        <v>14.0</v>
      </c>
      <c r="W29" s="36">
        <v>320.0</v>
      </c>
      <c r="X29" s="15">
        <v>129.0</v>
      </c>
      <c r="Z29" s="15">
        <v>56.0</v>
      </c>
      <c r="AB29" s="15">
        <v>91.0</v>
      </c>
      <c r="AD29" s="36">
        <v>276.0</v>
      </c>
      <c r="AE29" s="37">
        <v>244.0</v>
      </c>
      <c r="AF29" s="37">
        <v>246.0</v>
      </c>
      <c r="AG29" s="14">
        <v>126.0</v>
      </c>
      <c r="AI29" s="15">
        <v>69.0</v>
      </c>
      <c r="AK29" s="15">
        <v>195.0</v>
      </c>
      <c r="AL29" s="14">
        <v>94.0</v>
      </c>
      <c r="AN29" s="15">
        <v>34.0</v>
      </c>
      <c r="AP29" s="15">
        <v>44.0</v>
      </c>
      <c r="AR29" s="15">
        <v>30.0</v>
      </c>
      <c r="AT29" s="36">
        <v>202.0</v>
      </c>
      <c r="AU29" s="14">
        <v>175.0</v>
      </c>
      <c r="AW29" s="15">
        <v>30.0</v>
      </c>
      <c r="AY29" s="15">
        <v>89.0</v>
      </c>
      <c r="BA29" s="15">
        <v>27.0</v>
      </c>
      <c r="BC29" s="36">
        <v>321.0</v>
      </c>
      <c r="BD29" s="15">
        <v>16.0</v>
      </c>
      <c r="BF29" s="15">
        <v>6.0</v>
      </c>
      <c r="BH29" s="15">
        <v>22.0</v>
      </c>
    </row>
    <row r="30" ht="15.75" customHeight="1">
      <c r="A30" s="6" t="s">
        <v>53</v>
      </c>
      <c r="B30" s="30" t="s">
        <v>173</v>
      </c>
      <c r="C30" s="14">
        <v>2174.0</v>
      </c>
      <c r="E30" s="15">
        <v>140.0</v>
      </c>
      <c r="G30" s="15">
        <v>42.0</v>
      </c>
      <c r="I30" s="36">
        <v>2356.0</v>
      </c>
      <c r="J30" s="14">
        <v>2465.0</v>
      </c>
      <c r="L30" s="15">
        <v>602.0</v>
      </c>
      <c r="N30" s="15">
        <v>400.0</v>
      </c>
      <c r="O30" s="15"/>
      <c r="P30" s="36">
        <v>3467.0</v>
      </c>
      <c r="Q30" s="14">
        <v>2343.0</v>
      </c>
      <c r="S30" s="15">
        <v>921.0</v>
      </c>
      <c r="U30" s="15">
        <v>282.0</v>
      </c>
      <c r="W30" s="36">
        <v>3546.0</v>
      </c>
      <c r="X30" s="15">
        <v>1466.0</v>
      </c>
      <c r="Z30" s="15">
        <v>1126.0</v>
      </c>
      <c r="AB30" s="15">
        <v>687.0</v>
      </c>
      <c r="AD30" s="36">
        <v>3279.0</v>
      </c>
      <c r="AE30" s="37">
        <v>4225.0</v>
      </c>
      <c r="AF30" s="37">
        <v>4178.0</v>
      </c>
      <c r="AG30" s="14">
        <v>770.0</v>
      </c>
      <c r="AI30" s="15">
        <v>426.0</v>
      </c>
      <c r="AK30" s="15">
        <v>1196.0</v>
      </c>
      <c r="AL30" s="14">
        <v>721.0</v>
      </c>
      <c r="AN30" s="15">
        <v>275.0</v>
      </c>
      <c r="AP30" s="15">
        <v>119.0</v>
      </c>
      <c r="AR30" s="15">
        <v>329.0</v>
      </c>
      <c r="AT30" s="36">
        <v>1444.0</v>
      </c>
      <c r="AU30" s="14">
        <v>1676.0</v>
      </c>
      <c r="AW30" s="15">
        <v>523.0</v>
      </c>
      <c r="AY30" s="15">
        <v>636.0</v>
      </c>
      <c r="BA30" s="15">
        <v>409.0</v>
      </c>
      <c r="BC30" s="36">
        <v>3244.0</v>
      </c>
      <c r="BD30" s="15">
        <v>966.0</v>
      </c>
      <c r="BF30" s="15">
        <v>418.0</v>
      </c>
      <c r="BH30" s="15">
        <v>1384.0</v>
      </c>
    </row>
    <row r="31" ht="15.75" customHeight="1">
      <c r="A31" s="6" t="s">
        <v>53</v>
      </c>
      <c r="B31" s="30" t="s">
        <v>12</v>
      </c>
      <c r="C31" s="14">
        <v>21822.0</v>
      </c>
      <c r="E31" s="15">
        <v>3795.0</v>
      </c>
      <c r="G31" s="15">
        <v>700.0</v>
      </c>
      <c r="I31" s="36">
        <v>26317.0</v>
      </c>
      <c r="J31" s="14">
        <v>32685.0</v>
      </c>
      <c r="L31" s="15">
        <v>5214.0</v>
      </c>
      <c r="N31" s="15">
        <v>12801.0</v>
      </c>
      <c r="O31" s="15"/>
      <c r="P31" s="36">
        <v>50700.0</v>
      </c>
      <c r="Q31" s="14">
        <v>39850.0</v>
      </c>
      <c r="S31" s="15">
        <v>9693.0</v>
      </c>
      <c r="U31" s="15">
        <v>2656.0</v>
      </c>
      <c r="W31" s="36">
        <v>52199.0</v>
      </c>
      <c r="X31" s="15">
        <v>24328.0</v>
      </c>
      <c r="Z31" s="15">
        <v>14798.0</v>
      </c>
      <c r="AB31" s="15">
        <v>9258.0</v>
      </c>
      <c r="AD31" s="36">
        <v>48384.0</v>
      </c>
      <c r="AE31" s="37">
        <v>35457.0</v>
      </c>
      <c r="AF31" s="37">
        <v>37450.0</v>
      </c>
      <c r="AG31" s="14">
        <v>15801.0</v>
      </c>
      <c r="AI31" s="15">
        <v>4845.0</v>
      </c>
      <c r="AK31" s="15">
        <v>20646.0</v>
      </c>
      <c r="AL31" s="14">
        <v>8257.0</v>
      </c>
      <c r="AN31" s="15">
        <v>5082.0</v>
      </c>
      <c r="AP31" s="15">
        <v>4066.0</v>
      </c>
      <c r="AR31" s="15">
        <v>3583.0</v>
      </c>
      <c r="AT31" s="36">
        <v>20988.0</v>
      </c>
      <c r="AU31" s="14">
        <v>18469.0</v>
      </c>
      <c r="AW31" s="15">
        <v>13475.0</v>
      </c>
      <c r="AY31" s="15">
        <v>12899.0</v>
      </c>
      <c r="BA31" s="15">
        <v>5484.0</v>
      </c>
      <c r="BC31" s="36">
        <v>50327.0</v>
      </c>
      <c r="BD31" s="15">
        <v>15976.0</v>
      </c>
      <c r="BF31" s="15">
        <v>5498.0</v>
      </c>
      <c r="BH31" s="15">
        <v>21474.0</v>
      </c>
    </row>
    <row r="32" ht="15.75" customHeight="1">
      <c r="A32" s="6" t="s">
        <v>53</v>
      </c>
      <c r="B32" s="30" t="s">
        <v>129</v>
      </c>
      <c r="C32" s="14">
        <v>2331.0</v>
      </c>
      <c r="E32" s="15">
        <v>846.0</v>
      </c>
      <c r="G32" s="15">
        <v>142.0</v>
      </c>
      <c r="I32" s="36">
        <v>3319.0</v>
      </c>
      <c r="J32" s="14">
        <v>4850.0</v>
      </c>
      <c r="L32" s="15">
        <v>2004.0</v>
      </c>
      <c r="N32" s="15">
        <v>2247.0</v>
      </c>
      <c r="O32" s="15"/>
      <c r="P32" s="36">
        <v>9101.0</v>
      </c>
      <c r="Q32" s="14">
        <v>7692.0</v>
      </c>
      <c r="S32" s="15">
        <v>1212.0</v>
      </c>
      <c r="U32" s="15">
        <v>408.0</v>
      </c>
      <c r="W32" s="36">
        <v>9312.0</v>
      </c>
      <c r="X32" s="15">
        <v>4135.0</v>
      </c>
      <c r="Z32" s="15">
        <v>2444.0</v>
      </c>
      <c r="AB32" s="15">
        <v>1748.0</v>
      </c>
      <c r="AD32" s="36">
        <v>8327.0</v>
      </c>
      <c r="AE32" s="37">
        <v>5004.0</v>
      </c>
      <c r="AF32" s="37">
        <v>5354.0</v>
      </c>
      <c r="AG32" s="14">
        <v>3661.0</v>
      </c>
      <c r="AI32" s="15">
        <v>766.0</v>
      </c>
      <c r="AK32" s="15">
        <v>4427.0</v>
      </c>
      <c r="AL32" s="14">
        <v>1205.0</v>
      </c>
      <c r="AN32" s="15">
        <v>2543.0</v>
      </c>
      <c r="AP32" s="15">
        <v>476.0</v>
      </c>
      <c r="AR32" s="15">
        <v>630.0</v>
      </c>
      <c r="AT32" s="36">
        <v>4854.0</v>
      </c>
      <c r="AU32" s="14">
        <v>2363.0</v>
      </c>
      <c r="AW32" s="15">
        <v>3114.0</v>
      </c>
      <c r="AY32" s="15">
        <v>1822.0</v>
      </c>
      <c r="BA32" s="15">
        <v>1540.0</v>
      </c>
      <c r="BC32" s="36">
        <v>8839.0</v>
      </c>
      <c r="BD32" s="15">
        <v>1647.0</v>
      </c>
      <c r="BF32" s="15">
        <v>361.0</v>
      </c>
      <c r="BH32" s="15">
        <v>2008.0</v>
      </c>
    </row>
    <row r="33" ht="15.75" customHeight="1">
      <c r="A33" s="6" t="s">
        <v>56</v>
      </c>
      <c r="B33" s="30" t="s">
        <v>244</v>
      </c>
      <c r="C33" s="14">
        <v>148.0</v>
      </c>
      <c r="E33" s="15">
        <v>8.0</v>
      </c>
      <c r="G33" s="15">
        <v>6.0</v>
      </c>
      <c r="I33" s="36">
        <v>162.0</v>
      </c>
      <c r="J33" s="14">
        <v>235.0</v>
      </c>
      <c r="L33" s="15">
        <v>51.0</v>
      </c>
      <c r="N33" s="15">
        <v>45.0</v>
      </c>
      <c r="O33" s="15"/>
      <c r="P33" s="36">
        <v>331.0</v>
      </c>
      <c r="Q33" s="14">
        <v>252.0</v>
      </c>
      <c r="S33" s="15">
        <v>76.0</v>
      </c>
      <c r="U33" s="15">
        <v>9.0</v>
      </c>
      <c r="W33" s="36">
        <v>337.0</v>
      </c>
      <c r="X33" s="15">
        <v>131.0</v>
      </c>
      <c r="Z33" s="15">
        <v>106.0</v>
      </c>
      <c r="AB33" s="15">
        <v>79.0</v>
      </c>
      <c r="AD33" s="36">
        <v>316.0</v>
      </c>
      <c r="AE33" s="37">
        <v>278.0</v>
      </c>
      <c r="AF33" s="37">
        <v>276.0</v>
      </c>
      <c r="AG33" s="14">
        <v>131.0</v>
      </c>
      <c r="AI33" s="15">
        <v>83.0</v>
      </c>
      <c r="AK33" s="15">
        <v>214.0</v>
      </c>
      <c r="AL33" s="14">
        <v>66.0</v>
      </c>
      <c r="AN33" s="15">
        <v>62.0</v>
      </c>
      <c r="AP33" s="15">
        <v>50.0</v>
      </c>
      <c r="AR33" s="15">
        <v>25.0</v>
      </c>
      <c r="AT33" s="36">
        <v>203.0</v>
      </c>
      <c r="AU33" s="14">
        <v>179.0</v>
      </c>
      <c r="AW33" s="15">
        <v>57.0</v>
      </c>
      <c r="AY33" s="15">
        <v>64.0</v>
      </c>
      <c r="BA33" s="15">
        <v>46.0</v>
      </c>
      <c r="BC33" s="36">
        <v>346.0</v>
      </c>
      <c r="BD33" s="15">
        <v>19.0</v>
      </c>
      <c r="BF33" s="15">
        <v>5.0</v>
      </c>
      <c r="BH33" s="15">
        <v>24.0</v>
      </c>
    </row>
    <row r="34" ht="15.75" customHeight="1">
      <c r="A34" s="6" t="s">
        <v>53</v>
      </c>
      <c r="B34" s="30" t="s">
        <v>150</v>
      </c>
      <c r="C34" s="14">
        <v>2322.0</v>
      </c>
      <c r="E34" s="15">
        <v>326.0</v>
      </c>
      <c r="G34" s="15">
        <v>85.0</v>
      </c>
      <c r="I34" s="36">
        <v>2733.0</v>
      </c>
      <c r="J34" s="14">
        <v>3280.0</v>
      </c>
      <c r="L34" s="15">
        <v>563.0</v>
      </c>
      <c r="N34" s="15">
        <v>1117.0</v>
      </c>
      <c r="O34" s="15"/>
      <c r="P34" s="36">
        <v>4960.0</v>
      </c>
      <c r="Q34" s="14">
        <v>3936.0</v>
      </c>
      <c r="S34" s="15">
        <v>983.0</v>
      </c>
      <c r="U34" s="15">
        <v>193.0</v>
      </c>
      <c r="W34" s="36">
        <v>5112.0</v>
      </c>
      <c r="X34" s="15">
        <v>2408.0</v>
      </c>
      <c r="Z34" s="15">
        <v>1512.0</v>
      </c>
      <c r="AB34" s="15">
        <v>930.0</v>
      </c>
      <c r="AD34" s="36">
        <v>4850.0</v>
      </c>
      <c r="AE34" s="37">
        <v>4522.0</v>
      </c>
      <c r="AF34" s="37">
        <v>4908.0</v>
      </c>
      <c r="AG34" s="14">
        <v>2269.0</v>
      </c>
      <c r="AI34" s="15">
        <v>1011.0</v>
      </c>
      <c r="AK34" s="15">
        <v>3280.0</v>
      </c>
      <c r="AL34" s="14">
        <v>1399.0</v>
      </c>
      <c r="AN34" s="15">
        <v>672.0</v>
      </c>
      <c r="AP34" s="15">
        <v>382.0</v>
      </c>
      <c r="AR34" s="15">
        <v>461.0</v>
      </c>
      <c r="AT34" s="36">
        <v>2914.0</v>
      </c>
      <c r="AU34" s="14">
        <v>3264.0</v>
      </c>
      <c r="AW34" s="15">
        <v>1642.0</v>
      </c>
      <c r="AY34" s="15">
        <v>1859.0</v>
      </c>
      <c r="BA34" s="15">
        <v>1005.0</v>
      </c>
      <c r="BC34" s="36">
        <v>7770.0</v>
      </c>
      <c r="BD34" s="15">
        <v>1395.0</v>
      </c>
      <c r="BF34" s="15">
        <v>401.0</v>
      </c>
      <c r="BH34" s="15">
        <v>1796.0</v>
      </c>
    </row>
    <row r="35" ht="15.75" customHeight="1">
      <c r="A35" s="6" t="s">
        <v>62</v>
      </c>
      <c r="B35" s="30" t="s">
        <v>226</v>
      </c>
      <c r="C35" s="14">
        <v>448.0</v>
      </c>
      <c r="E35" s="15">
        <v>16.0</v>
      </c>
      <c r="G35" s="15">
        <v>14.0</v>
      </c>
      <c r="I35" s="36">
        <v>478.0</v>
      </c>
      <c r="J35" s="14">
        <v>612.0</v>
      </c>
      <c r="L35" s="15">
        <v>184.0</v>
      </c>
      <c r="N35" s="15">
        <v>51.0</v>
      </c>
      <c r="O35" s="15"/>
      <c r="P35" s="36">
        <v>847.0</v>
      </c>
      <c r="Q35" s="14">
        <v>555.0</v>
      </c>
      <c r="S35" s="15">
        <v>230.0</v>
      </c>
      <c r="U35" s="15">
        <v>68.0</v>
      </c>
      <c r="W35" s="36">
        <v>853.0</v>
      </c>
      <c r="X35" s="15">
        <v>393.0</v>
      </c>
      <c r="Z35" s="15">
        <v>177.0</v>
      </c>
      <c r="AB35" s="15">
        <v>186.0</v>
      </c>
      <c r="AD35" s="36">
        <v>756.0</v>
      </c>
      <c r="AE35" s="37">
        <v>1530.0</v>
      </c>
      <c r="AF35" s="37">
        <v>1451.0</v>
      </c>
      <c r="AG35" s="14">
        <v>173.0</v>
      </c>
      <c r="AI35" s="15">
        <v>64.0</v>
      </c>
      <c r="AK35" s="15">
        <v>237.0</v>
      </c>
      <c r="AL35" s="14">
        <v>84.0</v>
      </c>
      <c r="AN35" s="15">
        <v>108.0</v>
      </c>
      <c r="AP35" s="15">
        <v>69.0</v>
      </c>
      <c r="AR35" s="15">
        <v>61.0</v>
      </c>
      <c r="AT35" s="36">
        <v>322.0</v>
      </c>
      <c r="AU35" s="14">
        <v>414.0</v>
      </c>
      <c r="AW35" s="15">
        <v>111.0</v>
      </c>
      <c r="AY35" s="15">
        <v>164.0</v>
      </c>
      <c r="BA35" s="15">
        <v>123.0</v>
      </c>
      <c r="BC35" s="36">
        <v>812.0</v>
      </c>
      <c r="BD35" s="15">
        <v>742.0</v>
      </c>
      <c r="BF35" s="15">
        <v>305.0</v>
      </c>
      <c r="BH35" s="15">
        <v>1047.0</v>
      </c>
    </row>
    <row r="36" ht="15.75" customHeight="1">
      <c r="A36" s="6" t="s">
        <v>53</v>
      </c>
      <c r="B36" s="30" t="s">
        <v>9</v>
      </c>
      <c r="C36" s="14">
        <v>29516.0</v>
      </c>
      <c r="E36" s="15">
        <v>9092.0</v>
      </c>
      <c r="G36" s="15">
        <v>1339.0</v>
      </c>
      <c r="I36" s="36">
        <v>39947.0</v>
      </c>
      <c r="J36" s="14">
        <v>55433.0</v>
      </c>
      <c r="L36" s="15">
        <v>9985.0</v>
      </c>
      <c r="N36" s="15">
        <v>24600.0</v>
      </c>
      <c r="O36" s="15"/>
      <c r="P36" s="36">
        <v>90018.0</v>
      </c>
      <c r="Q36" s="14">
        <v>74770.0</v>
      </c>
      <c r="S36" s="15">
        <v>14745.0</v>
      </c>
      <c r="U36" s="15">
        <v>3408.0</v>
      </c>
      <c r="W36" s="36">
        <v>92923.0</v>
      </c>
      <c r="X36" s="15">
        <v>38126.0</v>
      </c>
      <c r="Z36" s="15">
        <v>27786.0</v>
      </c>
      <c r="AB36" s="15">
        <v>18822.0</v>
      </c>
      <c r="AD36" s="36">
        <v>84734.0</v>
      </c>
      <c r="AE36" s="37">
        <v>63696.0</v>
      </c>
      <c r="AF36" s="37">
        <v>67252.0</v>
      </c>
      <c r="AG36" s="14">
        <v>34853.0</v>
      </c>
      <c r="AI36" s="15">
        <v>14674.0</v>
      </c>
      <c r="AK36" s="15">
        <v>49527.0</v>
      </c>
      <c r="AL36" s="14">
        <v>14957.0</v>
      </c>
      <c r="AN36" s="15">
        <v>8740.0</v>
      </c>
      <c r="AP36" s="15">
        <v>9962.0</v>
      </c>
      <c r="AR36" s="15">
        <v>8060.0</v>
      </c>
      <c r="AT36" s="36">
        <v>41719.0</v>
      </c>
      <c r="AU36" s="14">
        <v>34789.0</v>
      </c>
      <c r="AW36" s="15">
        <v>38769.0</v>
      </c>
      <c r="AY36" s="15">
        <v>23749.0</v>
      </c>
      <c r="BA36" s="15">
        <v>14890.0</v>
      </c>
      <c r="BC36" s="36">
        <v>112197.0</v>
      </c>
      <c r="BD36" s="15">
        <v>28237.0</v>
      </c>
      <c r="BF36" s="15">
        <v>8256.0</v>
      </c>
      <c r="BH36" s="15">
        <v>36493.0</v>
      </c>
    </row>
    <row r="37" ht="15.75" customHeight="1">
      <c r="A37" s="6" t="s">
        <v>52</v>
      </c>
      <c r="B37" s="30" t="s">
        <v>163</v>
      </c>
      <c r="C37" s="14">
        <v>1946.0</v>
      </c>
      <c r="E37" s="15">
        <v>67.0</v>
      </c>
      <c r="G37" s="15">
        <v>26.0</v>
      </c>
      <c r="I37" s="36">
        <v>2039.0</v>
      </c>
      <c r="J37" s="14">
        <v>3431.0</v>
      </c>
      <c r="L37" s="15">
        <v>598.0</v>
      </c>
      <c r="N37" s="15">
        <v>219.0</v>
      </c>
      <c r="O37" s="15"/>
      <c r="P37" s="36">
        <v>4248.0</v>
      </c>
      <c r="Q37" s="14">
        <v>2527.0</v>
      </c>
      <c r="S37" s="15">
        <v>1411.0</v>
      </c>
      <c r="U37" s="15">
        <v>383.0</v>
      </c>
      <c r="W37" s="36">
        <v>4321.0</v>
      </c>
      <c r="X37" s="15">
        <v>2129.0</v>
      </c>
      <c r="Z37" s="15">
        <v>894.0</v>
      </c>
      <c r="AB37" s="15">
        <v>904.0</v>
      </c>
      <c r="AD37" s="36">
        <v>3927.0</v>
      </c>
      <c r="AE37" s="37">
        <v>4931.0</v>
      </c>
      <c r="AF37" s="37">
        <v>4781.0</v>
      </c>
      <c r="AG37" s="14">
        <v>1324.0</v>
      </c>
      <c r="AI37" s="15">
        <v>629.0</v>
      </c>
      <c r="AK37" s="15">
        <v>1953.0</v>
      </c>
      <c r="AL37" s="14">
        <v>807.0</v>
      </c>
      <c r="AN37" s="15">
        <v>381.0</v>
      </c>
      <c r="AP37" s="15">
        <v>344.0</v>
      </c>
      <c r="AR37" s="15">
        <v>331.0</v>
      </c>
      <c r="AT37" s="36">
        <v>1863.0</v>
      </c>
      <c r="AU37" s="14">
        <v>2472.0</v>
      </c>
      <c r="AW37" s="15">
        <v>580.0</v>
      </c>
      <c r="AY37" s="15">
        <v>876.0</v>
      </c>
      <c r="BA37" s="15">
        <v>591.0</v>
      </c>
      <c r="BC37" s="36">
        <v>4519.0</v>
      </c>
      <c r="BD37" s="15">
        <v>2669.0</v>
      </c>
      <c r="BF37" s="15">
        <v>856.0</v>
      </c>
      <c r="BH37" s="15">
        <v>3525.0</v>
      </c>
    </row>
    <row r="38" ht="15.75" customHeight="1">
      <c r="A38" s="6" t="s">
        <v>52</v>
      </c>
      <c r="B38" s="30" t="s">
        <v>146</v>
      </c>
      <c r="C38" s="14">
        <v>2907.0</v>
      </c>
      <c r="E38" s="15">
        <v>141.0</v>
      </c>
      <c r="G38" s="15">
        <v>52.0</v>
      </c>
      <c r="I38" s="36">
        <v>3100.0</v>
      </c>
      <c r="J38" s="14">
        <v>4096.0</v>
      </c>
      <c r="L38" s="15">
        <v>1354.0</v>
      </c>
      <c r="N38" s="15">
        <v>272.0</v>
      </c>
      <c r="O38" s="15"/>
      <c r="P38" s="36">
        <v>5722.0</v>
      </c>
      <c r="Q38" s="14">
        <v>4073.0</v>
      </c>
      <c r="S38" s="15">
        <v>1352.0</v>
      </c>
      <c r="U38" s="15">
        <v>344.0</v>
      </c>
      <c r="W38" s="36">
        <v>5769.0</v>
      </c>
      <c r="X38" s="15">
        <v>2873.0</v>
      </c>
      <c r="Z38" s="15">
        <v>1543.0</v>
      </c>
      <c r="AB38" s="15">
        <v>919.0</v>
      </c>
      <c r="AD38" s="36">
        <v>5335.0</v>
      </c>
      <c r="AE38" s="37">
        <v>5139.0</v>
      </c>
      <c r="AF38" s="37">
        <v>5118.0</v>
      </c>
      <c r="AG38" s="14">
        <v>1837.0</v>
      </c>
      <c r="AI38" s="15">
        <v>796.0</v>
      </c>
      <c r="AK38" s="15">
        <v>2633.0</v>
      </c>
      <c r="AL38" s="14">
        <v>1420.0</v>
      </c>
      <c r="AN38" s="15">
        <v>853.0</v>
      </c>
      <c r="AP38" s="15">
        <v>724.0</v>
      </c>
      <c r="AR38" s="15">
        <v>503.0</v>
      </c>
      <c r="AT38" s="36">
        <v>3500.0</v>
      </c>
      <c r="AU38" s="14">
        <v>2968.0</v>
      </c>
      <c r="AW38" s="15">
        <v>773.0</v>
      </c>
      <c r="AY38" s="15">
        <v>1400.0</v>
      </c>
      <c r="BA38" s="15">
        <v>841.0</v>
      </c>
      <c r="BC38" s="36">
        <v>5982.0</v>
      </c>
      <c r="BD38" s="15">
        <v>3429.0</v>
      </c>
      <c r="BF38" s="15">
        <v>835.0</v>
      </c>
      <c r="BH38" s="15">
        <v>4264.0</v>
      </c>
    </row>
    <row r="39" ht="15.75" customHeight="1">
      <c r="A39" s="6" t="s">
        <v>54</v>
      </c>
      <c r="B39" s="30" t="s">
        <v>16</v>
      </c>
      <c r="C39" s="14">
        <v>11364.0</v>
      </c>
      <c r="E39" s="15">
        <v>1758.0</v>
      </c>
      <c r="G39" s="15">
        <v>315.0</v>
      </c>
      <c r="I39" s="36">
        <v>13437.0</v>
      </c>
      <c r="J39" s="14">
        <v>19209.0</v>
      </c>
      <c r="L39" s="15">
        <v>1683.0</v>
      </c>
      <c r="N39" s="15">
        <v>2703.0</v>
      </c>
      <c r="O39" s="15"/>
      <c r="P39" s="36">
        <v>23595.0</v>
      </c>
      <c r="Q39" s="14">
        <v>17068.0</v>
      </c>
      <c r="S39" s="15">
        <v>5895.0</v>
      </c>
      <c r="U39" s="15">
        <v>1048.0</v>
      </c>
      <c r="W39" s="36">
        <v>24011.0</v>
      </c>
      <c r="X39" s="15">
        <v>12434.0</v>
      </c>
      <c r="Z39" s="15">
        <v>5291.0</v>
      </c>
      <c r="AB39" s="15">
        <v>4616.0</v>
      </c>
      <c r="AD39" s="36">
        <v>22341.0</v>
      </c>
      <c r="AE39" s="37">
        <v>17358.0</v>
      </c>
      <c r="AF39" s="37">
        <v>18509.0</v>
      </c>
      <c r="AG39" s="14">
        <v>9172.0</v>
      </c>
      <c r="AI39" s="15">
        <v>6358.0</v>
      </c>
      <c r="AK39" s="15">
        <v>15530.0</v>
      </c>
      <c r="AL39" s="14">
        <v>6948.0</v>
      </c>
      <c r="AN39" s="15">
        <v>3317.0</v>
      </c>
      <c r="AP39" s="15">
        <v>3304.0</v>
      </c>
      <c r="AR39" s="15">
        <v>1534.0</v>
      </c>
      <c r="AT39" s="36">
        <v>15103.0</v>
      </c>
      <c r="AU39" s="14">
        <v>9181.0</v>
      </c>
      <c r="AW39" s="15">
        <v>5751.0</v>
      </c>
      <c r="AY39" s="15">
        <v>8051.0</v>
      </c>
      <c r="BA39" s="15">
        <v>3522.0</v>
      </c>
      <c r="BC39" s="36">
        <v>26505.0</v>
      </c>
      <c r="BD39" s="15">
        <v>10155.0</v>
      </c>
      <c r="BF39" s="15">
        <v>2435.0</v>
      </c>
      <c r="BH39" s="15">
        <v>12590.0</v>
      </c>
    </row>
    <row r="40" ht="15.75" customHeight="1">
      <c r="A40" s="6" t="s">
        <v>52</v>
      </c>
      <c r="B40" s="30" t="s">
        <v>199</v>
      </c>
      <c r="C40" s="14">
        <v>1072.0</v>
      </c>
      <c r="E40" s="15">
        <v>49.0</v>
      </c>
      <c r="G40" s="15">
        <v>21.0</v>
      </c>
      <c r="I40" s="36">
        <v>1142.0</v>
      </c>
      <c r="J40" s="14">
        <v>1772.0</v>
      </c>
      <c r="L40" s="15">
        <v>555.0</v>
      </c>
      <c r="N40" s="15">
        <v>131.0</v>
      </c>
      <c r="O40" s="15"/>
      <c r="P40" s="36">
        <v>2458.0</v>
      </c>
      <c r="Q40" s="14">
        <v>1558.0</v>
      </c>
      <c r="S40" s="15">
        <v>667.0</v>
      </c>
      <c r="U40" s="15">
        <v>251.0</v>
      </c>
      <c r="W40" s="36">
        <v>2476.0</v>
      </c>
      <c r="X40" s="15">
        <v>1101.0</v>
      </c>
      <c r="Z40" s="15">
        <v>622.0</v>
      </c>
      <c r="AB40" s="15">
        <v>593.0</v>
      </c>
      <c r="AD40" s="36">
        <v>2316.0</v>
      </c>
      <c r="AE40" s="37">
        <v>1854.0</v>
      </c>
      <c r="AF40" s="37">
        <v>2090.0</v>
      </c>
      <c r="AG40" s="14">
        <v>711.0</v>
      </c>
      <c r="AI40" s="15">
        <v>300.0</v>
      </c>
      <c r="AK40" s="15">
        <v>1011.0</v>
      </c>
      <c r="AL40" s="14">
        <v>409.0</v>
      </c>
      <c r="AN40" s="15">
        <v>264.0</v>
      </c>
      <c r="AP40" s="15">
        <v>247.0</v>
      </c>
      <c r="AR40" s="15">
        <v>147.0</v>
      </c>
      <c r="AT40" s="36">
        <v>1067.0</v>
      </c>
      <c r="AU40" s="14">
        <v>1229.0</v>
      </c>
      <c r="AW40" s="15">
        <v>240.0</v>
      </c>
      <c r="AY40" s="15">
        <v>519.0</v>
      </c>
      <c r="BA40" s="15">
        <v>260.0</v>
      </c>
      <c r="BC40" s="36">
        <v>2248.0</v>
      </c>
      <c r="BD40" s="15">
        <v>669.0</v>
      </c>
      <c r="BF40" s="15">
        <v>168.0</v>
      </c>
      <c r="BH40" s="15">
        <v>837.0</v>
      </c>
    </row>
    <row r="41" ht="15.75" customHeight="1">
      <c r="A41" s="6" t="s">
        <v>53</v>
      </c>
      <c r="B41" s="30" t="s">
        <v>18</v>
      </c>
      <c r="C41" s="14">
        <v>9709.0</v>
      </c>
      <c r="E41" s="15">
        <v>1274.0</v>
      </c>
      <c r="G41" s="15">
        <v>305.0</v>
      </c>
      <c r="I41" s="36">
        <v>11288.0</v>
      </c>
      <c r="J41" s="14">
        <v>16151.0</v>
      </c>
      <c r="L41" s="15">
        <v>3821.0</v>
      </c>
      <c r="N41" s="15">
        <v>5390.0</v>
      </c>
      <c r="O41" s="15"/>
      <c r="P41" s="36">
        <v>25362.0</v>
      </c>
      <c r="Q41" s="14">
        <v>19981.0</v>
      </c>
      <c r="S41" s="15">
        <v>5088.0</v>
      </c>
      <c r="U41" s="15">
        <v>905.0</v>
      </c>
      <c r="W41" s="36">
        <v>25974.0</v>
      </c>
      <c r="X41" s="15">
        <v>12932.0</v>
      </c>
      <c r="Z41" s="15">
        <v>6412.0</v>
      </c>
      <c r="AB41" s="15">
        <v>4666.0</v>
      </c>
      <c r="AD41" s="36">
        <v>24010.0</v>
      </c>
      <c r="AE41" s="37">
        <v>17274.0</v>
      </c>
      <c r="AF41" s="37">
        <v>18333.0</v>
      </c>
      <c r="AG41" s="14">
        <v>7695.0</v>
      </c>
      <c r="AI41" s="15">
        <v>2790.0</v>
      </c>
      <c r="AK41" s="15">
        <v>10485.0</v>
      </c>
      <c r="AL41" s="14">
        <v>4239.0</v>
      </c>
      <c r="AN41" s="15">
        <v>2677.0</v>
      </c>
      <c r="AP41" s="15">
        <v>1758.0</v>
      </c>
      <c r="AR41" s="15">
        <v>1788.0</v>
      </c>
      <c r="AT41" s="36">
        <v>10462.0</v>
      </c>
      <c r="AU41" s="14">
        <v>9600.0</v>
      </c>
      <c r="AW41" s="15">
        <v>5831.0</v>
      </c>
      <c r="AY41" s="15">
        <v>6451.0</v>
      </c>
      <c r="BA41" s="15">
        <v>3451.0</v>
      </c>
      <c r="BC41" s="36">
        <v>25333.0</v>
      </c>
      <c r="BD41" s="15">
        <v>7271.0</v>
      </c>
      <c r="BF41" s="15">
        <v>2256.0</v>
      </c>
      <c r="BH41" s="15">
        <v>9527.0</v>
      </c>
    </row>
    <row r="42" ht="15.75" customHeight="1">
      <c r="A42" s="6" t="s">
        <v>60</v>
      </c>
      <c r="B42" s="30" t="s">
        <v>201</v>
      </c>
      <c r="C42" s="14">
        <v>1076.0</v>
      </c>
      <c r="E42" s="15">
        <v>52.0</v>
      </c>
      <c r="G42" s="15">
        <v>15.0</v>
      </c>
      <c r="I42" s="36">
        <v>1143.0</v>
      </c>
      <c r="J42" s="14">
        <v>1558.0</v>
      </c>
      <c r="L42" s="15">
        <v>323.0</v>
      </c>
      <c r="N42" s="15">
        <v>175.0</v>
      </c>
      <c r="O42" s="15"/>
      <c r="P42" s="36">
        <v>2056.0</v>
      </c>
      <c r="Q42" s="14">
        <v>1435.0</v>
      </c>
      <c r="S42" s="15">
        <v>559.0</v>
      </c>
      <c r="U42" s="15">
        <v>79.0</v>
      </c>
      <c r="W42" s="36">
        <v>2073.0</v>
      </c>
      <c r="X42" s="15">
        <v>1084.0</v>
      </c>
      <c r="Z42" s="15">
        <v>555.0</v>
      </c>
      <c r="AB42" s="15">
        <v>337.0</v>
      </c>
      <c r="AD42" s="36">
        <v>1976.0</v>
      </c>
      <c r="AE42" s="37">
        <v>1593.0</v>
      </c>
      <c r="AF42" s="37">
        <v>1648.0</v>
      </c>
      <c r="AG42" s="14">
        <v>753.0</v>
      </c>
      <c r="AI42" s="15">
        <v>227.0</v>
      </c>
      <c r="AK42" s="15">
        <v>980.0</v>
      </c>
      <c r="AL42" s="14">
        <v>344.0</v>
      </c>
      <c r="AN42" s="15">
        <v>344.0</v>
      </c>
      <c r="AP42" s="15">
        <v>200.0</v>
      </c>
      <c r="AR42" s="15">
        <v>167.0</v>
      </c>
      <c r="AT42" s="36">
        <v>1055.0</v>
      </c>
      <c r="AU42" s="14">
        <v>933.0</v>
      </c>
      <c r="AW42" s="15">
        <v>249.0</v>
      </c>
      <c r="AY42" s="15">
        <v>396.0</v>
      </c>
      <c r="BA42" s="15">
        <v>218.0</v>
      </c>
      <c r="BC42" s="36">
        <v>1796.0</v>
      </c>
      <c r="BD42" s="15">
        <v>570.0</v>
      </c>
      <c r="BF42" s="15">
        <v>136.0</v>
      </c>
      <c r="BH42" s="15">
        <v>706.0</v>
      </c>
    </row>
    <row r="43" ht="15.75" customHeight="1">
      <c r="A43" s="6" t="s">
        <v>52</v>
      </c>
      <c r="B43" s="30" t="s">
        <v>190</v>
      </c>
      <c r="C43" s="14">
        <v>1103.0</v>
      </c>
      <c r="E43" s="15">
        <v>77.0</v>
      </c>
      <c r="G43" s="15">
        <v>23.0</v>
      </c>
      <c r="I43" s="36">
        <v>1203.0</v>
      </c>
      <c r="J43" s="14">
        <v>1936.0</v>
      </c>
      <c r="L43" s="15">
        <v>666.0</v>
      </c>
      <c r="N43" s="15">
        <v>121.0</v>
      </c>
      <c r="O43" s="15"/>
      <c r="P43" s="36">
        <v>2723.0</v>
      </c>
      <c r="Q43" s="14">
        <v>1963.0</v>
      </c>
      <c r="S43" s="15">
        <v>606.0</v>
      </c>
      <c r="U43" s="15">
        <v>173.0</v>
      </c>
      <c r="W43" s="36">
        <v>2742.0</v>
      </c>
      <c r="X43" s="15">
        <v>1403.0</v>
      </c>
      <c r="Z43" s="15">
        <v>611.0</v>
      </c>
      <c r="AB43" s="15">
        <v>516.0</v>
      </c>
      <c r="AD43" s="36">
        <v>2530.0</v>
      </c>
      <c r="AE43" s="37">
        <v>2685.0</v>
      </c>
      <c r="AF43" s="37">
        <v>2796.0</v>
      </c>
      <c r="AG43" s="14">
        <v>622.0</v>
      </c>
      <c r="AI43" s="15">
        <v>566.0</v>
      </c>
      <c r="AK43" s="15">
        <v>1188.0</v>
      </c>
      <c r="AL43" s="14">
        <v>592.0</v>
      </c>
      <c r="AN43" s="15">
        <v>256.0</v>
      </c>
      <c r="AP43" s="15">
        <v>187.0</v>
      </c>
      <c r="AR43" s="15">
        <v>139.0</v>
      </c>
      <c r="AT43" s="36">
        <v>1174.0</v>
      </c>
      <c r="AU43" s="14">
        <v>1206.0</v>
      </c>
      <c r="AW43" s="15">
        <v>399.0</v>
      </c>
      <c r="AY43" s="15">
        <v>533.0</v>
      </c>
      <c r="BA43" s="15">
        <v>261.0</v>
      </c>
      <c r="BC43" s="36">
        <v>2399.0</v>
      </c>
      <c r="BD43" s="15">
        <v>1933.0</v>
      </c>
      <c r="BF43" s="15">
        <v>442.0</v>
      </c>
      <c r="BH43" s="15">
        <v>2375.0</v>
      </c>
    </row>
    <row r="44" ht="15.75" customHeight="1">
      <c r="A44" s="6" t="s">
        <v>55</v>
      </c>
      <c r="B44" s="30" t="s">
        <v>184</v>
      </c>
      <c r="C44" s="14">
        <v>1545.0</v>
      </c>
      <c r="E44" s="15">
        <v>162.0</v>
      </c>
      <c r="G44" s="15">
        <v>39.0</v>
      </c>
      <c r="I44" s="36">
        <v>1746.0</v>
      </c>
      <c r="J44" s="14">
        <v>2256.0</v>
      </c>
      <c r="L44" s="15">
        <v>432.0</v>
      </c>
      <c r="N44" s="15">
        <v>381.0</v>
      </c>
      <c r="O44" s="15"/>
      <c r="P44" s="36">
        <v>3069.0</v>
      </c>
      <c r="Q44" s="14">
        <v>1677.0</v>
      </c>
      <c r="S44" s="15">
        <v>1298.0</v>
      </c>
      <c r="U44" s="15">
        <v>194.0</v>
      </c>
      <c r="W44" s="36">
        <v>3169.0</v>
      </c>
      <c r="X44" s="15">
        <v>955.0</v>
      </c>
      <c r="Z44" s="15">
        <v>742.0</v>
      </c>
      <c r="AB44" s="15">
        <v>1010.0</v>
      </c>
      <c r="AD44" s="36">
        <v>2707.0</v>
      </c>
      <c r="AE44" s="37">
        <v>3070.0</v>
      </c>
      <c r="AF44" s="37">
        <v>2932.0</v>
      </c>
      <c r="AG44" s="14">
        <v>651.0</v>
      </c>
      <c r="AI44" s="15">
        <v>386.0</v>
      </c>
      <c r="AK44" s="15">
        <v>1037.0</v>
      </c>
      <c r="AL44" s="14">
        <v>797.0</v>
      </c>
      <c r="AN44" s="15">
        <v>394.0</v>
      </c>
      <c r="AP44" s="15">
        <v>368.0</v>
      </c>
      <c r="AR44" s="15">
        <v>439.0</v>
      </c>
      <c r="AT44" s="36">
        <v>1998.0</v>
      </c>
      <c r="AU44" s="14">
        <v>1153.0</v>
      </c>
      <c r="AW44" s="15">
        <v>662.0</v>
      </c>
      <c r="AY44" s="15">
        <v>555.0</v>
      </c>
      <c r="BA44" s="15">
        <v>425.0</v>
      </c>
      <c r="BC44" s="36">
        <v>2795.0</v>
      </c>
      <c r="BD44" s="15">
        <v>1309.0</v>
      </c>
      <c r="BF44" s="15">
        <v>660.0</v>
      </c>
      <c r="BH44" s="15">
        <v>1969.0</v>
      </c>
    </row>
    <row r="45" ht="15.75" customHeight="1">
      <c r="A45" s="6" t="s">
        <v>53</v>
      </c>
      <c r="B45" s="30" t="s">
        <v>137</v>
      </c>
      <c r="C45" s="14">
        <v>3211.0</v>
      </c>
      <c r="E45" s="15">
        <v>413.0</v>
      </c>
      <c r="G45" s="15">
        <v>67.0</v>
      </c>
      <c r="I45" s="36">
        <v>3691.0</v>
      </c>
      <c r="J45" s="14">
        <v>4200.0</v>
      </c>
      <c r="L45" s="15">
        <v>983.0</v>
      </c>
      <c r="N45" s="15">
        <v>1281.0</v>
      </c>
      <c r="O45" s="15"/>
      <c r="P45" s="36">
        <v>6464.0</v>
      </c>
      <c r="Q45" s="14">
        <v>4751.0</v>
      </c>
      <c r="S45" s="15">
        <v>1505.0</v>
      </c>
      <c r="U45" s="15">
        <v>344.0</v>
      </c>
      <c r="W45" s="36">
        <v>6600.0</v>
      </c>
      <c r="X45" s="15">
        <v>2899.0</v>
      </c>
      <c r="Z45" s="15">
        <v>2228.0</v>
      </c>
      <c r="AB45" s="15">
        <v>1047.0</v>
      </c>
      <c r="AD45" s="36">
        <v>6174.0</v>
      </c>
      <c r="AE45" s="37">
        <v>5978.0</v>
      </c>
      <c r="AF45" s="37">
        <v>6410.0</v>
      </c>
      <c r="AG45" s="14">
        <v>2067.0</v>
      </c>
      <c r="AI45" s="15">
        <v>1010.0</v>
      </c>
      <c r="AK45" s="15">
        <v>3077.0</v>
      </c>
      <c r="AL45" s="14">
        <v>1297.0</v>
      </c>
      <c r="AN45" s="15">
        <v>764.0</v>
      </c>
      <c r="AP45" s="15">
        <v>424.0</v>
      </c>
      <c r="AR45" s="15">
        <v>477.0</v>
      </c>
      <c r="AT45" s="36">
        <v>2962.0</v>
      </c>
      <c r="AU45" s="14">
        <v>2651.0</v>
      </c>
      <c r="AW45" s="15">
        <v>1094.0</v>
      </c>
      <c r="AY45" s="15">
        <v>1468.0</v>
      </c>
      <c r="BA45" s="15">
        <v>625.0</v>
      </c>
      <c r="BC45" s="36">
        <v>5838.0</v>
      </c>
      <c r="BD45" s="15">
        <v>2956.0</v>
      </c>
      <c r="BF45" s="15">
        <v>1117.0</v>
      </c>
      <c r="BH45" s="15">
        <v>4073.0</v>
      </c>
    </row>
    <row r="46" ht="15.75" customHeight="1">
      <c r="A46" s="6" t="s">
        <v>62</v>
      </c>
      <c r="B46" s="30" t="s">
        <v>191</v>
      </c>
      <c r="C46" s="14">
        <v>1416.0</v>
      </c>
      <c r="E46" s="15">
        <v>67.0</v>
      </c>
      <c r="G46" s="15">
        <v>25.0</v>
      </c>
      <c r="I46" s="36">
        <v>1508.0</v>
      </c>
      <c r="J46" s="14">
        <v>2033.0</v>
      </c>
      <c r="L46" s="15">
        <v>696.0</v>
      </c>
      <c r="N46" s="15">
        <v>315.0</v>
      </c>
      <c r="O46" s="15"/>
      <c r="P46" s="36">
        <v>3044.0</v>
      </c>
      <c r="Q46" s="14">
        <v>2144.0</v>
      </c>
      <c r="S46" s="15">
        <v>844.0</v>
      </c>
      <c r="U46" s="15">
        <v>100.0</v>
      </c>
      <c r="W46" s="36">
        <v>3088.0</v>
      </c>
      <c r="X46" s="15">
        <v>1249.0</v>
      </c>
      <c r="Z46" s="15">
        <v>832.0</v>
      </c>
      <c r="AB46" s="15">
        <v>693.0</v>
      </c>
      <c r="AD46" s="36">
        <v>2774.0</v>
      </c>
      <c r="AE46" s="37">
        <v>1497.0</v>
      </c>
      <c r="AF46" s="37">
        <v>1538.0</v>
      </c>
      <c r="AG46" s="14">
        <v>922.0</v>
      </c>
      <c r="AI46" s="15">
        <v>529.0</v>
      </c>
      <c r="AK46" s="15">
        <v>1451.0</v>
      </c>
      <c r="AL46" s="14">
        <v>467.0</v>
      </c>
      <c r="AN46" s="15">
        <v>307.0</v>
      </c>
      <c r="AP46" s="15">
        <v>127.0</v>
      </c>
      <c r="AR46" s="15">
        <v>207.0</v>
      </c>
      <c r="AT46" s="36">
        <v>1108.0</v>
      </c>
      <c r="AU46" s="14">
        <v>1534.0</v>
      </c>
      <c r="AW46" s="15">
        <v>546.0</v>
      </c>
      <c r="AY46" s="15">
        <v>703.0</v>
      </c>
      <c r="BA46" s="15">
        <v>378.0</v>
      </c>
      <c r="BC46" s="36">
        <v>3161.0</v>
      </c>
      <c r="BD46" s="15">
        <v>549.0</v>
      </c>
      <c r="BF46" s="15">
        <v>265.0</v>
      </c>
      <c r="BH46" s="15">
        <v>814.0</v>
      </c>
    </row>
    <row r="47" ht="15.75" customHeight="1">
      <c r="A47" s="6" t="s">
        <v>53</v>
      </c>
      <c r="B47" s="30" t="s">
        <v>15</v>
      </c>
      <c r="C47" s="14">
        <v>7048.0</v>
      </c>
      <c r="E47" s="15">
        <v>4993.0</v>
      </c>
      <c r="G47" s="15">
        <v>554.0</v>
      </c>
      <c r="I47" s="36">
        <v>12595.0</v>
      </c>
      <c r="J47" s="14">
        <v>14888.0</v>
      </c>
      <c r="L47" s="15">
        <v>5416.0</v>
      </c>
      <c r="N47" s="15">
        <v>9091.0</v>
      </c>
      <c r="O47" s="15"/>
      <c r="P47" s="36">
        <v>29395.0</v>
      </c>
      <c r="Q47" s="14">
        <v>24979.0</v>
      </c>
      <c r="S47" s="15">
        <v>4456.0</v>
      </c>
      <c r="U47" s="15">
        <v>1250.0</v>
      </c>
      <c r="W47" s="36">
        <v>30685.0</v>
      </c>
      <c r="X47" s="15">
        <v>11332.0</v>
      </c>
      <c r="Z47" s="15">
        <v>8883.0</v>
      </c>
      <c r="AB47" s="15">
        <v>6921.0</v>
      </c>
      <c r="AD47" s="36">
        <v>27136.0</v>
      </c>
      <c r="AE47" s="37">
        <v>17425.0</v>
      </c>
      <c r="AF47" s="37">
        <v>18923.0</v>
      </c>
      <c r="AG47" s="14">
        <v>10322.0</v>
      </c>
      <c r="AI47" s="15">
        <v>6176.0</v>
      </c>
      <c r="AK47" s="15">
        <v>16498.0</v>
      </c>
      <c r="AL47" s="14">
        <v>5937.0</v>
      </c>
      <c r="AN47" s="15">
        <v>2858.0</v>
      </c>
      <c r="AP47" s="15">
        <v>3117.0</v>
      </c>
      <c r="AR47" s="15">
        <v>3173.0</v>
      </c>
      <c r="AT47" s="36">
        <v>15085.0</v>
      </c>
      <c r="AU47" s="14">
        <v>11179.0</v>
      </c>
      <c r="AW47" s="15">
        <v>18304.0</v>
      </c>
      <c r="AY47" s="15">
        <v>6831.0</v>
      </c>
      <c r="BA47" s="15">
        <v>8136.0</v>
      </c>
      <c r="BC47" s="36">
        <v>44450.0</v>
      </c>
      <c r="BD47" s="15">
        <v>9189.0</v>
      </c>
      <c r="BF47" s="15">
        <v>1887.0</v>
      </c>
      <c r="BH47" s="15">
        <v>11076.0</v>
      </c>
    </row>
    <row r="48" ht="15.75" customHeight="1">
      <c r="A48" s="6" t="s">
        <v>60</v>
      </c>
      <c r="B48" s="30" t="s">
        <v>176</v>
      </c>
      <c r="C48" s="14">
        <v>1531.0</v>
      </c>
      <c r="E48" s="15">
        <v>58.0</v>
      </c>
      <c r="G48" s="15">
        <v>17.0</v>
      </c>
      <c r="I48" s="36">
        <v>1606.0</v>
      </c>
      <c r="J48" s="14">
        <v>2596.0</v>
      </c>
      <c r="L48" s="15">
        <v>614.0</v>
      </c>
      <c r="N48" s="15">
        <v>180.0</v>
      </c>
      <c r="O48" s="15"/>
      <c r="P48" s="36">
        <v>3390.0</v>
      </c>
      <c r="Q48" s="14">
        <v>2411.0</v>
      </c>
      <c r="S48" s="15">
        <v>748.0</v>
      </c>
      <c r="U48" s="15">
        <v>262.0</v>
      </c>
      <c r="W48" s="36">
        <v>3421.0</v>
      </c>
      <c r="X48" s="15">
        <v>1888.0</v>
      </c>
      <c r="Z48" s="15">
        <v>952.0</v>
      </c>
      <c r="AB48" s="15">
        <v>346.0</v>
      </c>
      <c r="AD48" s="36">
        <v>3186.0</v>
      </c>
      <c r="AE48" s="37">
        <v>3799.0</v>
      </c>
      <c r="AF48" s="37">
        <v>3814.0</v>
      </c>
      <c r="AG48" s="14">
        <v>1223.0</v>
      </c>
      <c r="AI48" s="15">
        <v>375.0</v>
      </c>
      <c r="AK48" s="15">
        <v>1598.0</v>
      </c>
      <c r="AL48" s="14">
        <v>506.0</v>
      </c>
      <c r="AN48" s="15">
        <v>659.0</v>
      </c>
      <c r="AP48" s="15">
        <v>262.0</v>
      </c>
      <c r="AR48" s="15">
        <v>192.0</v>
      </c>
      <c r="AT48" s="36">
        <v>1619.0</v>
      </c>
      <c r="AU48" s="14">
        <v>1360.0</v>
      </c>
      <c r="AW48" s="15">
        <v>486.0</v>
      </c>
      <c r="AY48" s="15">
        <v>504.0</v>
      </c>
      <c r="BA48" s="15">
        <v>346.0</v>
      </c>
      <c r="BC48" s="36">
        <v>2696.0</v>
      </c>
      <c r="BD48" s="15">
        <v>1469.0</v>
      </c>
      <c r="BF48" s="15">
        <v>338.0</v>
      </c>
      <c r="BH48" s="15">
        <v>1807.0</v>
      </c>
    </row>
    <row r="49" ht="15.75" customHeight="1">
      <c r="A49" s="6" t="s">
        <v>60</v>
      </c>
      <c r="B49" s="30" t="s">
        <v>232</v>
      </c>
      <c r="C49" s="14">
        <v>559.0</v>
      </c>
      <c r="E49" s="15">
        <v>36.0</v>
      </c>
      <c r="G49" s="15">
        <v>5.0</v>
      </c>
      <c r="I49" s="36">
        <v>600.0</v>
      </c>
      <c r="J49" s="14">
        <v>761.0</v>
      </c>
      <c r="L49" s="15">
        <v>306.0</v>
      </c>
      <c r="N49" s="15">
        <v>47.0</v>
      </c>
      <c r="O49" s="15"/>
      <c r="P49" s="36">
        <v>1114.0</v>
      </c>
      <c r="Q49" s="14">
        <v>791.0</v>
      </c>
      <c r="S49" s="15">
        <v>263.0</v>
      </c>
      <c r="U49" s="15">
        <v>67.0</v>
      </c>
      <c r="W49" s="36">
        <v>1121.0</v>
      </c>
      <c r="X49" s="15">
        <v>633.0</v>
      </c>
      <c r="Z49" s="15">
        <v>250.0</v>
      </c>
      <c r="AB49" s="15">
        <v>158.0</v>
      </c>
      <c r="AD49" s="36">
        <v>1041.0</v>
      </c>
      <c r="AE49" s="37">
        <v>551.0</v>
      </c>
      <c r="AF49" s="37">
        <v>582.0</v>
      </c>
      <c r="AG49" s="14">
        <v>399.0</v>
      </c>
      <c r="AI49" s="15">
        <v>177.0</v>
      </c>
      <c r="AK49" s="15">
        <v>576.0</v>
      </c>
      <c r="AL49" s="14">
        <v>210.0</v>
      </c>
      <c r="AN49" s="15">
        <v>242.0</v>
      </c>
      <c r="AP49" s="15">
        <v>39.0</v>
      </c>
      <c r="AR49" s="15">
        <v>54.0</v>
      </c>
      <c r="AT49" s="36">
        <v>545.0</v>
      </c>
      <c r="AU49" s="14">
        <v>585.0</v>
      </c>
      <c r="AW49" s="15">
        <v>157.0</v>
      </c>
      <c r="AY49" s="15">
        <v>200.0</v>
      </c>
      <c r="BA49" s="15">
        <v>111.0</v>
      </c>
      <c r="BC49" s="36">
        <v>1053.0</v>
      </c>
      <c r="BD49" s="15">
        <v>140.0</v>
      </c>
      <c r="BF49" s="15">
        <v>16.0</v>
      </c>
      <c r="BH49" s="15">
        <v>156.0</v>
      </c>
    </row>
    <row r="50" ht="15.75" customHeight="1">
      <c r="A50" s="6" t="s">
        <v>52</v>
      </c>
      <c r="B50" s="30" t="s">
        <v>165</v>
      </c>
      <c r="C50" s="14">
        <v>1890.0</v>
      </c>
      <c r="E50" s="15">
        <v>178.0</v>
      </c>
      <c r="G50" s="15">
        <v>62.0</v>
      </c>
      <c r="I50" s="36">
        <v>2130.0</v>
      </c>
      <c r="J50" s="14">
        <v>3172.0</v>
      </c>
      <c r="L50" s="15">
        <v>561.0</v>
      </c>
      <c r="N50" s="15">
        <v>431.0</v>
      </c>
      <c r="O50" s="15"/>
      <c r="P50" s="36">
        <v>4164.0</v>
      </c>
      <c r="Q50" s="14">
        <v>3155.0</v>
      </c>
      <c r="S50" s="15">
        <v>906.0</v>
      </c>
      <c r="U50" s="15">
        <v>157.0</v>
      </c>
      <c r="W50" s="36">
        <v>4218.0</v>
      </c>
      <c r="X50" s="15">
        <v>2180.0</v>
      </c>
      <c r="Z50" s="15">
        <v>992.0</v>
      </c>
      <c r="AB50" s="15">
        <v>763.0</v>
      </c>
      <c r="AD50" s="36">
        <v>3935.0</v>
      </c>
      <c r="AE50" s="37">
        <v>3571.0</v>
      </c>
      <c r="AF50" s="37">
        <v>3563.0</v>
      </c>
      <c r="AG50" s="14">
        <v>1413.0</v>
      </c>
      <c r="AI50" s="15">
        <v>1155.0</v>
      </c>
      <c r="AK50" s="15">
        <v>2568.0</v>
      </c>
      <c r="AL50" s="14">
        <v>1457.0</v>
      </c>
      <c r="AN50" s="15">
        <v>360.0</v>
      </c>
      <c r="AP50" s="15">
        <v>619.0</v>
      </c>
      <c r="AR50" s="15">
        <v>310.0</v>
      </c>
      <c r="AT50" s="36">
        <v>2746.0</v>
      </c>
      <c r="AU50" s="14">
        <v>3080.0</v>
      </c>
      <c r="AW50" s="15">
        <v>1149.0</v>
      </c>
      <c r="AY50" s="15">
        <v>1398.0</v>
      </c>
      <c r="BA50" s="15">
        <v>952.0</v>
      </c>
      <c r="BC50" s="36">
        <v>6579.0</v>
      </c>
      <c r="BD50" s="15">
        <v>866.0</v>
      </c>
      <c r="BF50" s="15">
        <v>228.0</v>
      </c>
      <c r="BH50" s="15">
        <v>1094.0</v>
      </c>
    </row>
    <row r="51" ht="15.75" customHeight="1">
      <c r="A51" s="6" t="s">
        <v>53</v>
      </c>
      <c r="B51" s="30" t="s">
        <v>116</v>
      </c>
      <c r="C51" s="14">
        <v>4681.0</v>
      </c>
      <c r="E51" s="15">
        <v>546.0</v>
      </c>
      <c r="G51" s="15">
        <v>139.0</v>
      </c>
      <c r="I51" s="36">
        <v>5366.0</v>
      </c>
      <c r="J51" s="14">
        <v>7285.0</v>
      </c>
      <c r="L51" s="15">
        <v>1149.0</v>
      </c>
      <c r="N51" s="15">
        <v>2444.0</v>
      </c>
      <c r="O51" s="15"/>
      <c r="P51" s="36">
        <v>10878.0</v>
      </c>
      <c r="Q51" s="14">
        <v>8684.0</v>
      </c>
      <c r="S51" s="15">
        <v>2045.0</v>
      </c>
      <c r="U51" s="15">
        <v>362.0</v>
      </c>
      <c r="W51" s="36">
        <v>11091.0</v>
      </c>
      <c r="X51" s="15">
        <v>4842.0</v>
      </c>
      <c r="Z51" s="15">
        <v>3873.0</v>
      </c>
      <c r="AB51" s="15">
        <v>1830.0</v>
      </c>
      <c r="AD51" s="36">
        <v>10545.0</v>
      </c>
      <c r="AE51" s="37">
        <v>8079.0</v>
      </c>
      <c r="AF51" s="37">
        <v>8440.0</v>
      </c>
      <c r="AG51" s="14">
        <v>4771.0</v>
      </c>
      <c r="AI51" s="15">
        <v>1749.0</v>
      </c>
      <c r="AK51" s="15">
        <v>6520.0</v>
      </c>
      <c r="AL51" s="14">
        <v>2580.0</v>
      </c>
      <c r="AN51" s="15">
        <v>1648.0</v>
      </c>
      <c r="AP51" s="15">
        <v>907.0</v>
      </c>
      <c r="AR51" s="15">
        <v>958.0</v>
      </c>
      <c r="AT51" s="36">
        <v>6093.0</v>
      </c>
      <c r="AU51" s="14">
        <v>6987.0</v>
      </c>
      <c r="AW51" s="15">
        <v>3404.0</v>
      </c>
      <c r="AY51" s="15">
        <v>4092.0</v>
      </c>
      <c r="BA51" s="15">
        <v>1839.0</v>
      </c>
      <c r="BC51" s="36">
        <v>16322.0</v>
      </c>
      <c r="BD51" s="15">
        <v>7446.0</v>
      </c>
      <c r="BF51" s="15">
        <v>1835.0</v>
      </c>
      <c r="BH51" s="15">
        <v>9281.0</v>
      </c>
    </row>
    <row r="52" ht="15.75" customHeight="1">
      <c r="A52" s="6" t="s">
        <v>57</v>
      </c>
      <c r="B52" s="30" t="s">
        <v>213</v>
      </c>
      <c r="C52" s="14">
        <v>668.0</v>
      </c>
      <c r="E52" s="15">
        <v>39.0</v>
      </c>
      <c r="G52" s="15">
        <v>13.0</v>
      </c>
      <c r="I52" s="36">
        <v>720.0</v>
      </c>
      <c r="J52" s="14">
        <v>888.0</v>
      </c>
      <c r="L52" s="15">
        <v>341.0</v>
      </c>
      <c r="N52" s="15">
        <v>192.0</v>
      </c>
      <c r="O52" s="15"/>
      <c r="P52" s="36">
        <v>1421.0</v>
      </c>
      <c r="Q52" s="14">
        <v>1133.0</v>
      </c>
      <c r="S52" s="15">
        <v>258.0</v>
      </c>
      <c r="U52" s="15">
        <v>41.0</v>
      </c>
      <c r="W52" s="36">
        <v>1432.0</v>
      </c>
      <c r="X52" s="15">
        <v>741.0</v>
      </c>
      <c r="Z52" s="15">
        <v>276.0</v>
      </c>
      <c r="AB52" s="15">
        <v>299.0</v>
      </c>
      <c r="AD52" s="36">
        <v>1316.0</v>
      </c>
      <c r="AE52" s="37">
        <v>1241.0</v>
      </c>
      <c r="AF52" s="37">
        <v>1417.0</v>
      </c>
      <c r="AG52" s="14">
        <v>477.0</v>
      </c>
      <c r="AI52" s="15">
        <v>349.0</v>
      </c>
      <c r="AK52" s="15">
        <v>826.0</v>
      </c>
      <c r="AL52" s="14">
        <v>391.0</v>
      </c>
      <c r="AN52" s="15">
        <v>305.0</v>
      </c>
      <c r="AP52" s="15">
        <v>87.0</v>
      </c>
      <c r="AR52" s="15">
        <v>156.0</v>
      </c>
      <c r="AT52" s="36">
        <v>939.0</v>
      </c>
      <c r="AU52" s="14">
        <v>760.0</v>
      </c>
      <c r="AW52" s="15">
        <v>223.0</v>
      </c>
      <c r="AY52" s="15">
        <v>225.0</v>
      </c>
      <c r="BA52" s="15">
        <v>146.0</v>
      </c>
      <c r="BC52" s="36">
        <v>1354.0</v>
      </c>
      <c r="BD52" s="15">
        <v>754.0</v>
      </c>
      <c r="BF52" s="15">
        <v>125.0</v>
      </c>
      <c r="BH52" s="15">
        <v>879.0</v>
      </c>
    </row>
    <row r="53" ht="15.75" customHeight="1">
      <c r="A53" s="6" t="s">
        <v>62</v>
      </c>
      <c r="B53" s="30" t="s">
        <v>237</v>
      </c>
      <c r="C53" s="14">
        <v>350.0</v>
      </c>
      <c r="E53" s="15">
        <v>7.0</v>
      </c>
      <c r="G53" s="15">
        <v>6.0</v>
      </c>
      <c r="I53" s="36">
        <v>363.0</v>
      </c>
      <c r="J53" s="14">
        <v>310.0</v>
      </c>
      <c r="L53" s="15">
        <v>231.0</v>
      </c>
      <c r="N53" s="15">
        <v>22.0</v>
      </c>
      <c r="O53" s="15"/>
      <c r="P53" s="36">
        <v>563.0</v>
      </c>
      <c r="Q53" s="14">
        <v>348.0</v>
      </c>
      <c r="S53" s="15">
        <v>190.0</v>
      </c>
      <c r="U53" s="15">
        <v>29.0</v>
      </c>
      <c r="W53" s="36">
        <v>567.0</v>
      </c>
      <c r="X53" s="15">
        <v>224.0</v>
      </c>
      <c r="Z53" s="15">
        <v>140.0</v>
      </c>
      <c r="AB53" s="15">
        <v>149.0</v>
      </c>
      <c r="AD53" s="36">
        <v>513.0</v>
      </c>
      <c r="AE53" s="37">
        <v>772.0</v>
      </c>
      <c r="AF53" s="37">
        <v>777.0</v>
      </c>
      <c r="AG53" s="14">
        <v>190.0</v>
      </c>
      <c r="AI53" s="15">
        <v>60.0</v>
      </c>
      <c r="AK53" s="15">
        <v>250.0</v>
      </c>
      <c r="AL53" s="14">
        <v>138.0</v>
      </c>
      <c r="AN53" s="15">
        <v>136.0</v>
      </c>
      <c r="AP53" s="15">
        <v>41.0</v>
      </c>
      <c r="AR53" s="15">
        <v>51.0</v>
      </c>
      <c r="AT53" s="36">
        <v>366.0</v>
      </c>
      <c r="AU53" s="14">
        <v>268.0</v>
      </c>
      <c r="AW53" s="15">
        <v>37.0</v>
      </c>
      <c r="AY53" s="15">
        <v>110.0</v>
      </c>
      <c r="BA53" s="15">
        <v>45.0</v>
      </c>
      <c r="BC53" s="36">
        <v>460.0</v>
      </c>
      <c r="BD53" s="15">
        <v>456.0</v>
      </c>
      <c r="BF53" s="15">
        <v>215.0</v>
      </c>
      <c r="BH53" s="15">
        <v>671.0</v>
      </c>
    </row>
    <row r="54" ht="15.75" customHeight="1">
      <c r="A54" s="6" t="s">
        <v>287</v>
      </c>
      <c r="B54" s="30" t="s">
        <v>126</v>
      </c>
      <c r="C54" s="14">
        <v>4370.0</v>
      </c>
      <c r="E54" s="15">
        <v>456.0</v>
      </c>
      <c r="G54" s="15">
        <v>64.0</v>
      </c>
      <c r="I54" s="36">
        <v>4890.0</v>
      </c>
      <c r="J54" s="14">
        <v>7569.0</v>
      </c>
      <c r="L54" s="15">
        <v>1023.0</v>
      </c>
      <c r="N54" s="15">
        <v>841.0</v>
      </c>
      <c r="O54" s="15"/>
      <c r="P54" s="36">
        <v>9433.0</v>
      </c>
      <c r="Q54" s="14">
        <v>6751.0</v>
      </c>
      <c r="S54" s="15">
        <v>2404.0</v>
      </c>
      <c r="U54" s="15">
        <v>427.0</v>
      </c>
      <c r="W54" s="36">
        <v>9582.0</v>
      </c>
      <c r="X54" s="15">
        <v>3701.0</v>
      </c>
      <c r="Z54" s="15">
        <v>3343.0</v>
      </c>
      <c r="AB54" s="15">
        <v>1937.0</v>
      </c>
      <c r="AD54" s="36">
        <v>8981.0</v>
      </c>
      <c r="AE54" s="37">
        <v>8411.0</v>
      </c>
      <c r="AF54" s="37">
        <v>8494.0</v>
      </c>
      <c r="AG54" s="14">
        <v>2528.0</v>
      </c>
      <c r="AI54" s="15">
        <v>1003.0</v>
      </c>
      <c r="AK54" s="15">
        <v>3531.0</v>
      </c>
      <c r="AL54" s="14">
        <v>1356.0</v>
      </c>
      <c r="AN54" s="15">
        <v>1069.0</v>
      </c>
      <c r="AP54" s="15">
        <v>858.0</v>
      </c>
      <c r="AR54" s="15">
        <v>617.0</v>
      </c>
      <c r="AT54" s="36">
        <v>3900.0</v>
      </c>
      <c r="AU54" s="14">
        <v>3650.0</v>
      </c>
      <c r="AW54" s="15">
        <v>1490.0</v>
      </c>
      <c r="AY54" s="15">
        <v>3094.0</v>
      </c>
      <c r="BA54" s="15">
        <v>1048.0</v>
      </c>
      <c r="BC54" s="36">
        <v>9282.0</v>
      </c>
      <c r="BD54" s="15">
        <v>2617.0</v>
      </c>
      <c r="BF54" s="15">
        <v>541.0</v>
      </c>
      <c r="BH54" s="15">
        <v>3158.0</v>
      </c>
    </row>
    <row r="55" ht="15.75" customHeight="1">
      <c r="A55" s="6" t="s">
        <v>58</v>
      </c>
      <c r="B55" s="30" t="s">
        <v>180</v>
      </c>
      <c r="C55" s="14">
        <v>1722.0</v>
      </c>
      <c r="E55" s="15">
        <v>152.0</v>
      </c>
      <c r="G55" s="15">
        <v>17.0</v>
      </c>
      <c r="I55" s="36">
        <v>1891.0</v>
      </c>
      <c r="J55" s="14">
        <v>2427.0</v>
      </c>
      <c r="L55" s="15">
        <v>456.0</v>
      </c>
      <c r="N55" s="15">
        <v>256.0</v>
      </c>
      <c r="O55" s="15"/>
      <c r="P55" s="36">
        <v>3139.0</v>
      </c>
      <c r="Q55" s="14">
        <v>1961.0</v>
      </c>
      <c r="S55" s="15">
        <v>1072.0</v>
      </c>
      <c r="U55" s="15">
        <v>149.0</v>
      </c>
      <c r="W55" s="36">
        <v>3182.0</v>
      </c>
      <c r="X55" s="15">
        <v>1429.0</v>
      </c>
      <c r="Z55" s="15">
        <v>953.0</v>
      </c>
      <c r="AB55" s="15">
        <v>562.0</v>
      </c>
      <c r="AD55" s="36">
        <v>2944.0</v>
      </c>
      <c r="AE55" s="37">
        <v>2624.0</v>
      </c>
      <c r="AF55" s="37">
        <v>2703.0</v>
      </c>
      <c r="AG55" s="14">
        <v>996.0</v>
      </c>
      <c r="AI55" s="15">
        <v>355.0</v>
      </c>
      <c r="AK55" s="15">
        <v>1351.0</v>
      </c>
      <c r="AL55" s="14">
        <v>680.0</v>
      </c>
      <c r="AN55" s="15">
        <v>718.0</v>
      </c>
      <c r="AP55" s="15">
        <v>270.0</v>
      </c>
      <c r="AR55" s="15">
        <v>315.0</v>
      </c>
      <c r="AT55" s="36">
        <v>1983.0</v>
      </c>
      <c r="AU55" s="14">
        <v>1402.0</v>
      </c>
      <c r="AW55" s="15">
        <v>562.0</v>
      </c>
      <c r="AY55" s="15">
        <v>721.0</v>
      </c>
      <c r="BA55" s="15">
        <v>371.0</v>
      </c>
      <c r="BC55" s="36">
        <v>3056.0</v>
      </c>
      <c r="BD55" s="15">
        <v>1910.0</v>
      </c>
      <c r="BF55" s="15">
        <v>524.0</v>
      </c>
      <c r="BH55" s="15">
        <v>2434.0</v>
      </c>
    </row>
    <row r="56" ht="15.75" customHeight="1">
      <c r="A56" s="6" t="s">
        <v>54</v>
      </c>
      <c r="B56" s="30" t="s">
        <v>174</v>
      </c>
      <c r="C56" s="14">
        <v>1670.0</v>
      </c>
      <c r="E56" s="15">
        <v>106.0</v>
      </c>
      <c r="G56" s="15">
        <v>17.0</v>
      </c>
      <c r="I56" s="36">
        <v>1793.0</v>
      </c>
      <c r="J56" s="14">
        <v>2609.0</v>
      </c>
      <c r="L56" s="15">
        <v>484.0</v>
      </c>
      <c r="N56" s="15">
        <v>185.0</v>
      </c>
      <c r="O56" s="15"/>
      <c r="P56" s="36">
        <v>3278.0</v>
      </c>
      <c r="Q56" s="14">
        <v>2257.0</v>
      </c>
      <c r="S56" s="15">
        <v>827.0</v>
      </c>
      <c r="U56" s="15">
        <v>228.0</v>
      </c>
      <c r="W56" s="36">
        <v>3312.0</v>
      </c>
      <c r="X56" s="15">
        <v>1487.0</v>
      </c>
      <c r="Z56" s="15">
        <v>1228.0</v>
      </c>
      <c r="AB56" s="15">
        <v>397.0</v>
      </c>
      <c r="AD56" s="36">
        <v>3112.0</v>
      </c>
      <c r="AE56" s="37">
        <v>4431.0</v>
      </c>
      <c r="AF56" s="37">
        <v>4348.0</v>
      </c>
      <c r="AG56" s="14">
        <v>954.0</v>
      </c>
      <c r="AI56" s="15">
        <v>595.0</v>
      </c>
      <c r="AK56" s="15">
        <v>1549.0</v>
      </c>
      <c r="AL56" s="14">
        <v>993.0</v>
      </c>
      <c r="AN56" s="15">
        <v>419.0</v>
      </c>
      <c r="AP56" s="15">
        <v>237.0</v>
      </c>
      <c r="AR56" s="15">
        <v>265.0</v>
      </c>
      <c r="AT56" s="36">
        <v>1914.0</v>
      </c>
      <c r="AU56" s="14">
        <v>1496.0</v>
      </c>
      <c r="AW56" s="15">
        <v>463.0</v>
      </c>
      <c r="AY56" s="15">
        <v>695.0</v>
      </c>
      <c r="BA56" s="15">
        <v>323.0</v>
      </c>
      <c r="BC56" s="36">
        <v>2977.0</v>
      </c>
      <c r="BD56" s="15">
        <v>1217.0</v>
      </c>
      <c r="BF56" s="15">
        <v>260.0</v>
      </c>
      <c r="BH56" s="15">
        <v>1477.0</v>
      </c>
    </row>
    <row r="57" ht="15.75" customHeight="1">
      <c r="A57" s="6" t="s">
        <v>287</v>
      </c>
      <c r="B57" s="30" t="s">
        <v>215</v>
      </c>
      <c r="C57" s="14">
        <v>611.0</v>
      </c>
      <c r="E57" s="15">
        <v>80.0</v>
      </c>
      <c r="G57" s="15">
        <v>9.0</v>
      </c>
      <c r="I57" s="36">
        <v>700.0</v>
      </c>
      <c r="J57" s="14">
        <v>1097.0</v>
      </c>
      <c r="L57" s="15">
        <v>239.0</v>
      </c>
      <c r="N57" s="15">
        <v>79.0</v>
      </c>
      <c r="O57" s="15"/>
      <c r="P57" s="36">
        <v>1415.0</v>
      </c>
      <c r="Q57" s="14">
        <v>1099.0</v>
      </c>
      <c r="S57" s="15">
        <v>262.0</v>
      </c>
      <c r="U57" s="15">
        <v>71.0</v>
      </c>
      <c r="W57" s="36">
        <v>1432.0</v>
      </c>
      <c r="X57" s="15">
        <v>587.0</v>
      </c>
      <c r="Z57" s="15">
        <v>506.0</v>
      </c>
      <c r="AB57" s="15">
        <v>263.0</v>
      </c>
      <c r="AD57" s="36">
        <v>1356.0</v>
      </c>
      <c r="AE57" s="37">
        <v>1216.0</v>
      </c>
      <c r="AF57" s="37">
        <v>1338.0</v>
      </c>
      <c r="AG57" s="14">
        <v>419.0</v>
      </c>
      <c r="AI57" s="15">
        <v>273.0</v>
      </c>
      <c r="AK57" s="15">
        <v>692.0</v>
      </c>
      <c r="AL57" s="14">
        <v>472.0</v>
      </c>
      <c r="AN57" s="15">
        <v>262.0</v>
      </c>
      <c r="AP57" s="15">
        <v>153.0</v>
      </c>
      <c r="AR57" s="15">
        <v>158.0</v>
      </c>
      <c r="AT57" s="36">
        <v>1045.0</v>
      </c>
      <c r="AU57" s="14">
        <v>481.0</v>
      </c>
      <c r="AW57" s="15">
        <v>309.0</v>
      </c>
      <c r="AY57" s="15">
        <v>329.0</v>
      </c>
      <c r="BA57" s="15">
        <v>149.0</v>
      </c>
      <c r="BC57" s="36">
        <v>1268.0</v>
      </c>
      <c r="BD57" s="15">
        <v>778.0</v>
      </c>
      <c r="BF57" s="15">
        <v>102.0</v>
      </c>
      <c r="BH57" s="15">
        <v>880.0</v>
      </c>
    </row>
    <row r="58" ht="15.75" customHeight="1">
      <c r="A58" s="6" t="s">
        <v>53</v>
      </c>
      <c r="B58" s="30" t="s">
        <v>136</v>
      </c>
      <c r="C58" s="14">
        <v>3422.0</v>
      </c>
      <c r="E58" s="15">
        <v>283.0</v>
      </c>
      <c r="G58" s="15">
        <v>48.0</v>
      </c>
      <c r="I58" s="36">
        <v>3753.0</v>
      </c>
      <c r="J58" s="14">
        <v>4492.0</v>
      </c>
      <c r="L58" s="15">
        <v>639.0</v>
      </c>
      <c r="N58" s="15">
        <v>1029.0</v>
      </c>
      <c r="O58" s="15"/>
      <c r="P58" s="36">
        <v>6160.0</v>
      </c>
      <c r="Q58" s="14">
        <v>3918.0</v>
      </c>
      <c r="S58" s="15">
        <v>2099.0</v>
      </c>
      <c r="U58" s="15">
        <v>318.0</v>
      </c>
      <c r="W58" s="36">
        <v>6335.0</v>
      </c>
      <c r="X58" s="15">
        <v>3423.0</v>
      </c>
      <c r="Z58" s="15">
        <v>1616.0</v>
      </c>
      <c r="AB58" s="15">
        <v>855.0</v>
      </c>
      <c r="AD58" s="36">
        <v>5894.0</v>
      </c>
      <c r="AE58" s="37">
        <v>5799.0</v>
      </c>
      <c r="AF58" s="37">
        <v>6089.0</v>
      </c>
      <c r="AG58" s="14">
        <v>2168.0</v>
      </c>
      <c r="AI58" s="15">
        <v>1115.0</v>
      </c>
      <c r="AK58" s="15">
        <v>3283.0</v>
      </c>
      <c r="AL58" s="14">
        <v>1352.0</v>
      </c>
      <c r="AN58" s="15">
        <v>988.0</v>
      </c>
      <c r="AP58" s="15">
        <v>573.0</v>
      </c>
      <c r="AR58" s="15">
        <v>607.0</v>
      </c>
      <c r="AT58" s="36">
        <v>3520.0</v>
      </c>
      <c r="AU58" s="14">
        <v>3006.0</v>
      </c>
      <c r="AW58" s="15">
        <v>863.0</v>
      </c>
      <c r="AY58" s="15">
        <v>1143.0</v>
      </c>
      <c r="BA58" s="15">
        <v>638.0</v>
      </c>
      <c r="BC58" s="36">
        <v>5650.0</v>
      </c>
      <c r="BD58" s="15">
        <v>3705.0</v>
      </c>
      <c r="BF58" s="15">
        <v>1331.0</v>
      </c>
      <c r="BH58" s="15">
        <v>5036.0</v>
      </c>
    </row>
    <row r="59" ht="15.75" customHeight="1">
      <c r="A59" s="6" t="s">
        <v>53</v>
      </c>
      <c r="B59" s="30" t="s">
        <v>21</v>
      </c>
      <c r="C59" s="14">
        <v>7716.0</v>
      </c>
      <c r="E59" s="15">
        <v>1866.0</v>
      </c>
      <c r="G59" s="15">
        <v>298.0</v>
      </c>
      <c r="I59" s="36">
        <v>9880.0</v>
      </c>
      <c r="J59" s="14">
        <v>12908.0</v>
      </c>
      <c r="L59" s="15">
        <v>2828.0</v>
      </c>
      <c r="N59" s="15">
        <v>4764.0</v>
      </c>
      <c r="O59" s="15"/>
      <c r="P59" s="36">
        <v>20500.0</v>
      </c>
      <c r="Q59" s="14">
        <v>16264.0</v>
      </c>
      <c r="S59" s="15">
        <v>4013.0</v>
      </c>
      <c r="U59" s="15">
        <v>777.0</v>
      </c>
      <c r="W59" s="36">
        <v>21054.0</v>
      </c>
      <c r="X59" s="15">
        <v>10238.0</v>
      </c>
      <c r="Z59" s="15">
        <v>5258.0</v>
      </c>
      <c r="AB59" s="15">
        <v>3903.0</v>
      </c>
      <c r="AD59" s="36">
        <v>19399.0</v>
      </c>
      <c r="AE59" s="37">
        <v>14697.0</v>
      </c>
      <c r="AF59" s="37">
        <v>15875.0</v>
      </c>
      <c r="AG59" s="14">
        <v>7599.0</v>
      </c>
      <c r="AI59" s="15">
        <v>3127.0</v>
      </c>
      <c r="AK59" s="15">
        <v>10726.0</v>
      </c>
      <c r="AL59" s="14">
        <v>4151.0</v>
      </c>
      <c r="AN59" s="15">
        <v>2389.0</v>
      </c>
      <c r="AP59" s="15">
        <v>2228.0</v>
      </c>
      <c r="AR59" s="15">
        <v>1864.0</v>
      </c>
      <c r="AT59" s="36">
        <v>10632.0</v>
      </c>
      <c r="AU59" s="14">
        <v>8060.0</v>
      </c>
      <c r="AW59" s="15">
        <v>7258.0</v>
      </c>
      <c r="AY59" s="15">
        <v>5813.0</v>
      </c>
      <c r="BA59" s="15">
        <v>3531.0</v>
      </c>
      <c r="BC59" s="36">
        <v>24662.0</v>
      </c>
      <c r="BD59" s="15">
        <v>9315.0</v>
      </c>
      <c r="BF59" s="15">
        <v>3681.0</v>
      </c>
      <c r="BH59" s="15">
        <v>12996.0</v>
      </c>
    </row>
    <row r="60" ht="15.75" customHeight="1">
      <c r="A60" s="6" t="s">
        <v>53</v>
      </c>
      <c r="B60" s="30" t="s">
        <v>26</v>
      </c>
      <c r="C60" s="14">
        <v>6834.0</v>
      </c>
      <c r="E60" s="15">
        <v>736.0</v>
      </c>
      <c r="G60" s="15">
        <v>109.0</v>
      </c>
      <c r="I60" s="36">
        <v>7679.0</v>
      </c>
      <c r="J60" s="14">
        <v>9782.0</v>
      </c>
      <c r="L60" s="15">
        <v>1302.0</v>
      </c>
      <c r="N60" s="15">
        <v>2454.0</v>
      </c>
      <c r="O60" s="15"/>
      <c r="P60" s="36">
        <v>13538.0</v>
      </c>
      <c r="Q60" s="14">
        <v>10422.0</v>
      </c>
      <c r="S60" s="15">
        <v>2909.0</v>
      </c>
      <c r="U60" s="15">
        <v>544.0</v>
      </c>
      <c r="W60" s="36">
        <v>13875.0</v>
      </c>
      <c r="X60" s="15">
        <v>6805.0</v>
      </c>
      <c r="Z60" s="15">
        <v>3515.0</v>
      </c>
      <c r="AB60" s="15">
        <v>2455.0</v>
      </c>
      <c r="AD60" s="36">
        <v>12775.0</v>
      </c>
      <c r="AE60" s="37">
        <v>13227.0</v>
      </c>
      <c r="AF60" s="37">
        <v>13722.0</v>
      </c>
      <c r="AG60" s="14">
        <v>3647.0</v>
      </c>
      <c r="AI60" s="15">
        <v>1905.0</v>
      </c>
      <c r="AK60" s="15">
        <v>5552.0</v>
      </c>
      <c r="AL60" s="14">
        <v>3330.0</v>
      </c>
      <c r="AN60" s="15">
        <v>1589.0</v>
      </c>
      <c r="AP60" s="15">
        <v>1077.0</v>
      </c>
      <c r="AR60" s="15">
        <v>1124.0</v>
      </c>
      <c r="AT60" s="36">
        <v>7120.0</v>
      </c>
      <c r="AU60" s="14">
        <v>5979.0</v>
      </c>
      <c r="AW60" s="15">
        <v>3152.0</v>
      </c>
      <c r="AY60" s="15">
        <v>2874.0</v>
      </c>
      <c r="BA60" s="15">
        <v>2137.0</v>
      </c>
      <c r="BC60" s="36">
        <v>14142.0</v>
      </c>
      <c r="BD60" s="15">
        <v>5933.0</v>
      </c>
      <c r="BF60" s="15">
        <v>1584.0</v>
      </c>
      <c r="BH60" s="15">
        <v>7517.0</v>
      </c>
    </row>
    <row r="61" ht="15.75" customHeight="1">
      <c r="A61" s="6" t="s">
        <v>53</v>
      </c>
      <c r="B61" s="30" t="s">
        <v>13</v>
      </c>
      <c r="C61" s="14">
        <v>16063.0</v>
      </c>
      <c r="E61" s="15">
        <v>3155.0</v>
      </c>
      <c r="G61" s="15">
        <v>518.0</v>
      </c>
      <c r="I61" s="36">
        <v>19736.0</v>
      </c>
      <c r="J61" s="14">
        <v>25575.0</v>
      </c>
      <c r="L61" s="15">
        <v>4348.0</v>
      </c>
      <c r="N61" s="15">
        <v>9568.0</v>
      </c>
      <c r="O61" s="15"/>
      <c r="P61" s="36">
        <v>39491.0</v>
      </c>
      <c r="Q61" s="14">
        <v>30385.0</v>
      </c>
      <c r="S61" s="15">
        <v>8409.0</v>
      </c>
      <c r="U61" s="15">
        <v>1672.0</v>
      </c>
      <c r="W61" s="36">
        <v>40466.0</v>
      </c>
      <c r="X61" s="15">
        <v>18150.0</v>
      </c>
      <c r="Z61" s="15">
        <v>12841.0</v>
      </c>
      <c r="AB61" s="15">
        <v>7014.0</v>
      </c>
      <c r="AD61" s="36">
        <v>38005.0</v>
      </c>
      <c r="AE61" s="37">
        <v>28848.0</v>
      </c>
      <c r="AF61" s="37">
        <v>30884.0</v>
      </c>
      <c r="AG61" s="14">
        <v>13644.0</v>
      </c>
      <c r="AI61" s="15">
        <v>5831.0</v>
      </c>
      <c r="AK61" s="15">
        <v>19475.0</v>
      </c>
      <c r="AL61" s="14">
        <v>10692.0</v>
      </c>
      <c r="AN61" s="15">
        <v>5635.0</v>
      </c>
      <c r="AP61" s="15">
        <v>3828.0</v>
      </c>
      <c r="AR61" s="15">
        <v>5448.0</v>
      </c>
      <c r="AT61" s="36">
        <v>25603.0</v>
      </c>
      <c r="AU61" s="14">
        <v>15736.0</v>
      </c>
      <c r="AW61" s="15">
        <v>12072.0</v>
      </c>
      <c r="AY61" s="15">
        <v>9987.0</v>
      </c>
      <c r="BA61" s="15">
        <v>4523.0</v>
      </c>
      <c r="BC61" s="36">
        <v>42318.0</v>
      </c>
      <c r="BD61" s="15">
        <v>13841.0</v>
      </c>
      <c r="BF61" s="15">
        <v>4596.0</v>
      </c>
      <c r="BH61" s="15">
        <v>18437.0</v>
      </c>
    </row>
    <row r="62" ht="15.75" customHeight="1">
      <c r="A62" s="6" t="s">
        <v>58</v>
      </c>
      <c r="B62" s="30" t="s">
        <v>154</v>
      </c>
      <c r="C62" s="14">
        <v>2397.0</v>
      </c>
      <c r="E62" s="15">
        <v>171.0</v>
      </c>
      <c r="G62" s="15">
        <v>28.0</v>
      </c>
      <c r="I62" s="36">
        <v>2596.0</v>
      </c>
      <c r="J62" s="14">
        <v>3360.0</v>
      </c>
      <c r="L62" s="15">
        <v>876.0</v>
      </c>
      <c r="N62" s="15">
        <v>427.0</v>
      </c>
      <c r="O62" s="15"/>
      <c r="P62" s="36">
        <v>4663.0</v>
      </c>
      <c r="Q62" s="14">
        <v>2910.0</v>
      </c>
      <c r="S62" s="15">
        <v>1551.0</v>
      </c>
      <c r="U62" s="15">
        <v>243.0</v>
      </c>
      <c r="W62" s="36">
        <v>4704.0</v>
      </c>
      <c r="X62" s="15">
        <v>2204.0</v>
      </c>
      <c r="Z62" s="15">
        <v>1476.0</v>
      </c>
      <c r="AB62" s="15">
        <v>763.0</v>
      </c>
      <c r="AD62" s="36">
        <v>4443.0</v>
      </c>
      <c r="AE62" s="37">
        <v>5238.0</v>
      </c>
      <c r="AF62" s="37">
        <v>5284.0</v>
      </c>
      <c r="AG62" s="14">
        <v>1093.0</v>
      </c>
      <c r="AI62" s="15">
        <v>643.0</v>
      </c>
      <c r="AK62" s="15">
        <v>1736.0</v>
      </c>
      <c r="AL62" s="14">
        <v>1015.0</v>
      </c>
      <c r="AN62" s="15">
        <v>664.0</v>
      </c>
      <c r="AP62" s="15">
        <v>248.0</v>
      </c>
      <c r="AR62" s="15">
        <v>451.0</v>
      </c>
      <c r="AT62" s="36">
        <v>2378.0</v>
      </c>
      <c r="AU62" s="14">
        <v>1999.0</v>
      </c>
      <c r="AW62" s="15">
        <v>738.0</v>
      </c>
      <c r="AY62" s="15">
        <v>1097.0</v>
      </c>
      <c r="BA62" s="15">
        <v>516.0</v>
      </c>
      <c r="BC62" s="36">
        <v>4350.0</v>
      </c>
      <c r="BD62" s="15">
        <v>2304.0</v>
      </c>
      <c r="BF62" s="15">
        <v>852.0</v>
      </c>
      <c r="BH62" s="15">
        <v>3156.0</v>
      </c>
    </row>
    <row r="63" ht="15.75" customHeight="1">
      <c r="A63" s="6" t="s">
        <v>53</v>
      </c>
      <c r="B63" s="30" t="s">
        <v>11</v>
      </c>
      <c r="C63" s="14">
        <v>16152.0</v>
      </c>
      <c r="E63" s="15">
        <v>10286.0</v>
      </c>
      <c r="G63" s="15">
        <v>962.0</v>
      </c>
      <c r="I63" s="36">
        <v>27400.0</v>
      </c>
      <c r="J63" s="14">
        <v>38140.0</v>
      </c>
      <c r="L63" s="15">
        <v>8855.0</v>
      </c>
      <c r="N63" s="15">
        <v>20080.0</v>
      </c>
      <c r="O63" s="15"/>
      <c r="P63" s="36">
        <v>67075.0</v>
      </c>
      <c r="Q63" s="14">
        <v>56136.0</v>
      </c>
      <c r="S63" s="15">
        <v>11479.0</v>
      </c>
      <c r="U63" s="15">
        <v>2181.0</v>
      </c>
      <c r="W63" s="36">
        <v>69796.0</v>
      </c>
      <c r="X63" s="15">
        <v>29028.0</v>
      </c>
      <c r="Z63" s="15">
        <v>18958.0</v>
      </c>
      <c r="AB63" s="15">
        <v>13851.0</v>
      </c>
      <c r="AD63" s="36">
        <v>61837.0</v>
      </c>
      <c r="AE63" s="37">
        <v>33861.0</v>
      </c>
      <c r="AF63" s="37">
        <v>37579.0</v>
      </c>
      <c r="AG63" s="14">
        <v>22083.0</v>
      </c>
      <c r="AI63" s="15">
        <v>12998.0</v>
      </c>
      <c r="AK63" s="15">
        <v>35081.0</v>
      </c>
      <c r="AL63" s="14">
        <v>12428.0</v>
      </c>
      <c r="AN63" s="15">
        <v>6112.0</v>
      </c>
      <c r="AP63" s="15">
        <v>9971.0</v>
      </c>
      <c r="AR63" s="15">
        <v>6644.0</v>
      </c>
      <c r="AT63" s="36">
        <v>35155.0</v>
      </c>
      <c r="AU63" s="14">
        <v>22521.0</v>
      </c>
      <c r="AW63" s="15">
        <v>35325.0</v>
      </c>
      <c r="AY63" s="15">
        <v>12337.0</v>
      </c>
      <c r="BA63" s="15">
        <v>14611.0</v>
      </c>
      <c r="BC63" s="36">
        <v>84794.0</v>
      </c>
      <c r="BD63" s="15">
        <v>16162.0</v>
      </c>
      <c r="BF63" s="15">
        <v>3303.0</v>
      </c>
      <c r="BH63" s="15">
        <v>19465.0</v>
      </c>
    </row>
    <row r="64" ht="15.75" customHeight="1">
      <c r="A64" s="6" t="s">
        <v>53</v>
      </c>
      <c r="B64" s="30" t="s">
        <v>131</v>
      </c>
      <c r="C64" s="14">
        <v>3916.0</v>
      </c>
      <c r="E64" s="15">
        <v>383.0</v>
      </c>
      <c r="G64" s="15">
        <v>70.0</v>
      </c>
      <c r="I64" s="36">
        <v>4369.0</v>
      </c>
      <c r="J64" s="14">
        <v>5356.0</v>
      </c>
      <c r="L64" s="15">
        <v>1017.0</v>
      </c>
      <c r="N64" s="15">
        <v>1393.0</v>
      </c>
      <c r="O64" s="15"/>
      <c r="P64" s="36">
        <v>7766.0</v>
      </c>
      <c r="Q64" s="14">
        <v>5510.0</v>
      </c>
      <c r="S64" s="15">
        <v>2071.0</v>
      </c>
      <c r="U64" s="15">
        <v>392.0</v>
      </c>
      <c r="W64" s="36">
        <v>7973.0</v>
      </c>
      <c r="X64" s="15">
        <v>4165.0</v>
      </c>
      <c r="Z64" s="15">
        <v>1945.0</v>
      </c>
      <c r="AB64" s="15">
        <v>1220.0</v>
      </c>
      <c r="AD64" s="36">
        <v>7330.0</v>
      </c>
      <c r="AE64" s="37">
        <v>6445.0</v>
      </c>
      <c r="AF64" s="37">
        <v>6778.0</v>
      </c>
      <c r="AG64" s="14">
        <v>2345.0</v>
      </c>
      <c r="AI64" s="15">
        <v>810.0</v>
      </c>
      <c r="AK64" s="15">
        <v>3155.0</v>
      </c>
      <c r="AL64" s="14">
        <v>1471.0</v>
      </c>
      <c r="AN64" s="15">
        <v>1065.0</v>
      </c>
      <c r="AP64" s="15">
        <v>711.0</v>
      </c>
      <c r="AR64" s="15">
        <v>583.0</v>
      </c>
      <c r="AT64" s="36">
        <v>3830.0</v>
      </c>
      <c r="AU64" s="14">
        <v>3340.0</v>
      </c>
      <c r="AW64" s="15">
        <v>1159.0</v>
      </c>
      <c r="AY64" s="15">
        <v>1332.0</v>
      </c>
      <c r="BA64" s="15">
        <v>636.0</v>
      </c>
      <c r="BC64" s="36">
        <v>6467.0</v>
      </c>
      <c r="BD64" s="15">
        <v>2944.0</v>
      </c>
      <c r="BF64" s="15">
        <v>1008.0</v>
      </c>
      <c r="BH64" s="15">
        <v>3952.0</v>
      </c>
    </row>
    <row r="65" ht="15.75" customHeight="1">
      <c r="A65" s="6" t="s">
        <v>54</v>
      </c>
      <c r="B65" s="30" t="s">
        <v>235</v>
      </c>
      <c r="C65" s="14">
        <v>446.0</v>
      </c>
      <c r="E65" s="15">
        <v>22.0</v>
      </c>
      <c r="G65" s="15">
        <v>2.0</v>
      </c>
      <c r="I65" s="36">
        <v>470.0</v>
      </c>
      <c r="J65" s="14">
        <v>664.0</v>
      </c>
      <c r="L65" s="15">
        <v>92.0</v>
      </c>
      <c r="N65" s="15">
        <v>49.0</v>
      </c>
      <c r="O65" s="15"/>
      <c r="P65" s="36">
        <v>805.0</v>
      </c>
      <c r="Q65" s="14">
        <v>486.0</v>
      </c>
      <c r="S65" s="15">
        <v>266.0</v>
      </c>
      <c r="U65" s="15">
        <v>67.0</v>
      </c>
      <c r="W65" s="36">
        <v>819.0</v>
      </c>
      <c r="X65" s="15">
        <v>405.0</v>
      </c>
      <c r="Z65" s="15">
        <v>199.0</v>
      </c>
      <c r="AB65" s="15">
        <v>112.0</v>
      </c>
      <c r="AD65" s="36">
        <v>716.0</v>
      </c>
      <c r="AE65" s="37">
        <v>992.0</v>
      </c>
      <c r="AF65" s="37">
        <v>947.0</v>
      </c>
      <c r="AG65" s="14">
        <v>236.0</v>
      </c>
      <c r="AI65" s="15">
        <v>94.0</v>
      </c>
      <c r="AK65" s="15">
        <v>330.0</v>
      </c>
      <c r="AL65" s="14">
        <v>207.0</v>
      </c>
      <c r="AN65" s="15">
        <v>181.0</v>
      </c>
      <c r="AP65" s="15">
        <v>63.0</v>
      </c>
      <c r="AR65" s="15">
        <v>56.0</v>
      </c>
      <c r="AT65" s="36">
        <v>507.0</v>
      </c>
      <c r="AU65" s="14">
        <v>405.0</v>
      </c>
      <c r="AW65" s="15">
        <v>88.0</v>
      </c>
      <c r="AY65" s="15">
        <v>129.0</v>
      </c>
      <c r="BA65" s="15">
        <v>69.0</v>
      </c>
      <c r="BC65" s="36">
        <v>691.0</v>
      </c>
      <c r="BD65" s="15">
        <v>17.0</v>
      </c>
      <c r="BF65" s="15">
        <v>14.0</v>
      </c>
      <c r="BH65" s="15">
        <v>31.0</v>
      </c>
    </row>
    <row r="66" ht="15.75" customHeight="1">
      <c r="A66" s="6" t="s">
        <v>59</v>
      </c>
      <c r="B66" s="30" t="s">
        <v>31</v>
      </c>
      <c r="C66" s="14">
        <v>5114.0</v>
      </c>
      <c r="E66" s="15">
        <v>1015.0</v>
      </c>
      <c r="G66" s="15">
        <v>181.0</v>
      </c>
      <c r="I66" s="36">
        <v>6310.0</v>
      </c>
      <c r="J66" s="14">
        <v>10432.0</v>
      </c>
      <c r="L66" s="15">
        <v>918.0</v>
      </c>
      <c r="N66" s="15">
        <v>1685.0</v>
      </c>
      <c r="O66" s="15"/>
      <c r="P66" s="36">
        <v>13035.0</v>
      </c>
      <c r="Q66" s="14">
        <v>8928.0</v>
      </c>
      <c r="S66" s="15">
        <v>3697.0</v>
      </c>
      <c r="U66" s="15">
        <v>593.0</v>
      </c>
      <c r="W66" s="36">
        <v>13218.0</v>
      </c>
      <c r="X66" s="15">
        <v>6490.0</v>
      </c>
      <c r="Z66" s="15">
        <v>2664.0</v>
      </c>
      <c r="AB66" s="15">
        <v>2857.0</v>
      </c>
      <c r="AD66" s="36">
        <v>12011.0</v>
      </c>
      <c r="AE66" s="37">
        <v>9701.0</v>
      </c>
      <c r="AF66" s="37">
        <v>10501.0</v>
      </c>
      <c r="AG66" s="14">
        <v>4522.0</v>
      </c>
      <c r="AI66" s="15">
        <v>2010.0</v>
      </c>
      <c r="AK66" s="15">
        <v>6532.0</v>
      </c>
      <c r="AL66" s="14">
        <v>1926.0</v>
      </c>
      <c r="AN66" s="15">
        <v>1617.0</v>
      </c>
      <c r="AP66" s="15">
        <v>1955.0</v>
      </c>
      <c r="AR66" s="15">
        <v>1310.0</v>
      </c>
      <c r="AT66" s="36">
        <v>6808.0</v>
      </c>
      <c r="AU66" s="14">
        <v>5536.0</v>
      </c>
      <c r="AW66" s="15">
        <v>2543.0</v>
      </c>
      <c r="AY66" s="15">
        <v>2569.0</v>
      </c>
      <c r="BA66" s="15">
        <v>1994.0</v>
      </c>
      <c r="BC66" s="36">
        <v>12642.0</v>
      </c>
      <c r="BD66" s="15">
        <v>5898.0</v>
      </c>
      <c r="BF66" s="15">
        <v>1775.0</v>
      </c>
      <c r="BH66" s="15">
        <v>7673.0</v>
      </c>
    </row>
    <row r="67" ht="15.75" customHeight="1">
      <c r="A67" s="6" t="s">
        <v>53</v>
      </c>
      <c r="B67" s="30" t="s">
        <v>128</v>
      </c>
      <c r="C67" s="14">
        <v>4615.0</v>
      </c>
      <c r="E67" s="15">
        <v>360.0</v>
      </c>
      <c r="G67" s="15">
        <v>89.0</v>
      </c>
      <c r="I67" s="36">
        <v>5064.0</v>
      </c>
      <c r="J67" s="14">
        <v>6195.0</v>
      </c>
      <c r="L67" s="15">
        <v>1259.0</v>
      </c>
      <c r="N67" s="15">
        <v>1408.0</v>
      </c>
      <c r="O67" s="15"/>
      <c r="P67" s="36">
        <v>8862.0</v>
      </c>
      <c r="Q67" s="14">
        <v>6473.0</v>
      </c>
      <c r="S67" s="15">
        <v>2136.0</v>
      </c>
      <c r="U67" s="15">
        <v>464.0</v>
      </c>
      <c r="W67" s="36">
        <v>9073.0</v>
      </c>
      <c r="X67" s="15">
        <v>4293.0</v>
      </c>
      <c r="Z67" s="15">
        <v>2572.0</v>
      </c>
      <c r="AB67" s="15">
        <v>1526.0</v>
      </c>
      <c r="AD67" s="36">
        <v>8391.0</v>
      </c>
      <c r="AE67" s="37">
        <v>7735.0</v>
      </c>
      <c r="AF67" s="37">
        <v>7838.0</v>
      </c>
      <c r="AG67" s="14">
        <v>2547.0</v>
      </c>
      <c r="AI67" s="15">
        <v>1009.0</v>
      </c>
      <c r="AK67" s="15">
        <v>3556.0</v>
      </c>
      <c r="AL67" s="14">
        <v>1599.0</v>
      </c>
      <c r="AN67" s="15">
        <v>1002.0</v>
      </c>
      <c r="AP67" s="15">
        <v>527.0</v>
      </c>
      <c r="AR67" s="15">
        <v>704.0</v>
      </c>
      <c r="AT67" s="36">
        <v>3832.0</v>
      </c>
      <c r="AU67" s="14">
        <v>4347.0</v>
      </c>
      <c r="AW67" s="15">
        <v>1427.0</v>
      </c>
      <c r="AY67" s="15">
        <v>1607.0</v>
      </c>
      <c r="BA67" s="15">
        <v>1217.0</v>
      </c>
      <c r="BC67" s="36">
        <v>8598.0</v>
      </c>
      <c r="BD67" s="15">
        <v>3952.0</v>
      </c>
      <c r="BF67" s="15">
        <v>1231.0</v>
      </c>
      <c r="BH67" s="15">
        <v>5183.0</v>
      </c>
    </row>
    <row r="68" ht="15.75" customHeight="1">
      <c r="A68" s="6" t="s">
        <v>62</v>
      </c>
      <c r="B68" s="30" t="s">
        <v>178</v>
      </c>
      <c r="C68" s="14">
        <v>1555.0</v>
      </c>
      <c r="E68" s="15">
        <v>69.0</v>
      </c>
      <c r="G68" s="15">
        <v>23.0</v>
      </c>
      <c r="I68" s="36">
        <v>1647.0</v>
      </c>
      <c r="J68" s="14">
        <v>2543.0</v>
      </c>
      <c r="L68" s="15">
        <v>453.0</v>
      </c>
      <c r="N68" s="15">
        <v>309.0</v>
      </c>
      <c r="O68" s="15"/>
      <c r="P68" s="36">
        <v>3305.0</v>
      </c>
      <c r="Q68" s="14">
        <v>2051.0</v>
      </c>
      <c r="S68" s="15">
        <v>1092.0</v>
      </c>
      <c r="U68" s="15">
        <v>189.0</v>
      </c>
      <c r="W68" s="36">
        <v>3332.0</v>
      </c>
      <c r="X68" s="15">
        <v>1480.0</v>
      </c>
      <c r="Z68" s="15">
        <v>763.0</v>
      </c>
      <c r="AB68" s="15">
        <v>835.0</v>
      </c>
      <c r="AD68" s="36">
        <v>3078.0</v>
      </c>
      <c r="AE68" s="37">
        <v>3649.0</v>
      </c>
      <c r="AF68" s="37">
        <v>3661.0</v>
      </c>
      <c r="AG68" s="14">
        <v>760.0</v>
      </c>
      <c r="AI68" s="15">
        <v>712.0</v>
      </c>
      <c r="AK68" s="15">
        <v>1472.0</v>
      </c>
      <c r="AL68" s="14">
        <v>652.0</v>
      </c>
      <c r="AN68" s="15">
        <v>320.0</v>
      </c>
      <c r="AP68" s="15">
        <v>146.0</v>
      </c>
      <c r="AR68" s="15">
        <v>269.0</v>
      </c>
      <c r="AT68" s="36">
        <v>1387.0</v>
      </c>
      <c r="AU68" s="14">
        <v>1422.0</v>
      </c>
      <c r="AW68" s="15">
        <v>555.0</v>
      </c>
      <c r="AY68" s="15">
        <v>805.0</v>
      </c>
      <c r="BA68" s="15">
        <v>419.0</v>
      </c>
      <c r="BC68" s="36">
        <v>3201.0</v>
      </c>
      <c r="BD68" s="15">
        <v>905.0</v>
      </c>
      <c r="BF68" s="15">
        <v>294.0</v>
      </c>
      <c r="BH68" s="15">
        <v>1199.0</v>
      </c>
    </row>
    <row r="69" ht="15.75" customHeight="1">
      <c r="A69" s="6" t="s">
        <v>53</v>
      </c>
      <c r="B69" s="30" t="s">
        <v>167</v>
      </c>
      <c r="C69" s="14">
        <v>1884.0</v>
      </c>
      <c r="E69" s="15">
        <v>425.0</v>
      </c>
      <c r="G69" s="15">
        <v>41.0</v>
      </c>
      <c r="I69" s="36">
        <v>2350.0</v>
      </c>
      <c r="J69" s="14">
        <v>3164.0</v>
      </c>
      <c r="L69" s="15">
        <v>511.0</v>
      </c>
      <c r="N69" s="15">
        <v>978.0</v>
      </c>
      <c r="O69" s="15"/>
      <c r="P69" s="36">
        <v>4653.0</v>
      </c>
      <c r="Q69" s="14">
        <v>3790.0</v>
      </c>
      <c r="S69" s="15">
        <v>901.0</v>
      </c>
      <c r="U69" s="15">
        <v>70.0</v>
      </c>
      <c r="W69" s="36">
        <v>4761.0</v>
      </c>
      <c r="X69" s="15">
        <v>3412.0</v>
      </c>
      <c r="Z69" s="15">
        <v>678.0</v>
      </c>
      <c r="AB69" s="15">
        <v>436.0</v>
      </c>
      <c r="AD69" s="36">
        <v>4526.0</v>
      </c>
      <c r="AE69" s="37">
        <v>2953.0</v>
      </c>
      <c r="AF69" s="37">
        <v>3257.0</v>
      </c>
      <c r="AG69" s="14">
        <v>1536.0</v>
      </c>
      <c r="AI69" s="15">
        <v>547.0</v>
      </c>
      <c r="AK69" s="15">
        <v>2083.0</v>
      </c>
      <c r="AL69" s="14">
        <v>563.0</v>
      </c>
      <c r="AN69" s="15">
        <v>653.0</v>
      </c>
      <c r="AP69" s="15">
        <v>263.0</v>
      </c>
      <c r="AR69" s="15">
        <v>203.0</v>
      </c>
      <c r="AT69" s="36">
        <v>1682.0</v>
      </c>
      <c r="AU69" s="14">
        <v>1555.0</v>
      </c>
      <c r="AW69" s="15">
        <v>982.0</v>
      </c>
      <c r="AY69" s="15">
        <v>637.0</v>
      </c>
      <c r="BA69" s="15">
        <v>600.0</v>
      </c>
      <c r="BC69" s="36">
        <v>3774.0</v>
      </c>
      <c r="BD69" s="15">
        <v>2464.0</v>
      </c>
      <c r="BF69" s="15">
        <v>417.0</v>
      </c>
      <c r="BH69" s="15">
        <v>2881.0</v>
      </c>
    </row>
    <row r="70" ht="15.75" customHeight="1">
      <c r="A70" s="6" t="s">
        <v>53</v>
      </c>
      <c r="B70" s="30" t="s">
        <v>10</v>
      </c>
      <c r="C70" s="14">
        <v>23135.0</v>
      </c>
      <c r="E70" s="15">
        <v>5058.0</v>
      </c>
      <c r="G70" s="15">
        <v>882.0</v>
      </c>
      <c r="I70" s="36">
        <v>29075.0</v>
      </c>
      <c r="J70" s="14">
        <v>41270.0</v>
      </c>
      <c r="L70" s="15">
        <v>7373.0</v>
      </c>
      <c r="N70" s="15">
        <v>19861.0</v>
      </c>
      <c r="O70" s="15"/>
      <c r="P70" s="36">
        <v>68504.0</v>
      </c>
      <c r="Q70" s="14">
        <v>54849.0</v>
      </c>
      <c r="S70" s="15">
        <v>12881.0</v>
      </c>
      <c r="U70" s="15">
        <v>2497.0</v>
      </c>
      <c r="W70" s="36">
        <v>70227.0</v>
      </c>
      <c r="X70" s="15">
        <v>28981.0</v>
      </c>
      <c r="Z70" s="15">
        <v>24932.0</v>
      </c>
      <c r="AB70" s="15">
        <v>11907.0</v>
      </c>
      <c r="AD70" s="36">
        <v>65820.0</v>
      </c>
      <c r="AE70" s="37">
        <v>57897.0</v>
      </c>
      <c r="AF70" s="37">
        <v>60783.0</v>
      </c>
      <c r="AG70" s="14">
        <v>29329.0</v>
      </c>
      <c r="AI70" s="15">
        <v>10983.0</v>
      </c>
      <c r="AK70" s="15">
        <v>40312.0</v>
      </c>
      <c r="AL70" s="14">
        <v>14063.0</v>
      </c>
      <c r="AN70" s="15">
        <v>8569.0</v>
      </c>
      <c r="AP70" s="15">
        <v>6407.0</v>
      </c>
      <c r="AR70" s="15">
        <v>7204.0</v>
      </c>
      <c r="AT70" s="36">
        <v>36243.0</v>
      </c>
      <c r="AU70" s="14">
        <v>32154.0</v>
      </c>
      <c r="AW70" s="15">
        <v>29800.0</v>
      </c>
      <c r="AY70" s="15">
        <v>25420.0</v>
      </c>
      <c r="BA70" s="15">
        <v>11575.0</v>
      </c>
      <c r="BC70" s="36">
        <v>98949.0</v>
      </c>
      <c r="BD70" s="15">
        <v>17170.0</v>
      </c>
      <c r="BF70" s="15">
        <v>4977.0</v>
      </c>
      <c r="BH70" s="15">
        <v>22147.0</v>
      </c>
    </row>
    <row r="71" ht="15.75" customHeight="1">
      <c r="A71" s="6" t="s">
        <v>53</v>
      </c>
      <c r="B71" s="30" t="s">
        <v>123</v>
      </c>
      <c r="C71" s="14">
        <v>4358.0</v>
      </c>
      <c r="E71" s="15">
        <v>407.0</v>
      </c>
      <c r="G71" s="15">
        <v>80.0</v>
      </c>
      <c r="I71" s="36">
        <v>4845.0</v>
      </c>
      <c r="J71" s="14">
        <v>5723.0</v>
      </c>
      <c r="L71" s="15">
        <v>1937.0</v>
      </c>
      <c r="N71" s="15">
        <v>1335.0</v>
      </c>
      <c r="O71" s="15"/>
      <c r="P71" s="36">
        <v>8995.0</v>
      </c>
      <c r="Q71" s="14">
        <v>6705.0</v>
      </c>
      <c r="S71" s="15">
        <v>2078.0</v>
      </c>
      <c r="U71" s="15">
        <v>340.0</v>
      </c>
      <c r="W71" s="36">
        <v>9123.0</v>
      </c>
      <c r="X71" s="15">
        <v>3736.0</v>
      </c>
      <c r="Z71" s="15">
        <v>4023.0</v>
      </c>
      <c r="AB71" s="15">
        <v>949.0</v>
      </c>
      <c r="AD71" s="36">
        <v>8708.0</v>
      </c>
      <c r="AE71" s="37">
        <v>9012.0</v>
      </c>
      <c r="AF71" s="37">
        <v>9376.0</v>
      </c>
      <c r="AG71" s="14">
        <v>3050.0</v>
      </c>
      <c r="AI71" s="15">
        <v>1656.0</v>
      </c>
      <c r="AK71" s="15">
        <v>4706.0</v>
      </c>
      <c r="AL71" s="14">
        <v>2001.0</v>
      </c>
      <c r="AN71" s="15">
        <v>1307.0</v>
      </c>
      <c r="AP71" s="15">
        <v>604.0</v>
      </c>
      <c r="AR71" s="15">
        <v>761.0</v>
      </c>
      <c r="AT71" s="36">
        <v>4673.0</v>
      </c>
      <c r="AU71" s="14">
        <v>3295.0</v>
      </c>
      <c r="AW71" s="15">
        <v>1494.0</v>
      </c>
      <c r="AY71" s="15">
        <v>2093.0</v>
      </c>
      <c r="BA71" s="15">
        <v>1003.0</v>
      </c>
      <c r="BC71" s="36">
        <v>7885.0</v>
      </c>
      <c r="BD71" s="15">
        <v>5059.0</v>
      </c>
      <c r="BF71" s="15">
        <v>1631.0</v>
      </c>
      <c r="BH71" s="15">
        <v>6690.0</v>
      </c>
    </row>
    <row r="72" ht="15.75" customHeight="1">
      <c r="A72" s="6" t="s">
        <v>53</v>
      </c>
      <c r="B72" s="30" t="s">
        <v>14</v>
      </c>
      <c r="C72" s="14">
        <v>14221.0</v>
      </c>
      <c r="E72" s="15">
        <v>2289.0</v>
      </c>
      <c r="G72" s="15">
        <v>354.0</v>
      </c>
      <c r="I72" s="36">
        <v>16864.0</v>
      </c>
      <c r="J72" s="14">
        <v>19280.0</v>
      </c>
      <c r="L72" s="15">
        <v>4444.0</v>
      </c>
      <c r="N72" s="15">
        <v>8405.0</v>
      </c>
      <c r="O72" s="15"/>
      <c r="P72" s="36">
        <v>32129.0</v>
      </c>
      <c r="Q72" s="14">
        <v>25046.0</v>
      </c>
      <c r="S72" s="15">
        <v>6517.0</v>
      </c>
      <c r="U72" s="15">
        <v>1057.0</v>
      </c>
      <c r="W72" s="36">
        <v>32620.0</v>
      </c>
      <c r="X72" s="15">
        <v>9452.0</v>
      </c>
      <c r="Z72" s="15">
        <v>19800.0</v>
      </c>
      <c r="AB72" s="15">
        <v>2561.0</v>
      </c>
      <c r="AD72" s="36">
        <v>31813.0</v>
      </c>
      <c r="AE72" s="37">
        <v>26186.0</v>
      </c>
      <c r="AF72" s="37">
        <v>27725.0</v>
      </c>
      <c r="AG72" s="14">
        <v>10514.0</v>
      </c>
      <c r="AI72" s="15">
        <v>8309.0</v>
      </c>
      <c r="AK72" s="15">
        <v>18823.0</v>
      </c>
      <c r="AL72" s="14">
        <v>7630.0</v>
      </c>
      <c r="AN72" s="15">
        <v>3214.0</v>
      </c>
      <c r="AP72" s="15">
        <v>2217.0</v>
      </c>
      <c r="AR72" s="15">
        <v>2439.0</v>
      </c>
      <c r="AT72" s="36">
        <v>15500.0</v>
      </c>
      <c r="AU72" s="14">
        <v>12562.0</v>
      </c>
      <c r="AW72" s="15">
        <v>6791.0</v>
      </c>
      <c r="AY72" s="15">
        <v>9080.0</v>
      </c>
      <c r="BA72" s="15">
        <v>4190.0</v>
      </c>
      <c r="BC72" s="36">
        <v>32623.0</v>
      </c>
      <c r="BD72" s="15">
        <v>8350.0</v>
      </c>
      <c r="BF72" s="15">
        <v>3250.0</v>
      </c>
      <c r="BH72" s="15">
        <v>11600.0</v>
      </c>
    </row>
    <row r="73" ht="15.75" customHeight="1">
      <c r="A73" s="6" t="s">
        <v>60</v>
      </c>
      <c r="B73" s="30" t="s">
        <v>241</v>
      </c>
      <c r="C73" s="14">
        <v>261.0</v>
      </c>
      <c r="E73" s="15">
        <v>20.0</v>
      </c>
      <c r="G73" s="15">
        <v>4.0</v>
      </c>
      <c r="I73" s="36">
        <v>285.0</v>
      </c>
      <c r="J73" s="14">
        <v>444.0</v>
      </c>
      <c r="L73" s="15">
        <v>75.0</v>
      </c>
      <c r="N73" s="15">
        <v>55.0</v>
      </c>
      <c r="O73" s="15"/>
      <c r="P73" s="36">
        <v>574.0</v>
      </c>
      <c r="Q73" s="14">
        <v>405.0</v>
      </c>
      <c r="S73" s="15">
        <v>149.0</v>
      </c>
      <c r="U73" s="15">
        <v>29.0</v>
      </c>
      <c r="W73" s="36">
        <v>583.0</v>
      </c>
      <c r="X73" s="15">
        <v>386.0</v>
      </c>
      <c r="Z73" s="15">
        <v>100.0</v>
      </c>
      <c r="AB73" s="15">
        <v>64.0</v>
      </c>
      <c r="AD73" s="36">
        <v>550.0</v>
      </c>
      <c r="AE73" s="37">
        <v>360.0</v>
      </c>
      <c r="AF73" s="37">
        <v>373.0</v>
      </c>
      <c r="AG73" s="14">
        <v>120.0</v>
      </c>
      <c r="AI73" s="15">
        <v>65.0</v>
      </c>
      <c r="AK73" s="15">
        <v>185.0</v>
      </c>
      <c r="AL73" s="14">
        <v>65.0</v>
      </c>
      <c r="AN73" s="15">
        <v>57.0</v>
      </c>
      <c r="AP73" s="15">
        <v>18.0</v>
      </c>
      <c r="AR73" s="15">
        <v>12.0</v>
      </c>
      <c r="AT73" s="36">
        <v>152.0</v>
      </c>
      <c r="AU73" s="14">
        <v>231.0</v>
      </c>
      <c r="AW73" s="15">
        <v>64.0</v>
      </c>
      <c r="AY73" s="15">
        <v>61.0</v>
      </c>
      <c r="BA73" s="15">
        <v>60.0</v>
      </c>
      <c r="BC73" s="36">
        <v>416.0</v>
      </c>
      <c r="BD73" s="15">
        <v>28.0</v>
      </c>
      <c r="BF73" s="15">
        <v>16.0</v>
      </c>
      <c r="BH73" s="15">
        <v>44.0</v>
      </c>
    </row>
    <row r="74" ht="15.75" customHeight="1">
      <c r="A74" s="6" t="s">
        <v>53</v>
      </c>
      <c r="B74" s="30" t="s">
        <v>142</v>
      </c>
      <c r="C74" s="14">
        <v>3195.0</v>
      </c>
      <c r="E74" s="15">
        <v>120.0</v>
      </c>
      <c r="G74" s="15">
        <v>37.0</v>
      </c>
      <c r="I74" s="36">
        <v>3352.0</v>
      </c>
      <c r="J74" s="14">
        <v>3846.0</v>
      </c>
      <c r="L74" s="15">
        <v>742.0</v>
      </c>
      <c r="N74" s="15">
        <v>1113.0</v>
      </c>
      <c r="O74" s="15"/>
      <c r="P74" s="36">
        <v>5701.0</v>
      </c>
      <c r="Q74" s="14">
        <v>4347.0</v>
      </c>
      <c r="S74" s="15">
        <v>1219.0</v>
      </c>
      <c r="U74" s="15">
        <v>265.0</v>
      </c>
      <c r="W74" s="36">
        <v>5831.0</v>
      </c>
      <c r="X74" s="15">
        <v>2714.0</v>
      </c>
      <c r="Z74" s="15">
        <v>1755.0</v>
      </c>
      <c r="AB74" s="15">
        <v>997.0</v>
      </c>
      <c r="AD74" s="36">
        <v>5466.0</v>
      </c>
      <c r="AE74" s="37">
        <v>6672.0</v>
      </c>
      <c r="AF74" s="37">
        <v>6693.0</v>
      </c>
      <c r="AG74" s="14">
        <v>2280.0</v>
      </c>
      <c r="AI74" s="15">
        <v>488.0</v>
      </c>
      <c r="AK74" s="15">
        <v>2768.0</v>
      </c>
      <c r="AL74" s="14">
        <v>911.0</v>
      </c>
      <c r="AN74" s="15">
        <v>970.0</v>
      </c>
      <c r="AP74" s="15">
        <v>305.0</v>
      </c>
      <c r="AR74" s="15">
        <v>481.0</v>
      </c>
      <c r="AT74" s="36">
        <v>2667.0</v>
      </c>
      <c r="AU74" s="14">
        <v>2823.0</v>
      </c>
      <c r="AW74" s="15">
        <v>787.0</v>
      </c>
      <c r="AY74" s="15">
        <v>1461.0</v>
      </c>
      <c r="BA74" s="15">
        <v>636.0</v>
      </c>
      <c r="BC74" s="36">
        <v>5707.0</v>
      </c>
      <c r="BD74" s="15">
        <v>2737.0</v>
      </c>
      <c r="BF74" s="15">
        <v>852.0</v>
      </c>
      <c r="BH74" s="15">
        <v>3589.0</v>
      </c>
    </row>
    <row r="75" ht="15.75" customHeight="1">
      <c r="A75" s="6" t="s">
        <v>56</v>
      </c>
      <c r="B75" s="30" t="s">
        <v>140</v>
      </c>
      <c r="C75" s="14">
        <v>3027.0</v>
      </c>
      <c r="E75" s="15">
        <v>286.0</v>
      </c>
      <c r="G75" s="15">
        <v>79.0</v>
      </c>
      <c r="I75" s="36">
        <v>3392.0</v>
      </c>
      <c r="J75" s="14">
        <v>5174.0</v>
      </c>
      <c r="L75" s="15">
        <v>544.0</v>
      </c>
      <c r="N75" s="15">
        <v>828.0</v>
      </c>
      <c r="O75" s="15"/>
      <c r="P75" s="36">
        <v>6546.0</v>
      </c>
      <c r="Q75" s="14">
        <v>4138.0</v>
      </c>
      <c r="S75" s="15">
        <v>2268.0</v>
      </c>
      <c r="U75" s="15">
        <v>270.0</v>
      </c>
      <c r="W75" s="36">
        <v>6676.0</v>
      </c>
      <c r="X75" s="15">
        <v>3391.0</v>
      </c>
      <c r="Z75" s="15">
        <v>1046.0</v>
      </c>
      <c r="AB75" s="15">
        <v>1626.0</v>
      </c>
      <c r="AD75" s="36">
        <v>6063.0</v>
      </c>
      <c r="AE75" s="37">
        <v>4942.0</v>
      </c>
      <c r="AF75" s="37">
        <v>5259.0</v>
      </c>
      <c r="AG75" s="14">
        <v>1573.0</v>
      </c>
      <c r="AI75" s="15">
        <v>941.0</v>
      </c>
      <c r="AK75" s="15">
        <v>2514.0</v>
      </c>
      <c r="AL75" s="14">
        <v>1786.0</v>
      </c>
      <c r="AN75" s="15">
        <v>584.0</v>
      </c>
      <c r="AP75" s="15">
        <v>923.0</v>
      </c>
      <c r="AR75" s="15">
        <v>660.0</v>
      </c>
      <c r="AT75" s="36">
        <v>3953.0</v>
      </c>
      <c r="AU75" s="14">
        <v>2542.0</v>
      </c>
      <c r="AW75" s="15">
        <v>1291.0</v>
      </c>
      <c r="AY75" s="15">
        <v>1946.0</v>
      </c>
      <c r="BA75" s="15">
        <v>1119.0</v>
      </c>
      <c r="BC75" s="36">
        <v>6898.0</v>
      </c>
      <c r="BD75" s="15">
        <v>2268.0</v>
      </c>
      <c r="BF75" s="15">
        <v>639.0</v>
      </c>
      <c r="BH75" s="15">
        <v>2907.0</v>
      </c>
    </row>
    <row r="76" ht="15.75" customHeight="1">
      <c r="A76" s="6" t="s">
        <v>58</v>
      </c>
      <c r="B76" s="30" t="s">
        <v>156</v>
      </c>
      <c r="C76" s="14">
        <v>2493.0</v>
      </c>
      <c r="E76" s="15">
        <v>320.0</v>
      </c>
      <c r="G76" s="15">
        <v>29.0</v>
      </c>
      <c r="I76" s="36">
        <v>2842.0</v>
      </c>
      <c r="J76" s="14">
        <v>3748.0</v>
      </c>
      <c r="L76" s="15">
        <v>693.0</v>
      </c>
      <c r="N76" s="15">
        <v>482.0</v>
      </c>
      <c r="O76" s="15"/>
      <c r="P76" s="36">
        <v>4923.0</v>
      </c>
      <c r="Q76" s="14">
        <v>3062.0</v>
      </c>
      <c r="S76" s="15">
        <v>1674.0</v>
      </c>
      <c r="U76" s="15">
        <v>271.0</v>
      </c>
      <c r="W76" s="36">
        <v>5007.0</v>
      </c>
      <c r="X76" s="15">
        <v>2554.0</v>
      </c>
      <c r="Z76" s="15">
        <v>1260.0</v>
      </c>
      <c r="AB76" s="15">
        <v>822.0</v>
      </c>
      <c r="AD76" s="36">
        <v>4636.0</v>
      </c>
      <c r="AE76" s="37">
        <v>4725.0</v>
      </c>
      <c r="AF76" s="37">
        <v>5015.0</v>
      </c>
      <c r="AG76" s="14">
        <v>1024.0</v>
      </c>
      <c r="AI76" s="15">
        <v>508.0</v>
      </c>
      <c r="AK76" s="15">
        <v>1532.0</v>
      </c>
      <c r="AL76" s="14">
        <v>662.0</v>
      </c>
      <c r="AN76" s="15">
        <v>413.0</v>
      </c>
      <c r="AP76" s="15">
        <v>263.0</v>
      </c>
      <c r="AR76" s="15">
        <v>394.0</v>
      </c>
      <c r="AT76" s="36">
        <v>1732.0</v>
      </c>
      <c r="AU76" s="14">
        <v>1858.0</v>
      </c>
      <c r="AW76" s="15">
        <v>810.0</v>
      </c>
      <c r="AY76" s="15">
        <v>965.0</v>
      </c>
      <c r="BA76" s="15">
        <v>575.0</v>
      </c>
      <c r="BC76" s="36">
        <v>4208.0</v>
      </c>
      <c r="BD76" s="15">
        <v>1998.0</v>
      </c>
      <c r="BF76" s="15">
        <v>738.0</v>
      </c>
      <c r="BH76" s="15">
        <v>2736.0</v>
      </c>
    </row>
    <row r="77" ht="15.75" customHeight="1">
      <c r="A77" s="6" t="s">
        <v>53</v>
      </c>
      <c r="B77" s="30" t="s">
        <v>200</v>
      </c>
      <c r="C77" s="14">
        <v>1395.0</v>
      </c>
      <c r="E77" s="15">
        <v>63.0</v>
      </c>
      <c r="G77" s="15">
        <v>21.0</v>
      </c>
      <c r="I77" s="36">
        <v>1479.0</v>
      </c>
      <c r="J77" s="14">
        <v>1259.0</v>
      </c>
      <c r="L77" s="15">
        <v>503.0</v>
      </c>
      <c r="N77" s="15">
        <v>326.0</v>
      </c>
      <c r="O77" s="15"/>
      <c r="P77" s="36">
        <v>2088.0</v>
      </c>
      <c r="Q77" s="14">
        <v>1518.0</v>
      </c>
      <c r="S77" s="15">
        <v>529.0</v>
      </c>
      <c r="U77" s="15">
        <v>75.0</v>
      </c>
      <c r="W77" s="36">
        <v>2122.0</v>
      </c>
      <c r="X77" s="15">
        <v>969.0</v>
      </c>
      <c r="Z77" s="15">
        <v>643.0</v>
      </c>
      <c r="AB77" s="15">
        <v>403.0</v>
      </c>
      <c r="AD77" s="36">
        <v>2015.0</v>
      </c>
      <c r="AE77" s="37">
        <v>2120.0</v>
      </c>
      <c r="AF77" s="37">
        <v>2282.0</v>
      </c>
      <c r="AG77" s="14">
        <v>717.0</v>
      </c>
      <c r="AI77" s="15">
        <v>281.0</v>
      </c>
      <c r="AK77" s="15">
        <v>998.0</v>
      </c>
      <c r="AL77" s="14">
        <v>514.0</v>
      </c>
      <c r="AN77" s="15">
        <v>310.0</v>
      </c>
      <c r="AP77" s="15">
        <v>129.0</v>
      </c>
      <c r="AR77" s="15">
        <v>137.0</v>
      </c>
      <c r="AT77" s="36">
        <v>1090.0</v>
      </c>
      <c r="AU77" s="14">
        <v>1069.0</v>
      </c>
      <c r="AW77" s="15">
        <v>217.0</v>
      </c>
      <c r="AY77" s="15">
        <v>417.0</v>
      </c>
      <c r="BA77" s="15">
        <v>237.0</v>
      </c>
      <c r="BC77" s="36">
        <v>1940.0</v>
      </c>
      <c r="BD77" s="15">
        <v>965.0</v>
      </c>
      <c r="BF77" s="15">
        <v>305.0</v>
      </c>
      <c r="BH77" s="15">
        <v>1270.0</v>
      </c>
    </row>
    <row r="78" ht="15.75" customHeight="1">
      <c r="A78" s="6" t="s">
        <v>53</v>
      </c>
      <c r="B78" s="30" t="s">
        <v>20</v>
      </c>
      <c r="C78" s="14">
        <v>8147.0</v>
      </c>
      <c r="E78" s="15">
        <v>837.0</v>
      </c>
      <c r="G78" s="15">
        <v>212.0</v>
      </c>
      <c r="I78" s="36">
        <v>9196.0</v>
      </c>
      <c r="J78" s="14">
        <v>13293.0</v>
      </c>
      <c r="L78" s="15">
        <v>2218.0</v>
      </c>
      <c r="N78" s="15">
        <v>4186.0</v>
      </c>
      <c r="O78" s="15"/>
      <c r="P78" s="36">
        <v>19697.0</v>
      </c>
      <c r="Q78" s="14">
        <v>15591.0</v>
      </c>
      <c r="S78" s="15">
        <v>3807.0</v>
      </c>
      <c r="U78" s="15">
        <v>719.0</v>
      </c>
      <c r="W78" s="36">
        <v>20117.0</v>
      </c>
      <c r="X78" s="15">
        <v>11563.0</v>
      </c>
      <c r="Z78" s="15">
        <v>4689.0</v>
      </c>
      <c r="AB78" s="15">
        <v>2874.0</v>
      </c>
      <c r="AD78" s="36">
        <v>19126.0</v>
      </c>
      <c r="AE78" s="37">
        <v>17417.0</v>
      </c>
      <c r="AF78" s="37">
        <v>18712.0</v>
      </c>
      <c r="AG78" s="14">
        <v>10882.0</v>
      </c>
      <c r="AI78" s="15">
        <v>3755.0</v>
      </c>
      <c r="AK78" s="15">
        <v>14637.0</v>
      </c>
      <c r="AL78" s="14">
        <v>5511.0</v>
      </c>
      <c r="AN78" s="15">
        <v>3974.0</v>
      </c>
      <c r="AP78" s="15">
        <v>1736.0</v>
      </c>
      <c r="AR78" s="15">
        <v>1781.0</v>
      </c>
      <c r="AT78" s="36">
        <v>13002.0</v>
      </c>
      <c r="AU78" s="14">
        <v>11375.0</v>
      </c>
      <c r="AW78" s="15">
        <v>5766.0</v>
      </c>
      <c r="AY78" s="15">
        <v>8220.0</v>
      </c>
      <c r="BA78" s="15">
        <v>2928.0</v>
      </c>
      <c r="BC78" s="36">
        <v>28289.0</v>
      </c>
      <c r="BD78" s="15">
        <v>7857.0</v>
      </c>
      <c r="BF78" s="15">
        <v>2034.0</v>
      </c>
      <c r="BH78" s="15">
        <v>9891.0</v>
      </c>
    </row>
    <row r="79" ht="15.75" customHeight="1">
      <c r="A79" s="6" t="s">
        <v>60</v>
      </c>
      <c r="B79" s="30" t="s">
        <v>24</v>
      </c>
      <c r="C79" s="14">
        <v>7553.0</v>
      </c>
      <c r="E79" s="15">
        <v>955.0</v>
      </c>
      <c r="G79" s="15">
        <v>197.0</v>
      </c>
      <c r="I79" s="36">
        <v>8705.0</v>
      </c>
      <c r="J79" s="14">
        <v>14050.0</v>
      </c>
      <c r="L79" s="15">
        <v>2012.0</v>
      </c>
      <c r="N79" s="15">
        <v>2012.0</v>
      </c>
      <c r="O79" s="15"/>
      <c r="P79" s="36">
        <v>18074.0</v>
      </c>
      <c r="Q79" s="14">
        <v>12318.0</v>
      </c>
      <c r="S79" s="15">
        <v>5245.0</v>
      </c>
      <c r="U79" s="15">
        <v>746.0</v>
      </c>
      <c r="W79" s="36">
        <v>18309.0</v>
      </c>
      <c r="X79" s="15">
        <v>9769.0</v>
      </c>
      <c r="Z79" s="15">
        <v>4295.0</v>
      </c>
      <c r="AB79" s="15">
        <v>3193.0</v>
      </c>
      <c r="AD79" s="36">
        <v>17257.0</v>
      </c>
      <c r="AE79" s="37">
        <v>14177.0</v>
      </c>
      <c r="AF79" s="37">
        <v>14996.0</v>
      </c>
      <c r="AG79" s="14">
        <v>5675.0</v>
      </c>
      <c r="AI79" s="15">
        <v>2791.0</v>
      </c>
      <c r="AK79" s="15">
        <v>8466.0</v>
      </c>
      <c r="AL79" s="14">
        <v>2899.0</v>
      </c>
      <c r="AN79" s="15">
        <v>2175.0</v>
      </c>
      <c r="AP79" s="15">
        <v>1705.0</v>
      </c>
      <c r="AR79" s="15">
        <v>1355.0</v>
      </c>
      <c r="AT79" s="36">
        <v>8134.0</v>
      </c>
      <c r="AU79" s="14">
        <v>7114.0</v>
      </c>
      <c r="AW79" s="15">
        <v>4135.0</v>
      </c>
      <c r="AY79" s="15">
        <v>5145.0</v>
      </c>
      <c r="BA79" s="15">
        <v>2816.0</v>
      </c>
      <c r="BC79" s="36">
        <v>19210.0</v>
      </c>
      <c r="BD79" s="15">
        <v>5116.0</v>
      </c>
      <c r="BF79" s="15">
        <v>1033.0</v>
      </c>
      <c r="BH79" s="15">
        <v>6149.0</v>
      </c>
    </row>
    <row r="80" ht="15.75" customHeight="1">
      <c r="A80" s="6" t="s">
        <v>52</v>
      </c>
      <c r="B80" s="30" t="s">
        <v>208</v>
      </c>
      <c r="C80" s="14">
        <v>774.0</v>
      </c>
      <c r="E80" s="15">
        <v>33.0</v>
      </c>
      <c r="G80" s="15">
        <v>15.0</v>
      </c>
      <c r="I80" s="36">
        <v>822.0</v>
      </c>
      <c r="J80" s="14">
        <v>1232.0</v>
      </c>
      <c r="L80" s="15">
        <v>346.0</v>
      </c>
      <c r="N80" s="15">
        <v>104.0</v>
      </c>
      <c r="O80" s="15"/>
      <c r="P80" s="36">
        <v>1682.0</v>
      </c>
      <c r="Q80" s="14">
        <v>1090.0</v>
      </c>
      <c r="S80" s="15">
        <v>464.0</v>
      </c>
      <c r="U80" s="15">
        <v>136.0</v>
      </c>
      <c r="W80" s="36">
        <v>1690.0</v>
      </c>
      <c r="X80" s="15">
        <v>1024.0</v>
      </c>
      <c r="Z80" s="15">
        <v>294.0</v>
      </c>
      <c r="AB80" s="15">
        <v>266.0</v>
      </c>
      <c r="AD80" s="36">
        <v>1584.0</v>
      </c>
      <c r="AE80" s="37">
        <v>1866.0</v>
      </c>
      <c r="AF80" s="37">
        <v>1862.0</v>
      </c>
      <c r="AG80" s="14">
        <v>407.0</v>
      </c>
      <c r="AI80" s="15">
        <v>244.0</v>
      </c>
      <c r="AK80" s="15">
        <v>651.0</v>
      </c>
      <c r="AL80" s="14">
        <v>264.0</v>
      </c>
      <c r="AN80" s="15">
        <v>168.0</v>
      </c>
      <c r="AP80" s="15">
        <v>124.0</v>
      </c>
      <c r="AR80" s="15">
        <v>89.0</v>
      </c>
      <c r="AT80" s="36">
        <v>645.0</v>
      </c>
      <c r="AU80" s="14">
        <v>882.0</v>
      </c>
      <c r="AW80" s="15">
        <v>157.0</v>
      </c>
      <c r="AY80" s="15">
        <v>295.0</v>
      </c>
      <c r="BA80" s="15">
        <v>196.0</v>
      </c>
      <c r="BC80" s="36">
        <v>1530.0</v>
      </c>
      <c r="BD80" s="15">
        <v>301.0</v>
      </c>
      <c r="BF80" s="15">
        <v>69.0</v>
      </c>
      <c r="BH80" s="15">
        <v>370.0</v>
      </c>
    </row>
    <row r="81" ht="15.75" customHeight="1">
      <c r="A81" s="6" t="s">
        <v>53</v>
      </c>
      <c r="B81" s="30" t="s">
        <v>28</v>
      </c>
      <c r="C81" s="14">
        <v>6190.0</v>
      </c>
      <c r="E81" s="15">
        <v>669.0</v>
      </c>
      <c r="G81" s="15">
        <v>165.0</v>
      </c>
      <c r="I81" s="36">
        <v>7024.0</v>
      </c>
      <c r="J81" s="14">
        <v>8040.0</v>
      </c>
      <c r="L81" s="15">
        <v>3494.0</v>
      </c>
      <c r="N81" s="15">
        <v>2341.0</v>
      </c>
      <c r="O81" s="15"/>
      <c r="P81" s="36">
        <v>13875.0</v>
      </c>
      <c r="Q81" s="14">
        <v>10552.0</v>
      </c>
      <c r="S81" s="15">
        <v>2981.0</v>
      </c>
      <c r="U81" s="15">
        <v>511.0</v>
      </c>
      <c r="W81" s="36">
        <v>14044.0</v>
      </c>
      <c r="X81" s="15">
        <v>6474.0</v>
      </c>
      <c r="Z81" s="15">
        <v>5313.0</v>
      </c>
      <c r="AB81" s="15">
        <v>1572.0</v>
      </c>
      <c r="AD81" s="36">
        <v>13359.0</v>
      </c>
      <c r="AE81" s="37">
        <v>11558.0</v>
      </c>
      <c r="AF81" s="37">
        <v>12416.0</v>
      </c>
      <c r="AG81" s="14">
        <v>4644.0</v>
      </c>
      <c r="AI81" s="15">
        <v>1500.0</v>
      </c>
      <c r="AK81" s="15">
        <v>6144.0</v>
      </c>
      <c r="AL81" s="14">
        <v>2111.0</v>
      </c>
      <c r="AN81" s="15">
        <v>2051.0</v>
      </c>
      <c r="AP81" s="15">
        <v>729.0</v>
      </c>
      <c r="AR81" s="15">
        <v>1026.0</v>
      </c>
      <c r="AT81" s="36">
        <v>5917.0</v>
      </c>
      <c r="AU81" s="14">
        <v>5488.0</v>
      </c>
      <c r="AW81" s="15">
        <v>2398.0</v>
      </c>
      <c r="AY81" s="15">
        <v>3553.0</v>
      </c>
      <c r="BA81" s="15">
        <v>1352.0</v>
      </c>
      <c r="BC81" s="36">
        <v>12791.0</v>
      </c>
      <c r="BD81" s="15">
        <v>4169.0</v>
      </c>
      <c r="BF81" s="15">
        <v>1289.0</v>
      </c>
      <c r="BH81" s="15">
        <v>5458.0</v>
      </c>
    </row>
    <row r="82" ht="15.75" customHeight="1">
      <c r="A82" s="6" t="s">
        <v>53</v>
      </c>
      <c r="B82" s="30" t="s">
        <v>189</v>
      </c>
      <c r="C82" s="14">
        <v>1688.0</v>
      </c>
      <c r="E82" s="15">
        <v>127.0</v>
      </c>
      <c r="G82" s="15">
        <v>32.0</v>
      </c>
      <c r="I82" s="36">
        <v>1847.0</v>
      </c>
      <c r="J82" s="14">
        <v>1952.0</v>
      </c>
      <c r="L82" s="15">
        <v>512.0</v>
      </c>
      <c r="N82" s="15">
        <v>482.0</v>
      </c>
      <c r="O82" s="15"/>
      <c r="P82" s="36">
        <v>2946.0</v>
      </c>
      <c r="Q82" s="14">
        <v>2071.0</v>
      </c>
      <c r="S82" s="15">
        <v>830.0</v>
      </c>
      <c r="U82" s="15">
        <v>81.0</v>
      </c>
      <c r="W82" s="36">
        <v>2982.0</v>
      </c>
      <c r="X82" s="15">
        <v>2265.0</v>
      </c>
      <c r="Z82" s="15">
        <v>481.0</v>
      </c>
      <c r="AB82" s="15">
        <v>188.0</v>
      </c>
      <c r="AD82" s="36">
        <v>2934.0</v>
      </c>
      <c r="AE82" s="37">
        <v>2289.0</v>
      </c>
      <c r="AF82" s="37">
        <v>2436.0</v>
      </c>
      <c r="AG82" s="14">
        <v>1228.0</v>
      </c>
      <c r="AI82" s="15">
        <v>274.0</v>
      </c>
      <c r="AK82" s="15">
        <v>1502.0</v>
      </c>
      <c r="AL82" s="14">
        <v>440.0</v>
      </c>
      <c r="AN82" s="15">
        <v>610.0</v>
      </c>
      <c r="AP82" s="15">
        <v>137.0</v>
      </c>
      <c r="AR82" s="15">
        <v>169.0</v>
      </c>
      <c r="AT82" s="36">
        <v>1356.0</v>
      </c>
      <c r="AU82" s="14">
        <v>1212.0</v>
      </c>
      <c r="AW82" s="15">
        <v>371.0</v>
      </c>
      <c r="AY82" s="15">
        <v>702.0</v>
      </c>
      <c r="BA82" s="15">
        <v>214.0</v>
      </c>
      <c r="BC82" s="36">
        <v>2499.0</v>
      </c>
      <c r="BD82" s="15">
        <v>937.0</v>
      </c>
      <c r="BF82" s="15">
        <v>210.0</v>
      </c>
      <c r="BH82" s="15">
        <v>1147.0</v>
      </c>
    </row>
    <row r="83" ht="15.75" customHeight="1">
      <c r="A83" s="6" t="s">
        <v>287</v>
      </c>
      <c r="B83" s="30" t="s">
        <v>196</v>
      </c>
      <c r="C83" s="14">
        <v>1050.0</v>
      </c>
      <c r="E83" s="15">
        <v>32.0</v>
      </c>
      <c r="G83" s="15">
        <v>13.0</v>
      </c>
      <c r="I83" s="36">
        <v>1095.0</v>
      </c>
      <c r="J83" s="14">
        <v>1684.0</v>
      </c>
      <c r="L83" s="15">
        <v>285.0</v>
      </c>
      <c r="N83" s="15">
        <v>129.0</v>
      </c>
      <c r="O83" s="15"/>
      <c r="P83" s="36">
        <v>2098.0</v>
      </c>
      <c r="Q83" s="14">
        <v>1195.0</v>
      </c>
      <c r="S83" s="15">
        <v>539.0</v>
      </c>
      <c r="U83" s="15">
        <v>413.0</v>
      </c>
      <c r="W83" s="36">
        <v>2147.0</v>
      </c>
      <c r="X83" s="15">
        <v>1091.0</v>
      </c>
      <c r="Z83" s="15">
        <v>534.0</v>
      </c>
      <c r="AB83" s="15">
        <v>344.0</v>
      </c>
      <c r="AD83" s="36">
        <v>1969.0</v>
      </c>
      <c r="AE83" s="37">
        <v>2579.0</v>
      </c>
      <c r="AF83" s="37">
        <v>2401.0</v>
      </c>
      <c r="AG83" s="14">
        <v>622.0</v>
      </c>
      <c r="AI83" s="15">
        <v>240.0</v>
      </c>
      <c r="AK83" s="15">
        <v>862.0</v>
      </c>
      <c r="AL83" s="14">
        <v>359.0</v>
      </c>
      <c r="AN83" s="15">
        <v>282.0</v>
      </c>
      <c r="AP83" s="15">
        <v>234.0</v>
      </c>
      <c r="AR83" s="15">
        <v>157.0</v>
      </c>
      <c r="AT83" s="36">
        <v>1032.0</v>
      </c>
      <c r="AU83" s="14">
        <v>1074.0</v>
      </c>
      <c r="AW83" s="15">
        <v>366.0</v>
      </c>
      <c r="AY83" s="15">
        <v>541.0</v>
      </c>
      <c r="BA83" s="15">
        <v>306.0</v>
      </c>
      <c r="BC83" s="36">
        <v>2287.0</v>
      </c>
      <c r="BD83" s="15">
        <v>1464.0</v>
      </c>
      <c r="BF83" s="15">
        <v>445.0</v>
      </c>
      <c r="BH83" s="15">
        <v>1909.0</v>
      </c>
    </row>
    <row r="84" ht="15.75" customHeight="1">
      <c r="A84" s="6" t="s">
        <v>54</v>
      </c>
      <c r="B84" s="30" t="s">
        <v>214</v>
      </c>
      <c r="C84" s="14">
        <v>911.0</v>
      </c>
      <c r="E84" s="15">
        <v>66.0</v>
      </c>
      <c r="G84" s="15">
        <v>6.0</v>
      </c>
      <c r="I84" s="36">
        <v>983.0</v>
      </c>
      <c r="J84" s="14">
        <v>1584.0</v>
      </c>
      <c r="L84" s="15">
        <v>236.0</v>
      </c>
      <c r="N84" s="15">
        <v>61.0</v>
      </c>
      <c r="O84" s="15"/>
      <c r="P84" s="36">
        <v>1881.0</v>
      </c>
      <c r="Q84" s="14">
        <v>1303.0</v>
      </c>
      <c r="S84" s="15">
        <v>450.0</v>
      </c>
      <c r="U84" s="15">
        <v>141.0</v>
      </c>
      <c r="W84" s="36">
        <v>1894.0</v>
      </c>
      <c r="X84" s="15">
        <v>1061.0</v>
      </c>
      <c r="Z84" s="15">
        <v>476.0</v>
      </c>
      <c r="AB84" s="15">
        <v>226.0</v>
      </c>
      <c r="AD84" s="36">
        <v>1763.0</v>
      </c>
      <c r="AE84" s="37">
        <v>638.0</v>
      </c>
      <c r="AF84" s="37">
        <v>628.0</v>
      </c>
      <c r="AG84" s="14">
        <v>545.0</v>
      </c>
      <c r="AI84" s="15">
        <v>289.0</v>
      </c>
      <c r="AK84" s="15">
        <v>834.0</v>
      </c>
      <c r="AL84" s="14">
        <v>454.0</v>
      </c>
      <c r="AN84" s="15">
        <v>353.0</v>
      </c>
      <c r="AP84" s="15">
        <v>142.0</v>
      </c>
      <c r="AR84" s="15">
        <v>58.0</v>
      </c>
      <c r="AT84" s="36">
        <v>1007.0</v>
      </c>
      <c r="AU84" s="14">
        <v>859.0</v>
      </c>
      <c r="AW84" s="15">
        <v>269.0</v>
      </c>
      <c r="AY84" s="15">
        <v>513.0</v>
      </c>
      <c r="BA84" s="15">
        <v>163.0</v>
      </c>
      <c r="BC84" s="36">
        <v>1804.0</v>
      </c>
      <c r="BD84" s="15">
        <v>71.0</v>
      </c>
      <c r="BF84" s="15">
        <v>9.0</v>
      </c>
      <c r="BH84" s="15">
        <v>80.0</v>
      </c>
    </row>
    <row r="85" ht="15.75" customHeight="1">
      <c r="A85" s="6" t="s">
        <v>54</v>
      </c>
      <c r="B85" s="30" t="s">
        <v>234</v>
      </c>
      <c r="C85" s="14">
        <v>475.0</v>
      </c>
      <c r="E85" s="15">
        <v>22.0</v>
      </c>
      <c r="G85" s="15">
        <v>5.0</v>
      </c>
      <c r="I85" s="36">
        <v>502.0</v>
      </c>
      <c r="J85" s="14">
        <v>846.0</v>
      </c>
      <c r="L85" s="15">
        <v>154.0</v>
      </c>
      <c r="N85" s="15">
        <v>51.0</v>
      </c>
      <c r="O85" s="15"/>
      <c r="P85" s="36">
        <v>1051.0</v>
      </c>
      <c r="Q85" s="14">
        <v>713.0</v>
      </c>
      <c r="S85" s="15">
        <v>288.0</v>
      </c>
      <c r="U85" s="15">
        <v>52.0</v>
      </c>
      <c r="W85" s="36">
        <v>1053.0</v>
      </c>
      <c r="X85" s="15">
        <v>491.0</v>
      </c>
      <c r="Z85" s="15">
        <v>374.0</v>
      </c>
      <c r="AB85" s="15">
        <v>126.0</v>
      </c>
      <c r="AD85" s="36">
        <v>991.0</v>
      </c>
      <c r="AE85" s="37">
        <v>295.0</v>
      </c>
      <c r="AF85" s="37">
        <v>324.0</v>
      </c>
      <c r="AG85" s="14">
        <v>283.0</v>
      </c>
      <c r="AI85" s="15">
        <v>172.0</v>
      </c>
      <c r="AK85" s="15">
        <v>455.0</v>
      </c>
      <c r="AL85" s="14">
        <v>225.0</v>
      </c>
      <c r="AN85" s="15">
        <v>140.0</v>
      </c>
      <c r="AP85" s="15">
        <v>68.0</v>
      </c>
      <c r="AR85" s="15">
        <v>47.0</v>
      </c>
      <c r="AT85" s="36">
        <v>480.0</v>
      </c>
      <c r="AU85" s="14">
        <v>513.0</v>
      </c>
      <c r="AW85" s="15">
        <v>162.0</v>
      </c>
      <c r="AY85" s="15">
        <v>225.0</v>
      </c>
      <c r="BA85" s="15">
        <v>92.0</v>
      </c>
      <c r="BC85" s="36">
        <v>992.0</v>
      </c>
      <c r="BD85" s="15">
        <v>172.0</v>
      </c>
      <c r="BF85" s="15">
        <v>41.0</v>
      </c>
      <c r="BH85" s="15">
        <v>213.0</v>
      </c>
    </row>
    <row r="86" ht="15.75" customHeight="1">
      <c r="A86" s="6" t="s">
        <v>60</v>
      </c>
      <c r="B86" s="30" t="s">
        <v>209</v>
      </c>
      <c r="C86" s="14">
        <v>834.0</v>
      </c>
      <c r="E86" s="15">
        <v>22.0</v>
      </c>
      <c r="G86" s="15">
        <v>3.0</v>
      </c>
      <c r="I86" s="36">
        <v>859.0</v>
      </c>
      <c r="J86" s="14">
        <v>1556.0</v>
      </c>
      <c r="L86" s="15">
        <v>121.0</v>
      </c>
      <c r="N86" s="15">
        <v>35.0</v>
      </c>
      <c r="O86" s="15"/>
      <c r="P86" s="36">
        <v>1712.0</v>
      </c>
      <c r="Q86" s="14">
        <v>1128.0</v>
      </c>
      <c r="S86" s="15">
        <v>484.0</v>
      </c>
      <c r="U86" s="15">
        <v>100.0</v>
      </c>
      <c r="W86" s="36">
        <v>1712.0</v>
      </c>
      <c r="X86" s="15">
        <v>927.0</v>
      </c>
      <c r="Z86" s="15">
        <v>484.0</v>
      </c>
      <c r="AB86" s="15">
        <v>197.0</v>
      </c>
      <c r="AD86" s="36">
        <v>1608.0</v>
      </c>
      <c r="AE86" s="37">
        <v>1676.0</v>
      </c>
      <c r="AF86" s="37">
        <v>1661.0</v>
      </c>
      <c r="AG86" s="14">
        <v>646.0</v>
      </c>
      <c r="AI86" s="15">
        <v>202.0</v>
      </c>
      <c r="AK86" s="15">
        <v>848.0</v>
      </c>
      <c r="AL86" s="14">
        <v>445.0</v>
      </c>
      <c r="AN86" s="15">
        <v>357.0</v>
      </c>
      <c r="AP86" s="15">
        <v>158.0</v>
      </c>
      <c r="AR86" s="15">
        <v>116.0</v>
      </c>
      <c r="AT86" s="36">
        <v>1076.0</v>
      </c>
      <c r="AU86" s="14">
        <v>687.0</v>
      </c>
      <c r="AW86" s="15">
        <v>176.0</v>
      </c>
      <c r="AY86" s="15">
        <v>269.0</v>
      </c>
      <c r="BA86" s="15">
        <v>148.0</v>
      </c>
      <c r="BC86" s="36">
        <v>1280.0</v>
      </c>
      <c r="BD86" s="15">
        <v>112.0</v>
      </c>
      <c r="BF86" s="15">
        <v>43.0</v>
      </c>
      <c r="BH86" s="15">
        <v>155.0</v>
      </c>
    </row>
    <row r="87" ht="15.75" customHeight="1">
      <c r="A87" s="6" t="s">
        <v>60</v>
      </c>
      <c r="B87" s="30" t="s">
        <v>157</v>
      </c>
      <c r="C87" s="14">
        <v>2370.0</v>
      </c>
      <c r="E87" s="15">
        <v>174.0</v>
      </c>
      <c r="G87" s="15">
        <v>33.0</v>
      </c>
      <c r="I87" s="36">
        <v>2577.0</v>
      </c>
      <c r="J87" s="14">
        <v>3677.0</v>
      </c>
      <c r="L87" s="15">
        <v>500.0</v>
      </c>
      <c r="N87" s="15">
        <v>383.0</v>
      </c>
      <c r="O87" s="15"/>
      <c r="P87" s="36">
        <v>4560.0</v>
      </c>
      <c r="Q87" s="14">
        <v>3446.0</v>
      </c>
      <c r="S87" s="15">
        <v>1017.0</v>
      </c>
      <c r="U87" s="15">
        <v>165.0</v>
      </c>
      <c r="W87" s="36">
        <v>4628.0</v>
      </c>
      <c r="X87" s="15">
        <v>2995.0</v>
      </c>
      <c r="Z87" s="15">
        <v>1031.0</v>
      </c>
      <c r="AB87" s="15">
        <v>359.0</v>
      </c>
      <c r="AD87" s="36">
        <v>4385.0</v>
      </c>
      <c r="AE87" s="37">
        <v>3709.0</v>
      </c>
      <c r="AF87" s="37">
        <v>4062.0</v>
      </c>
      <c r="AG87" s="14">
        <v>1613.0</v>
      </c>
      <c r="AI87" s="15">
        <v>912.0</v>
      </c>
      <c r="AK87" s="15">
        <v>2525.0</v>
      </c>
      <c r="AL87" s="14">
        <v>957.0</v>
      </c>
      <c r="AN87" s="15">
        <v>662.0</v>
      </c>
      <c r="AP87" s="15">
        <v>398.0</v>
      </c>
      <c r="AR87" s="15">
        <v>407.0</v>
      </c>
      <c r="AT87" s="36">
        <v>2424.0</v>
      </c>
      <c r="AU87" s="14">
        <v>2320.0</v>
      </c>
      <c r="AW87" s="15">
        <v>737.0</v>
      </c>
      <c r="AY87" s="15">
        <v>1024.0</v>
      </c>
      <c r="BA87" s="15">
        <v>659.0</v>
      </c>
      <c r="BC87" s="36">
        <v>4740.0</v>
      </c>
      <c r="BD87" s="15">
        <v>2773.0</v>
      </c>
      <c r="BF87" s="15">
        <v>618.0</v>
      </c>
      <c r="BH87" s="15">
        <v>3391.0</v>
      </c>
    </row>
    <row r="88" ht="15.75" customHeight="1">
      <c r="A88" s="6" t="s">
        <v>53</v>
      </c>
      <c r="B88" s="30" t="s">
        <v>186</v>
      </c>
      <c r="C88" s="14">
        <v>1574.0</v>
      </c>
      <c r="E88" s="15">
        <v>92.0</v>
      </c>
      <c r="G88" s="15">
        <v>18.0</v>
      </c>
      <c r="I88" s="36">
        <v>1684.0</v>
      </c>
      <c r="J88" s="14">
        <v>2156.0</v>
      </c>
      <c r="L88" s="15">
        <v>508.0</v>
      </c>
      <c r="N88" s="15">
        <v>558.0</v>
      </c>
      <c r="O88" s="15"/>
      <c r="P88" s="36">
        <v>3222.0</v>
      </c>
      <c r="Q88" s="14">
        <v>2417.0</v>
      </c>
      <c r="S88" s="15">
        <v>747.0</v>
      </c>
      <c r="U88" s="15">
        <v>131.0</v>
      </c>
      <c r="W88" s="36">
        <v>3295.0</v>
      </c>
      <c r="X88" s="15">
        <v>2165.0</v>
      </c>
      <c r="Z88" s="15">
        <v>595.0</v>
      </c>
      <c r="AB88" s="15">
        <v>403.0</v>
      </c>
      <c r="AD88" s="36">
        <v>3163.0</v>
      </c>
      <c r="AE88" s="37">
        <v>2490.0</v>
      </c>
      <c r="AF88" s="37">
        <v>2645.0</v>
      </c>
      <c r="AG88" s="14">
        <v>1192.0</v>
      </c>
      <c r="AI88" s="15">
        <v>453.0</v>
      </c>
      <c r="AK88" s="15">
        <v>1645.0</v>
      </c>
      <c r="AL88" s="14">
        <v>588.0</v>
      </c>
      <c r="AN88" s="15">
        <v>426.0</v>
      </c>
      <c r="AP88" s="15">
        <v>229.0</v>
      </c>
      <c r="AR88" s="15">
        <v>293.0</v>
      </c>
      <c r="AT88" s="36">
        <v>1536.0</v>
      </c>
      <c r="AU88" s="14">
        <v>1399.0</v>
      </c>
      <c r="AW88" s="15">
        <v>450.0</v>
      </c>
      <c r="AY88" s="15">
        <v>727.0</v>
      </c>
      <c r="BA88" s="15">
        <v>499.0</v>
      </c>
      <c r="BC88" s="36">
        <v>3075.0</v>
      </c>
      <c r="BD88" s="15">
        <v>971.0</v>
      </c>
      <c r="BF88" s="15">
        <v>338.0</v>
      </c>
      <c r="BH88" s="15">
        <v>1309.0</v>
      </c>
    </row>
    <row r="89" ht="15.75" customHeight="1">
      <c r="A89" s="6" t="s">
        <v>62</v>
      </c>
      <c r="B89" s="30" t="s">
        <v>225</v>
      </c>
      <c r="C89" s="14">
        <v>435.0</v>
      </c>
      <c r="E89" s="15">
        <v>15.0</v>
      </c>
      <c r="G89" s="15">
        <v>7.0</v>
      </c>
      <c r="I89" s="36">
        <v>457.0</v>
      </c>
      <c r="J89" s="14">
        <v>818.0</v>
      </c>
      <c r="L89" s="15">
        <v>265.0</v>
      </c>
      <c r="N89" s="15">
        <v>96.0</v>
      </c>
      <c r="O89" s="15"/>
      <c r="P89" s="36">
        <v>1179.0</v>
      </c>
      <c r="Q89" s="14">
        <v>704.0</v>
      </c>
      <c r="S89" s="15">
        <v>349.0</v>
      </c>
      <c r="U89" s="15">
        <v>146.0</v>
      </c>
      <c r="W89" s="36">
        <v>1199.0</v>
      </c>
      <c r="X89" s="15">
        <v>456.0</v>
      </c>
      <c r="Z89" s="15">
        <v>334.0</v>
      </c>
      <c r="AB89" s="15">
        <v>301.0</v>
      </c>
      <c r="AD89" s="36">
        <v>1091.0</v>
      </c>
      <c r="AE89" s="37">
        <v>1054.0</v>
      </c>
      <c r="AF89" s="37">
        <v>1073.0</v>
      </c>
      <c r="AG89" s="14">
        <v>436.0</v>
      </c>
      <c r="AI89" s="15">
        <v>206.0</v>
      </c>
      <c r="AK89" s="15">
        <v>642.0</v>
      </c>
      <c r="AL89" s="14">
        <v>292.0</v>
      </c>
      <c r="AN89" s="15">
        <v>293.0</v>
      </c>
      <c r="AP89" s="15">
        <v>103.0</v>
      </c>
      <c r="AR89" s="15">
        <v>92.0</v>
      </c>
      <c r="AT89" s="36">
        <v>780.0</v>
      </c>
      <c r="AU89" s="14">
        <v>515.0</v>
      </c>
      <c r="AW89" s="15">
        <v>113.0</v>
      </c>
      <c r="AY89" s="15">
        <v>197.0</v>
      </c>
      <c r="BA89" s="15">
        <v>81.0</v>
      </c>
      <c r="BC89" s="36">
        <v>906.0</v>
      </c>
      <c r="BD89" s="15">
        <v>212.0</v>
      </c>
      <c r="BF89" s="15">
        <v>76.0</v>
      </c>
      <c r="BH89" s="15">
        <v>288.0</v>
      </c>
    </row>
    <row r="90" ht="15.75" customHeight="1">
      <c r="A90" s="6" t="s">
        <v>60</v>
      </c>
      <c r="B90" s="30" t="s">
        <v>133</v>
      </c>
      <c r="C90" s="14">
        <v>3242.0</v>
      </c>
      <c r="E90" s="15">
        <v>184.0</v>
      </c>
      <c r="G90" s="15">
        <v>62.0</v>
      </c>
      <c r="I90" s="36">
        <v>3488.0</v>
      </c>
      <c r="J90" s="14">
        <v>6036.0</v>
      </c>
      <c r="L90" s="15">
        <v>903.0</v>
      </c>
      <c r="N90" s="15">
        <v>277.0</v>
      </c>
      <c r="O90" s="15"/>
      <c r="P90" s="36">
        <v>7216.0</v>
      </c>
      <c r="Q90" s="14">
        <v>5400.0</v>
      </c>
      <c r="S90" s="15">
        <v>1532.0</v>
      </c>
      <c r="U90" s="15">
        <v>315.0</v>
      </c>
      <c r="W90" s="36">
        <v>7247.0</v>
      </c>
      <c r="X90" s="15">
        <v>3823.0</v>
      </c>
      <c r="Z90" s="15">
        <v>2283.0</v>
      </c>
      <c r="AB90" s="15">
        <v>774.0</v>
      </c>
      <c r="AD90" s="36">
        <v>6880.0</v>
      </c>
      <c r="AE90" s="37">
        <v>5086.0</v>
      </c>
      <c r="AF90" s="37">
        <v>4976.0</v>
      </c>
      <c r="AG90" s="14">
        <v>2601.0</v>
      </c>
      <c r="AI90" s="15">
        <v>1057.0</v>
      </c>
      <c r="AK90" s="15">
        <v>3658.0</v>
      </c>
      <c r="AL90" s="14">
        <v>1439.0</v>
      </c>
      <c r="AN90" s="15">
        <v>1363.0</v>
      </c>
      <c r="AP90" s="15">
        <v>815.0</v>
      </c>
      <c r="AR90" s="15">
        <v>575.0</v>
      </c>
      <c r="AT90" s="36">
        <v>4192.0</v>
      </c>
      <c r="AU90" s="14">
        <v>3092.0</v>
      </c>
      <c r="AW90" s="15">
        <v>1285.0</v>
      </c>
      <c r="AY90" s="15">
        <v>1562.0</v>
      </c>
      <c r="BA90" s="15">
        <v>1029.0</v>
      </c>
      <c r="BC90" s="36">
        <v>6968.0</v>
      </c>
      <c r="BD90" s="15">
        <v>4842.0</v>
      </c>
      <c r="BF90" s="15">
        <v>978.0</v>
      </c>
      <c r="BH90" s="15">
        <v>5820.0</v>
      </c>
    </row>
    <row r="91" ht="15.75" customHeight="1">
      <c r="A91" s="6" t="s">
        <v>52</v>
      </c>
      <c r="B91" s="30" t="s">
        <v>148</v>
      </c>
      <c r="C91" s="14">
        <v>2646.0</v>
      </c>
      <c r="E91" s="15">
        <v>156.0</v>
      </c>
      <c r="G91" s="15">
        <v>51.0</v>
      </c>
      <c r="I91" s="36">
        <v>2853.0</v>
      </c>
      <c r="J91" s="14">
        <v>4304.0</v>
      </c>
      <c r="L91" s="15">
        <v>688.0</v>
      </c>
      <c r="N91" s="15">
        <v>508.0</v>
      </c>
      <c r="O91" s="15"/>
      <c r="P91" s="36">
        <v>5500.0</v>
      </c>
      <c r="Q91" s="14">
        <v>3872.0</v>
      </c>
      <c r="S91" s="15">
        <v>1403.0</v>
      </c>
      <c r="U91" s="15">
        <v>306.0</v>
      </c>
      <c r="W91" s="36">
        <v>5581.0</v>
      </c>
      <c r="X91" s="15">
        <v>2675.0</v>
      </c>
      <c r="Z91" s="15">
        <v>1318.0</v>
      </c>
      <c r="AB91" s="15">
        <v>1214.0</v>
      </c>
      <c r="AD91" s="36">
        <v>5207.0</v>
      </c>
      <c r="AE91" s="37">
        <v>4868.0</v>
      </c>
      <c r="AF91" s="37">
        <v>4986.0</v>
      </c>
      <c r="AG91" s="14">
        <v>1273.0</v>
      </c>
      <c r="AI91" s="15">
        <v>857.0</v>
      </c>
      <c r="AK91" s="15">
        <v>2130.0</v>
      </c>
      <c r="AL91" s="14">
        <v>1163.0</v>
      </c>
      <c r="AN91" s="15">
        <v>296.0</v>
      </c>
      <c r="AP91" s="15">
        <v>630.0</v>
      </c>
      <c r="AR91" s="15">
        <v>460.0</v>
      </c>
      <c r="AT91" s="36">
        <v>2549.0</v>
      </c>
      <c r="AU91" s="14">
        <v>3061.0</v>
      </c>
      <c r="AW91" s="15">
        <v>829.0</v>
      </c>
      <c r="AY91" s="15">
        <v>1427.0</v>
      </c>
      <c r="BA91" s="15">
        <v>650.0</v>
      </c>
      <c r="BC91" s="36">
        <v>5967.0</v>
      </c>
      <c r="BD91" s="15">
        <v>2786.0</v>
      </c>
      <c r="BF91" s="15">
        <v>762.0</v>
      </c>
      <c r="BH91" s="15">
        <v>3548.0</v>
      </c>
    </row>
    <row r="92" ht="15.75" customHeight="1">
      <c r="A92" s="6" t="s">
        <v>287</v>
      </c>
      <c r="B92" s="30" t="s">
        <v>192</v>
      </c>
      <c r="C92" s="14">
        <v>1247.0</v>
      </c>
      <c r="E92" s="15">
        <v>176.0</v>
      </c>
      <c r="G92" s="15">
        <v>27.0</v>
      </c>
      <c r="I92" s="36">
        <v>1450.0</v>
      </c>
      <c r="J92" s="14">
        <v>2312.0</v>
      </c>
      <c r="L92" s="15">
        <v>234.0</v>
      </c>
      <c r="N92" s="15">
        <v>362.0</v>
      </c>
      <c r="O92" s="15"/>
      <c r="P92" s="36">
        <v>2908.0</v>
      </c>
      <c r="Q92" s="14">
        <v>2135.0</v>
      </c>
      <c r="S92" s="15">
        <v>693.0</v>
      </c>
      <c r="U92" s="15">
        <v>148.0</v>
      </c>
      <c r="W92" s="36">
        <v>2976.0</v>
      </c>
      <c r="X92" s="15">
        <v>1071.0</v>
      </c>
      <c r="Z92" s="15">
        <v>1006.0</v>
      </c>
      <c r="AB92" s="15">
        <v>691.0</v>
      </c>
      <c r="AD92" s="36">
        <v>2768.0</v>
      </c>
      <c r="AE92" s="37">
        <v>1606.0</v>
      </c>
      <c r="AF92" s="37">
        <v>1706.0</v>
      </c>
      <c r="AG92" s="14">
        <v>835.0</v>
      </c>
      <c r="AI92" s="15">
        <v>462.0</v>
      </c>
      <c r="AK92" s="15">
        <v>1297.0</v>
      </c>
      <c r="AL92" s="14">
        <v>766.0</v>
      </c>
      <c r="AN92" s="15">
        <v>468.0</v>
      </c>
      <c r="AP92" s="15">
        <v>308.0</v>
      </c>
      <c r="AR92" s="15">
        <v>275.0</v>
      </c>
      <c r="AT92" s="36">
        <v>1817.0</v>
      </c>
      <c r="AU92" s="14">
        <v>1333.0</v>
      </c>
      <c r="AW92" s="15">
        <v>563.0</v>
      </c>
      <c r="AY92" s="15">
        <v>644.0</v>
      </c>
      <c r="BA92" s="15">
        <v>367.0</v>
      </c>
      <c r="BC92" s="36">
        <v>2907.0</v>
      </c>
      <c r="BD92" s="15">
        <v>352.0</v>
      </c>
      <c r="BF92" s="15">
        <v>110.0</v>
      </c>
      <c r="BH92" s="15">
        <v>462.0</v>
      </c>
    </row>
    <row r="93" ht="15.75" customHeight="1">
      <c r="A93" s="6" t="s">
        <v>54</v>
      </c>
      <c r="B93" s="30" t="s">
        <v>203</v>
      </c>
      <c r="C93" s="14">
        <v>929.0</v>
      </c>
      <c r="E93" s="15">
        <v>88.0</v>
      </c>
      <c r="G93" s="15">
        <v>14.0</v>
      </c>
      <c r="I93" s="36">
        <v>1031.0</v>
      </c>
      <c r="J93" s="14">
        <v>1659.0</v>
      </c>
      <c r="L93" s="15">
        <v>154.0</v>
      </c>
      <c r="N93" s="15">
        <v>95.0</v>
      </c>
      <c r="O93" s="15"/>
      <c r="P93" s="36">
        <v>1908.0</v>
      </c>
      <c r="Q93" s="14">
        <v>1335.0</v>
      </c>
      <c r="S93" s="15">
        <v>545.0</v>
      </c>
      <c r="U93" s="15">
        <v>61.0</v>
      </c>
      <c r="W93" s="36">
        <v>1941.0</v>
      </c>
      <c r="X93" s="15">
        <v>1018.0</v>
      </c>
      <c r="Z93" s="15">
        <v>416.0</v>
      </c>
      <c r="AB93" s="15">
        <v>341.0</v>
      </c>
      <c r="AD93" s="36">
        <v>1775.0</v>
      </c>
      <c r="AE93" s="37">
        <v>1615.0</v>
      </c>
      <c r="AF93" s="37">
        <v>1666.0</v>
      </c>
      <c r="AG93" s="14">
        <v>633.0</v>
      </c>
      <c r="AI93" s="15">
        <v>261.0</v>
      </c>
      <c r="AK93" s="15">
        <v>894.0</v>
      </c>
      <c r="AL93" s="14">
        <v>463.0</v>
      </c>
      <c r="AN93" s="15">
        <v>531.0</v>
      </c>
      <c r="AP93" s="15">
        <v>232.0</v>
      </c>
      <c r="AR93" s="15">
        <v>113.0</v>
      </c>
      <c r="AT93" s="36">
        <v>1339.0</v>
      </c>
      <c r="AU93" s="14">
        <v>742.0</v>
      </c>
      <c r="AW93" s="15">
        <v>263.0</v>
      </c>
      <c r="AY93" s="15">
        <v>515.0</v>
      </c>
      <c r="BA93" s="15">
        <v>158.0</v>
      </c>
      <c r="BC93" s="36">
        <v>1678.0</v>
      </c>
      <c r="BD93" s="15">
        <v>703.0</v>
      </c>
      <c r="BF93" s="15">
        <v>171.0</v>
      </c>
      <c r="BH93" s="15">
        <v>874.0</v>
      </c>
    </row>
    <row r="94" ht="15.75" customHeight="1">
      <c r="A94" s="6" t="s">
        <v>287</v>
      </c>
      <c r="B94" s="30" t="s">
        <v>216</v>
      </c>
      <c r="C94" s="14">
        <v>791.0</v>
      </c>
      <c r="E94" s="15">
        <v>47.0</v>
      </c>
      <c r="G94" s="15">
        <v>12.0</v>
      </c>
      <c r="I94" s="36">
        <v>850.0</v>
      </c>
      <c r="J94" s="14">
        <v>1095.0</v>
      </c>
      <c r="L94" s="15">
        <v>180.0</v>
      </c>
      <c r="N94" s="15">
        <v>159.0</v>
      </c>
      <c r="O94" s="15"/>
      <c r="P94" s="36">
        <v>1434.0</v>
      </c>
      <c r="Q94" s="14">
        <v>1062.0</v>
      </c>
      <c r="S94" s="15">
        <v>301.0</v>
      </c>
      <c r="U94" s="15">
        <v>107.0</v>
      </c>
      <c r="W94" s="36">
        <v>1470.0</v>
      </c>
      <c r="X94" s="15">
        <v>540.0</v>
      </c>
      <c r="Z94" s="15">
        <v>454.0</v>
      </c>
      <c r="AB94" s="15">
        <v>353.0</v>
      </c>
      <c r="AD94" s="36">
        <v>1347.0</v>
      </c>
      <c r="AE94" s="37">
        <v>1623.0</v>
      </c>
      <c r="AF94" s="37">
        <v>1535.0</v>
      </c>
      <c r="AG94" s="14">
        <v>337.0</v>
      </c>
      <c r="AI94" s="15">
        <v>148.0</v>
      </c>
      <c r="AK94" s="15">
        <v>485.0</v>
      </c>
      <c r="AL94" s="14">
        <v>215.0</v>
      </c>
      <c r="AN94" s="15">
        <v>186.0</v>
      </c>
      <c r="AP94" s="15">
        <v>94.0</v>
      </c>
      <c r="AR94" s="15">
        <v>80.0</v>
      </c>
      <c r="AT94" s="36">
        <v>575.0</v>
      </c>
      <c r="AU94" s="14">
        <v>639.0</v>
      </c>
      <c r="AW94" s="15">
        <v>143.0</v>
      </c>
      <c r="AY94" s="15">
        <v>249.0</v>
      </c>
      <c r="BA94" s="15">
        <v>121.0</v>
      </c>
      <c r="BC94" s="36">
        <v>1152.0</v>
      </c>
      <c r="BD94" s="15">
        <v>191.0</v>
      </c>
      <c r="BF94" s="15">
        <v>80.0</v>
      </c>
      <c r="BH94" s="15">
        <v>271.0</v>
      </c>
    </row>
    <row r="95" ht="15.75" customHeight="1">
      <c r="A95" s="6" t="s">
        <v>62</v>
      </c>
      <c r="B95" s="30" t="s">
        <v>122</v>
      </c>
      <c r="C95" s="14">
        <v>4571.0</v>
      </c>
      <c r="E95" s="15">
        <v>401.0</v>
      </c>
      <c r="G95" s="15">
        <v>114.0</v>
      </c>
      <c r="I95" s="36">
        <v>5086.0</v>
      </c>
      <c r="J95" s="14">
        <v>7802.0</v>
      </c>
      <c r="L95" s="15">
        <v>2093.0</v>
      </c>
      <c r="N95" s="15">
        <v>765.0</v>
      </c>
      <c r="O95" s="15"/>
      <c r="P95" s="36">
        <v>10660.0</v>
      </c>
      <c r="Q95" s="14">
        <v>6802.0</v>
      </c>
      <c r="S95" s="15">
        <v>3209.0</v>
      </c>
      <c r="U95" s="15">
        <v>767.0</v>
      </c>
      <c r="W95" s="36">
        <v>10778.0</v>
      </c>
      <c r="X95" s="15">
        <v>4790.0</v>
      </c>
      <c r="Z95" s="15">
        <v>2629.0</v>
      </c>
      <c r="AB95" s="15">
        <v>2472.0</v>
      </c>
      <c r="AD95" s="36">
        <v>9891.0</v>
      </c>
      <c r="AE95" s="37">
        <v>7080.0</v>
      </c>
      <c r="AF95" s="37">
        <v>7280.0</v>
      </c>
      <c r="AG95" s="14">
        <v>2862.0</v>
      </c>
      <c r="AI95" s="15">
        <v>1346.0</v>
      </c>
      <c r="AK95" s="15">
        <v>4208.0</v>
      </c>
      <c r="AL95" s="14">
        <v>1943.0</v>
      </c>
      <c r="AN95" s="15">
        <v>1479.0</v>
      </c>
      <c r="AP95" s="15">
        <v>1120.0</v>
      </c>
      <c r="AR95" s="15">
        <v>856.0</v>
      </c>
      <c r="AT95" s="36">
        <v>5398.0</v>
      </c>
      <c r="AU95" s="14">
        <v>5333.0</v>
      </c>
      <c r="AW95" s="15">
        <v>2005.0</v>
      </c>
      <c r="AY95" s="15">
        <v>3215.0</v>
      </c>
      <c r="BA95" s="15">
        <v>1499.0</v>
      </c>
      <c r="BC95" s="36">
        <v>12052.0</v>
      </c>
      <c r="BD95" s="15">
        <v>2261.0</v>
      </c>
      <c r="BF95" s="15">
        <v>718.0</v>
      </c>
      <c r="BH95" s="15">
        <v>2979.0</v>
      </c>
    </row>
    <row r="96" ht="15.75" customHeight="1">
      <c r="A96" s="6" t="s">
        <v>53</v>
      </c>
      <c r="B96" s="30" t="s">
        <v>139</v>
      </c>
      <c r="C96" s="14">
        <v>3277.0</v>
      </c>
      <c r="E96" s="15">
        <v>384.0</v>
      </c>
      <c r="G96" s="15">
        <v>83.0</v>
      </c>
      <c r="I96" s="36">
        <v>3744.0</v>
      </c>
      <c r="J96" s="14">
        <v>3737.0</v>
      </c>
      <c r="L96" s="15">
        <v>815.0</v>
      </c>
      <c r="N96" s="15">
        <v>1280.0</v>
      </c>
      <c r="O96" s="15"/>
      <c r="P96" s="36">
        <v>5832.0</v>
      </c>
      <c r="Q96" s="14">
        <v>4265.0</v>
      </c>
      <c r="S96" s="15">
        <v>1353.0</v>
      </c>
      <c r="U96" s="15">
        <v>339.0</v>
      </c>
      <c r="W96" s="36">
        <v>5957.0</v>
      </c>
      <c r="X96" s="15">
        <v>2345.0</v>
      </c>
      <c r="Z96" s="15">
        <v>2500.0</v>
      </c>
      <c r="AB96" s="15">
        <v>765.0</v>
      </c>
      <c r="AD96" s="36">
        <v>5610.0</v>
      </c>
      <c r="AE96" s="37">
        <v>6109.0</v>
      </c>
      <c r="AF96" s="37">
        <v>6594.0</v>
      </c>
      <c r="AG96" s="14">
        <v>2030.0</v>
      </c>
      <c r="AI96" s="15">
        <v>1191.0</v>
      </c>
      <c r="AK96" s="15">
        <v>3221.0</v>
      </c>
      <c r="AL96" s="14">
        <v>1175.0</v>
      </c>
      <c r="AN96" s="15">
        <v>563.0</v>
      </c>
      <c r="AP96" s="15">
        <v>423.0</v>
      </c>
      <c r="AR96" s="15">
        <v>548.0</v>
      </c>
      <c r="AT96" s="36">
        <v>2709.0</v>
      </c>
      <c r="AU96" s="14">
        <v>2470.0</v>
      </c>
      <c r="AW96" s="15">
        <v>1032.0</v>
      </c>
      <c r="AY96" s="15">
        <v>1654.0</v>
      </c>
      <c r="BA96" s="15">
        <v>776.0</v>
      </c>
      <c r="BC96" s="36">
        <v>5932.0</v>
      </c>
      <c r="BD96" s="15">
        <v>2615.0</v>
      </c>
      <c r="BF96" s="15">
        <v>1089.0</v>
      </c>
      <c r="BH96" s="15">
        <v>3704.0</v>
      </c>
    </row>
    <row r="97" ht="15.75" customHeight="1">
      <c r="A97" s="6" t="s">
        <v>60</v>
      </c>
      <c r="B97" s="30" t="s">
        <v>60</v>
      </c>
      <c r="C97" s="14">
        <v>446.0</v>
      </c>
      <c r="E97" s="15">
        <v>28.0</v>
      </c>
      <c r="G97" s="15">
        <v>7.0</v>
      </c>
      <c r="I97" s="36">
        <v>481.0</v>
      </c>
      <c r="J97" s="14">
        <v>587.0</v>
      </c>
      <c r="L97" s="15">
        <v>121.0</v>
      </c>
      <c r="N97" s="15">
        <v>70.0</v>
      </c>
      <c r="O97" s="15"/>
      <c r="P97" s="36">
        <v>778.0</v>
      </c>
      <c r="Q97" s="14">
        <v>530.0</v>
      </c>
      <c r="S97" s="15">
        <v>222.0</v>
      </c>
      <c r="U97" s="15">
        <v>38.0</v>
      </c>
      <c r="W97" s="36">
        <v>790.0</v>
      </c>
      <c r="X97" s="15">
        <v>430.0</v>
      </c>
      <c r="Z97" s="15">
        <v>170.0</v>
      </c>
      <c r="AB97" s="15">
        <v>127.0</v>
      </c>
      <c r="AD97" s="36">
        <v>727.0</v>
      </c>
      <c r="AE97" s="37">
        <v>406.0</v>
      </c>
      <c r="AF97" s="37">
        <v>438.0</v>
      </c>
      <c r="AG97" s="14">
        <v>240.0</v>
      </c>
      <c r="AI97" s="15">
        <v>125.0</v>
      </c>
      <c r="AK97" s="15">
        <v>365.0</v>
      </c>
      <c r="AL97" s="14">
        <v>140.0</v>
      </c>
      <c r="AN97" s="15">
        <v>108.0</v>
      </c>
      <c r="AP97" s="15">
        <v>74.0</v>
      </c>
      <c r="AR97" s="15">
        <v>39.0</v>
      </c>
      <c r="AT97" s="36">
        <v>361.0</v>
      </c>
      <c r="AU97" s="14">
        <v>415.0</v>
      </c>
      <c r="AW97" s="15">
        <v>135.0</v>
      </c>
      <c r="AY97" s="15">
        <v>162.0</v>
      </c>
      <c r="BA97" s="15">
        <v>112.0</v>
      </c>
      <c r="BC97" s="36">
        <v>824.0</v>
      </c>
      <c r="BD97" s="15">
        <v>23.0</v>
      </c>
      <c r="BF97" s="15">
        <v>7.0</v>
      </c>
      <c r="BH97" s="15">
        <v>30.0</v>
      </c>
    </row>
    <row r="98" ht="15.75" customHeight="1">
      <c r="A98" s="6" t="s">
        <v>53</v>
      </c>
      <c r="B98" s="30" t="s">
        <v>141</v>
      </c>
      <c r="C98" s="14">
        <v>2839.0</v>
      </c>
      <c r="E98" s="15">
        <v>230.0</v>
      </c>
      <c r="G98" s="15">
        <v>55.0</v>
      </c>
      <c r="I98" s="36">
        <v>3124.0</v>
      </c>
      <c r="J98" s="14">
        <v>3974.0</v>
      </c>
      <c r="L98" s="15">
        <v>1309.0</v>
      </c>
      <c r="N98" s="15">
        <v>842.0</v>
      </c>
      <c r="O98" s="15"/>
      <c r="P98" s="36">
        <v>6125.0</v>
      </c>
      <c r="Q98" s="14">
        <v>4666.0</v>
      </c>
      <c r="S98" s="15">
        <v>1277.0</v>
      </c>
      <c r="U98" s="15">
        <v>250.0</v>
      </c>
      <c r="W98" s="36">
        <v>6193.0</v>
      </c>
      <c r="X98" s="15">
        <v>3414.0</v>
      </c>
      <c r="Z98" s="15">
        <v>1591.0</v>
      </c>
      <c r="AB98" s="15">
        <v>808.0</v>
      </c>
      <c r="AD98" s="36">
        <v>5813.0</v>
      </c>
      <c r="AE98" s="37">
        <v>5594.0</v>
      </c>
      <c r="AF98" s="37">
        <v>5706.0</v>
      </c>
      <c r="AG98" s="14">
        <v>2723.0</v>
      </c>
      <c r="AI98" s="15">
        <v>560.0</v>
      </c>
      <c r="AK98" s="15">
        <v>3283.0</v>
      </c>
      <c r="AL98" s="14">
        <v>756.0</v>
      </c>
      <c r="AN98" s="15">
        <v>1577.0</v>
      </c>
      <c r="AP98" s="15">
        <v>302.0</v>
      </c>
      <c r="AR98" s="15">
        <v>365.0</v>
      </c>
      <c r="AT98" s="36">
        <v>3000.0</v>
      </c>
      <c r="AU98" s="14">
        <v>2463.0</v>
      </c>
      <c r="AW98" s="15">
        <v>853.0</v>
      </c>
      <c r="AY98" s="15">
        <v>1579.0</v>
      </c>
      <c r="BA98" s="15">
        <v>635.0</v>
      </c>
      <c r="BC98" s="36">
        <v>5530.0</v>
      </c>
      <c r="BD98" s="15">
        <v>3536.0</v>
      </c>
      <c r="BF98" s="15">
        <v>1020.0</v>
      </c>
      <c r="BH98" s="15">
        <v>4556.0</v>
      </c>
    </row>
    <row r="99" ht="15.75" customHeight="1">
      <c r="A99" s="6" t="s">
        <v>56</v>
      </c>
      <c r="B99" s="30" t="s">
        <v>224</v>
      </c>
      <c r="C99" s="14">
        <v>501.0</v>
      </c>
      <c r="E99" s="15">
        <v>29.0</v>
      </c>
      <c r="G99" s="15">
        <v>6.0</v>
      </c>
      <c r="I99" s="36">
        <v>536.0</v>
      </c>
      <c r="J99" s="14">
        <v>928.0</v>
      </c>
      <c r="L99" s="15">
        <v>164.0</v>
      </c>
      <c r="N99" s="15">
        <v>112.0</v>
      </c>
      <c r="O99" s="15"/>
      <c r="P99" s="36">
        <v>1204.0</v>
      </c>
      <c r="Q99" s="14">
        <v>721.0</v>
      </c>
      <c r="S99" s="15">
        <v>444.0</v>
      </c>
      <c r="U99" s="15">
        <v>78.0</v>
      </c>
      <c r="W99" s="36">
        <v>1243.0</v>
      </c>
      <c r="X99" s="15">
        <v>565.0</v>
      </c>
      <c r="Z99" s="15">
        <v>203.0</v>
      </c>
      <c r="AB99" s="15">
        <v>325.0</v>
      </c>
      <c r="AD99" s="36">
        <v>1093.0</v>
      </c>
      <c r="AE99" s="37">
        <v>1113.0</v>
      </c>
      <c r="AF99" s="37">
        <v>1094.0</v>
      </c>
      <c r="AG99" s="14">
        <v>235.0</v>
      </c>
      <c r="AI99" s="15">
        <v>116.0</v>
      </c>
      <c r="AK99" s="15">
        <v>351.0</v>
      </c>
      <c r="AL99" s="14">
        <v>268.0</v>
      </c>
      <c r="AN99" s="15">
        <v>99.0</v>
      </c>
      <c r="AP99" s="15">
        <v>108.0</v>
      </c>
      <c r="AR99" s="15">
        <v>126.0</v>
      </c>
      <c r="AT99" s="36">
        <v>601.0</v>
      </c>
      <c r="AU99" s="14">
        <v>473.0</v>
      </c>
      <c r="AW99" s="15">
        <v>95.0</v>
      </c>
      <c r="AY99" s="15">
        <v>228.0</v>
      </c>
      <c r="BA99" s="15">
        <v>86.0</v>
      </c>
      <c r="BC99" s="36">
        <v>882.0</v>
      </c>
      <c r="BD99" s="15">
        <v>611.0</v>
      </c>
      <c r="BF99" s="15">
        <v>164.0</v>
      </c>
      <c r="BH99" s="15">
        <v>775.0</v>
      </c>
    </row>
    <row r="100" ht="15.75" customHeight="1">
      <c r="A100" s="6" t="s">
        <v>54</v>
      </c>
      <c r="B100" s="30" t="s">
        <v>187</v>
      </c>
      <c r="C100" s="14">
        <v>1524.0</v>
      </c>
      <c r="E100" s="15">
        <v>202.0</v>
      </c>
      <c r="G100" s="15">
        <v>22.0</v>
      </c>
      <c r="I100" s="36">
        <v>1748.0</v>
      </c>
      <c r="J100" s="14">
        <v>2489.0</v>
      </c>
      <c r="L100" s="15">
        <v>318.0</v>
      </c>
      <c r="N100" s="15">
        <v>241.0</v>
      </c>
      <c r="O100" s="15"/>
      <c r="P100" s="36">
        <v>3048.0</v>
      </c>
      <c r="Q100" s="14">
        <v>2160.0</v>
      </c>
      <c r="S100" s="15">
        <v>713.0</v>
      </c>
      <c r="U100" s="15">
        <v>201.0</v>
      </c>
      <c r="W100" s="36">
        <v>3074.0</v>
      </c>
      <c r="X100" s="15">
        <v>1836.0</v>
      </c>
      <c r="Z100" s="15">
        <v>622.0</v>
      </c>
      <c r="AB100" s="15">
        <v>485.0</v>
      </c>
      <c r="AD100" s="36">
        <v>2943.0</v>
      </c>
      <c r="AE100" s="37">
        <v>2068.0</v>
      </c>
      <c r="AF100" s="37">
        <v>2454.0</v>
      </c>
      <c r="AG100" s="14">
        <v>986.0</v>
      </c>
      <c r="AI100" s="15">
        <v>542.0</v>
      </c>
      <c r="AK100" s="15">
        <v>1528.0</v>
      </c>
      <c r="AL100" s="14">
        <v>588.0</v>
      </c>
      <c r="AN100" s="15">
        <v>323.0</v>
      </c>
      <c r="AP100" s="15">
        <v>333.0</v>
      </c>
      <c r="AR100" s="15">
        <v>197.0</v>
      </c>
      <c r="AT100" s="36">
        <v>1441.0</v>
      </c>
      <c r="AU100" s="14">
        <v>1288.0</v>
      </c>
      <c r="AW100" s="15">
        <v>503.0</v>
      </c>
      <c r="AY100" s="15">
        <v>1046.0</v>
      </c>
      <c r="BA100" s="15">
        <v>331.0</v>
      </c>
      <c r="BC100" s="36">
        <v>3168.0</v>
      </c>
      <c r="BD100" s="15">
        <v>2077.0</v>
      </c>
      <c r="BF100" s="15">
        <v>370.0</v>
      </c>
      <c r="BH100" s="15">
        <v>2447.0</v>
      </c>
    </row>
    <row r="101" ht="15.75" customHeight="1">
      <c r="A101" s="6" t="s">
        <v>287</v>
      </c>
      <c r="B101" s="30" t="s">
        <v>194</v>
      </c>
      <c r="C101" s="14">
        <v>1128.0</v>
      </c>
      <c r="E101" s="15">
        <v>165.0</v>
      </c>
      <c r="G101" s="15">
        <v>15.0</v>
      </c>
      <c r="I101" s="36">
        <v>1308.0</v>
      </c>
      <c r="J101" s="14">
        <v>2053.0</v>
      </c>
      <c r="L101" s="15">
        <v>211.0</v>
      </c>
      <c r="N101" s="15">
        <v>244.0</v>
      </c>
      <c r="O101" s="15"/>
      <c r="P101" s="36">
        <v>2508.0</v>
      </c>
      <c r="Q101" s="14">
        <v>1786.0</v>
      </c>
      <c r="S101" s="15">
        <v>630.0</v>
      </c>
      <c r="U101" s="15">
        <v>151.0</v>
      </c>
      <c r="W101" s="36">
        <v>2567.0</v>
      </c>
      <c r="X101" s="15">
        <v>1082.0</v>
      </c>
      <c r="Z101" s="15">
        <v>723.0</v>
      </c>
      <c r="AB101" s="15">
        <v>530.0</v>
      </c>
      <c r="AD101" s="36">
        <v>2335.0</v>
      </c>
      <c r="AE101" s="37">
        <v>2098.0</v>
      </c>
      <c r="AF101" s="37">
        <v>2144.0</v>
      </c>
      <c r="AG101" s="14">
        <v>690.0</v>
      </c>
      <c r="AI101" s="15">
        <v>350.0</v>
      </c>
      <c r="AK101" s="15">
        <v>1040.0</v>
      </c>
      <c r="AL101" s="14">
        <v>425.0</v>
      </c>
      <c r="AN101" s="15">
        <v>319.0</v>
      </c>
      <c r="AP101" s="15">
        <v>223.0</v>
      </c>
      <c r="AR101" s="15">
        <v>193.0</v>
      </c>
      <c r="AT101" s="36">
        <v>1160.0</v>
      </c>
      <c r="AU101" s="14">
        <v>1080.0</v>
      </c>
      <c r="AW101" s="15">
        <v>299.0</v>
      </c>
      <c r="AY101" s="15">
        <v>373.0</v>
      </c>
      <c r="BA101" s="15">
        <v>247.0</v>
      </c>
      <c r="BC101" s="36">
        <v>1999.0</v>
      </c>
      <c r="BD101" s="15">
        <v>1374.0</v>
      </c>
      <c r="BF101" s="15">
        <v>350.0</v>
      </c>
      <c r="BH101" s="15">
        <v>1724.0</v>
      </c>
    </row>
    <row r="102" ht="15.75" customHeight="1">
      <c r="A102" s="6" t="s">
        <v>53</v>
      </c>
      <c r="B102" s="30" t="s">
        <v>182</v>
      </c>
      <c r="C102" s="14">
        <v>1816.0</v>
      </c>
      <c r="E102" s="15">
        <v>83.0</v>
      </c>
      <c r="G102" s="15">
        <v>31.0</v>
      </c>
      <c r="I102" s="36">
        <v>1930.0</v>
      </c>
      <c r="J102" s="14">
        <v>2195.0</v>
      </c>
      <c r="L102" s="15">
        <v>564.0</v>
      </c>
      <c r="N102" s="15">
        <v>602.0</v>
      </c>
      <c r="O102" s="15"/>
      <c r="P102" s="36">
        <v>3361.0</v>
      </c>
      <c r="Q102" s="14">
        <v>2474.0</v>
      </c>
      <c r="S102" s="15">
        <v>800.0</v>
      </c>
      <c r="U102" s="15">
        <v>141.0</v>
      </c>
      <c r="W102" s="36">
        <v>3415.0</v>
      </c>
      <c r="X102" s="15">
        <v>1858.0</v>
      </c>
      <c r="Z102" s="15">
        <v>896.0</v>
      </c>
      <c r="AB102" s="15">
        <v>495.0</v>
      </c>
      <c r="AD102" s="36">
        <v>3249.0</v>
      </c>
      <c r="AE102" s="37">
        <v>2569.0</v>
      </c>
      <c r="AF102" s="37">
        <v>2591.0</v>
      </c>
      <c r="AG102" s="14">
        <v>1217.0</v>
      </c>
      <c r="AI102" s="15">
        <v>351.0</v>
      </c>
      <c r="AK102" s="15">
        <v>1568.0</v>
      </c>
      <c r="AL102" s="14">
        <v>638.0</v>
      </c>
      <c r="AN102" s="15">
        <v>458.0</v>
      </c>
      <c r="AP102" s="15">
        <v>182.0</v>
      </c>
      <c r="AR102" s="15">
        <v>196.0</v>
      </c>
      <c r="AT102" s="36">
        <v>1474.0</v>
      </c>
      <c r="AU102" s="14">
        <v>1436.0</v>
      </c>
      <c r="AW102" s="15">
        <v>491.0</v>
      </c>
      <c r="AY102" s="15">
        <v>711.0</v>
      </c>
      <c r="BA102" s="15">
        <v>345.0</v>
      </c>
      <c r="BC102" s="36">
        <v>2983.0</v>
      </c>
      <c r="BD102" s="15">
        <v>1189.0</v>
      </c>
      <c r="BF102" s="15">
        <v>323.0</v>
      </c>
      <c r="BH102" s="15">
        <v>1512.0</v>
      </c>
    </row>
    <row r="103" ht="15.75" customHeight="1">
      <c r="A103" s="6" t="s">
        <v>62</v>
      </c>
      <c r="B103" s="30" t="s">
        <v>233</v>
      </c>
      <c r="C103" s="14">
        <v>458.0</v>
      </c>
      <c r="E103" s="15">
        <v>14.0</v>
      </c>
      <c r="G103" s="15">
        <v>4.0</v>
      </c>
      <c r="I103" s="36">
        <v>476.0</v>
      </c>
      <c r="J103" s="14">
        <v>754.0</v>
      </c>
      <c r="L103" s="15">
        <v>255.0</v>
      </c>
      <c r="N103" s="15">
        <v>61.0</v>
      </c>
      <c r="O103" s="15"/>
      <c r="P103" s="36">
        <v>1070.0</v>
      </c>
      <c r="Q103" s="14">
        <v>770.0</v>
      </c>
      <c r="S103" s="15">
        <v>258.0</v>
      </c>
      <c r="U103" s="15">
        <v>68.0</v>
      </c>
      <c r="W103" s="36">
        <v>1096.0</v>
      </c>
      <c r="X103" s="15">
        <v>441.0</v>
      </c>
      <c r="Z103" s="15">
        <v>275.0</v>
      </c>
      <c r="AB103" s="15">
        <v>212.0</v>
      </c>
      <c r="AD103" s="36">
        <v>928.0</v>
      </c>
      <c r="AE103" s="37">
        <v>634.0</v>
      </c>
      <c r="AF103" s="37">
        <v>597.0</v>
      </c>
      <c r="AG103" s="14">
        <v>422.0</v>
      </c>
      <c r="AI103" s="15">
        <v>257.0</v>
      </c>
      <c r="AK103" s="15">
        <v>679.0</v>
      </c>
      <c r="AL103" s="14">
        <v>345.0</v>
      </c>
      <c r="AN103" s="15">
        <v>267.0</v>
      </c>
      <c r="AP103" s="15">
        <v>76.0</v>
      </c>
      <c r="AR103" s="15">
        <v>94.0</v>
      </c>
      <c r="AT103" s="36">
        <v>782.0</v>
      </c>
      <c r="AU103" s="14">
        <v>556.0</v>
      </c>
      <c r="AW103" s="15">
        <v>139.0</v>
      </c>
      <c r="AY103" s="15">
        <v>152.0</v>
      </c>
      <c r="BA103" s="15">
        <v>74.0</v>
      </c>
      <c r="BC103" s="36">
        <v>921.0</v>
      </c>
      <c r="BD103" s="15">
        <v>85.0</v>
      </c>
      <c r="BF103" s="15">
        <v>35.0</v>
      </c>
      <c r="BH103" s="15">
        <v>120.0</v>
      </c>
    </row>
    <row r="104" ht="15.75" customHeight="1">
      <c r="A104" s="6" t="s">
        <v>52</v>
      </c>
      <c r="B104" s="30" t="s">
        <v>195</v>
      </c>
      <c r="C104" s="14">
        <v>1133.0</v>
      </c>
      <c r="E104" s="15">
        <v>68.0</v>
      </c>
      <c r="G104" s="15">
        <v>17.0</v>
      </c>
      <c r="I104" s="36">
        <v>1218.0</v>
      </c>
      <c r="J104" s="14">
        <v>1680.0</v>
      </c>
      <c r="L104" s="15">
        <v>777.0</v>
      </c>
      <c r="N104" s="15">
        <v>140.0</v>
      </c>
      <c r="O104" s="15"/>
      <c r="P104" s="36">
        <v>2597.0</v>
      </c>
      <c r="Q104" s="14">
        <v>1919.0</v>
      </c>
      <c r="S104" s="15">
        <v>572.0</v>
      </c>
      <c r="U104" s="15">
        <v>124.0</v>
      </c>
      <c r="W104" s="36">
        <v>2615.0</v>
      </c>
      <c r="X104" s="15">
        <v>1348.0</v>
      </c>
      <c r="Z104" s="15">
        <v>695.0</v>
      </c>
      <c r="AB104" s="15">
        <v>433.0</v>
      </c>
      <c r="AD104" s="36">
        <v>2476.0</v>
      </c>
      <c r="AE104" s="37">
        <v>2137.0</v>
      </c>
      <c r="AF104" s="37">
        <v>2191.0</v>
      </c>
      <c r="AG104" s="14">
        <v>692.0</v>
      </c>
      <c r="AI104" s="15">
        <v>433.0</v>
      </c>
      <c r="AK104" s="15">
        <v>1125.0</v>
      </c>
      <c r="AL104" s="14">
        <v>459.0</v>
      </c>
      <c r="AN104" s="15">
        <v>227.0</v>
      </c>
      <c r="AP104" s="15">
        <v>226.0</v>
      </c>
      <c r="AR104" s="15">
        <v>117.0</v>
      </c>
      <c r="AT104" s="36">
        <v>1029.0</v>
      </c>
      <c r="AU104" s="14">
        <v>1246.0</v>
      </c>
      <c r="AW104" s="15">
        <v>299.0</v>
      </c>
      <c r="AY104" s="15">
        <v>441.0</v>
      </c>
      <c r="BA104" s="15">
        <v>293.0</v>
      </c>
      <c r="BC104" s="36">
        <v>2279.0</v>
      </c>
      <c r="BD104" s="15">
        <v>942.0</v>
      </c>
      <c r="BF104" s="15">
        <v>211.0</v>
      </c>
      <c r="BH104" s="15">
        <v>1153.0</v>
      </c>
    </row>
    <row r="105" ht="15.75" customHeight="1">
      <c r="A105" s="6" t="s">
        <v>60</v>
      </c>
      <c r="B105" s="30" t="s">
        <v>144</v>
      </c>
      <c r="C105" s="14">
        <v>2812.0</v>
      </c>
      <c r="E105" s="15">
        <v>262.0</v>
      </c>
      <c r="G105" s="15">
        <v>79.0</v>
      </c>
      <c r="I105" s="36">
        <v>3153.0</v>
      </c>
      <c r="J105" s="14">
        <v>4870.0</v>
      </c>
      <c r="L105" s="15">
        <v>818.0</v>
      </c>
      <c r="N105" s="15">
        <v>550.0</v>
      </c>
      <c r="O105" s="15"/>
      <c r="P105" s="36">
        <v>6238.0</v>
      </c>
      <c r="Q105" s="14">
        <v>4697.0</v>
      </c>
      <c r="S105" s="15">
        <v>1362.0</v>
      </c>
      <c r="U105" s="15">
        <v>282.0</v>
      </c>
      <c r="W105" s="36">
        <v>6341.0</v>
      </c>
      <c r="X105" s="15">
        <v>3854.0</v>
      </c>
      <c r="Z105" s="15">
        <v>1400.0</v>
      </c>
      <c r="AB105" s="15">
        <v>701.0</v>
      </c>
      <c r="AD105" s="36">
        <v>5955.0</v>
      </c>
      <c r="AE105" s="37">
        <v>4805.0</v>
      </c>
      <c r="AF105" s="37">
        <v>4953.0</v>
      </c>
      <c r="AG105" s="14">
        <v>1700.0</v>
      </c>
      <c r="AI105" s="15">
        <v>1780.0</v>
      </c>
      <c r="AK105" s="15">
        <v>3480.0</v>
      </c>
      <c r="AL105" s="14">
        <v>1188.0</v>
      </c>
      <c r="AN105" s="15">
        <v>588.0</v>
      </c>
      <c r="AP105" s="15">
        <v>746.0</v>
      </c>
      <c r="AR105" s="15">
        <v>975.0</v>
      </c>
      <c r="AT105" s="36">
        <v>3497.0</v>
      </c>
      <c r="AU105" s="14">
        <v>2265.0</v>
      </c>
      <c r="AW105" s="15">
        <v>1015.0</v>
      </c>
      <c r="AY105" s="15">
        <v>1457.0</v>
      </c>
      <c r="BA105" s="15">
        <v>804.0</v>
      </c>
      <c r="BC105" s="36">
        <v>5541.0</v>
      </c>
      <c r="BD105" s="15">
        <v>3070.0</v>
      </c>
      <c r="BF105" s="15">
        <v>820.0</v>
      </c>
      <c r="BH105" s="15">
        <v>3890.0</v>
      </c>
    </row>
    <row r="106" ht="15.75" customHeight="1">
      <c r="A106" s="6" t="s">
        <v>287</v>
      </c>
      <c r="B106" s="30" t="s">
        <v>205</v>
      </c>
      <c r="C106" s="14">
        <v>697.0</v>
      </c>
      <c r="E106" s="15">
        <v>33.0</v>
      </c>
      <c r="G106" s="15">
        <v>9.0</v>
      </c>
      <c r="I106" s="36">
        <v>739.0</v>
      </c>
      <c r="J106" s="14">
        <v>1237.0</v>
      </c>
      <c r="L106" s="15">
        <v>262.0</v>
      </c>
      <c r="N106" s="15">
        <v>109.0</v>
      </c>
      <c r="O106" s="15"/>
      <c r="P106" s="36">
        <v>1608.0</v>
      </c>
      <c r="Q106" s="14">
        <v>1126.0</v>
      </c>
      <c r="S106" s="15">
        <v>384.0</v>
      </c>
      <c r="U106" s="15">
        <v>122.0</v>
      </c>
      <c r="W106" s="36">
        <v>1632.0</v>
      </c>
      <c r="X106" s="15">
        <v>723.0</v>
      </c>
      <c r="Z106" s="15">
        <v>518.0</v>
      </c>
      <c r="AB106" s="15">
        <v>273.0</v>
      </c>
      <c r="AD106" s="36">
        <v>1514.0</v>
      </c>
      <c r="AE106" s="37">
        <v>1711.0</v>
      </c>
      <c r="AF106" s="37">
        <v>1659.0</v>
      </c>
      <c r="AG106" s="14">
        <v>639.0</v>
      </c>
      <c r="AI106" s="15">
        <v>373.0</v>
      </c>
      <c r="AK106" s="15">
        <v>1012.0</v>
      </c>
      <c r="AL106" s="14">
        <v>439.0</v>
      </c>
      <c r="AN106" s="15">
        <v>363.0</v>
      </c>
      <c r="AP106" s="15">
        <v>242.0</v>
      </c>
      <c r="AR106" s="15">
        <v>174.0</v>
      </c>
      <c r="AT106" s="36">
        <v>1218.0</v>
      </c>
      <c r="AU106" s="14">
        <v>712.0</v>
      </c>
      <c r="AW106" s="15">
        <v>200.0</v>
      </c>
      <c r="AY106" s="15">
        <v>342.0</v>
      </c>
      <c r="BA106" s="15">
        <v>201.0</v>
      </c>
      <c r="BC106" s="36">
        <v>1455.0</v>
      </c>
      <c r="BD106" s="15">
        <v>1424.0</v>
      </c>
      <c r="BF106" s="15">
        <v>433.0</v>
      </c>
      <c r="BH106" s="15">
        <v>1857.0</v>
      </c>
    </row>
    <row r="107" ht="15.75" customHeight="1">
      <c r="A107" s="6" t="s">
        <v>53</v>
      </c>
      <c r="B107" s="30" t="s">
        <v>160</v>
      </c>
      <c r="C107" s="14">
        <v>2390.0</v>
      </c>
      <c r="E107" s="15">
        <v>295.0</v>
      </c>
      <c r="G107" s="15">
        <v>67.0</v>
      </c>
      <c r="I107" s="36">
        <v>2752.0</v>
      </c>
      <c r="J107" s="14">
        <v>2964.0</v>
      </c>
      <c r="L107" s="15">
        <v>1071.0</v>
      </c>
      <c r="N107" s="15">
        <v>765.0</v>
      </c>
      <c r="O107" s="15"/>
      <c r="P107" s="36">
        <v>4800.0</v>
      </c>
      <c r="Q107" s="14">
        <v>3321.0</v>
      </c>
      <c r="S107" s="15">
        <v>1398.0</v>
      </c>
      <c r="U107" s="15">
        <v>155.0</v>
      </c>
      <c r="W107" s="36">
        <v>4874.0</v>
      </c>
      <c r="X107" s="15">
        <v>3244.0</v>
      </c>
      <c r="Z107" s="15">
        <v>959.0</v>
      </c>
      <c r="AB107" s="15">
        <v>460.0</v>
      </c>
      <c r="AD107" s="36">
        <v>4663.0</v>
      </c>
      <c r="AE107" s="37">
        <v>4085.0</v>
      </c>
      <c r="AF107" s="37">
        <v>4375.0</v>
      </c>
      <c r="AG107" s="14">
        <v>1970.0</v>
      </c>
      <c r="AI107" s="15">
        <v>556.0</v>
      </c>
      <c r="AK107" s="15">
        <v>2526.0</v>
      </c>
      <c r="AL107" s="14">
        <v>680.0</v>
      </c>
      <c r="AN107" s="15">
        <v>919.0</v>
      </c>
      <c r="AP107" s="15">
        <v>237.0</v>
      </c>
      <c r="AR107" s="15">
        <v>259.0</v>
      </c>
      <c r="AT107" s="36">
        <v>2095.0</v>
      </c>
      <c r="AU107" s="14">
        <v>1659.0</v>
      </c>
      <c r="AW107" s="15">
        <v>873.0</v>
      </c>
      <c r="AY107" s="15">
        <v>1151.0</v>
      </c>
      <c r="BA107" s="15">
        <v>468.0</v>
      </c>
      <c r="BC107" s="36">
        <v>4151.0</v>
      </c>
      <c r="BD107" s="15">
        <v>1643.0</v>
      </c>
      <c r="BF107" s="15">
        <v>339.0</v>
      </c>
      <c r="BH107" s="15">
        <v>1982.0</v>
      </c>
    </row>
    <row r="108" ht="15.75" customHeight="1">
      <c r="A108" s="6" t="s">
        <v>55</v>
      </c>
      <c r="B108" s="30" t="s">
        <v>143</v>
      </c>
      <c r="C108" s="14">
        <v>2976.0</v>
      </c>
      <c r="E108" s="15">
        <v>133.0</v>
      </c>
      <c r="G108" s="15">
        <v>31.0</v>
      </c>
      <c r="I108" s="36">
        <v>3140.0</v>
      </c>
      <c r="J108" s="14">
        <v>4916.0</v>
      </c>
      <c r="L108" s="15">
        <v>600.0</v>
      </c>
      <c r="N108" s="15">
        <v>558.0</v>
      </c>
      <c r="O108" s="15"/>
      <c r="P108" s="36">
        <v>6074.0</v>
      </c>
      <c r="Q108" s="14">
        <v>3751.0</v>
      </c>
      <c r="S108" s="15">
        <v>2214.0</v>
      </c>
      <c r="U108" s="15">
        <v>274.0</v>
      </c>
      <c r="W108" s="36">
        <v>6239.0</v>
      </c>
      <c r="X108" s="15">
        <v>2900.0</v>
      </c>
      <c r="Z108" s="15">
        <v>1212.0</v>
      </c>
      <c r="AB108" s="15">
        <v>1451.0</v>
      </c>
      <c r="AD108" s="36">
        <v>5563.0</v>
      </c>
      <c r="AE108" s="37">
        <v>6677.0</v>
      </c>
      <c r="AF108" s="37">
        <v>6361.0</v>
      </c>
      <c r="AG108" s="14">
        <v>1331.0</v>
      </c>
      <c r="AI108" s="15">
        <v>334.0</v>
      </c>
      <c r="AK108" s="15">
        <v>1665.0</v>
      </c>
      <c r="AL108" s="14">
        <v>583.0</v>
      </c>
      <c r="AN108" s="15">
        <v>479.0</v>
      </c>
      <c r="AP108" s="15">
        <v>577.0</v>
      </c>
      <c r="AR108" s="15">
        <v>486.0</v>
      </c>
      <c r="AT108" s="36">
        <v>2125.0</v>
      </c>
      <c r="AU108" s="14">
        <v>3085.0</v>
      </c>
      <c r="AW108" s="15">
        <v>673.0</v>
      </c>
      <c r="AY108" s="15">
        <v>1028.0</v>
      </c>
      <c r="BA108" s="15">
        <v>602.0</v>
      </c>
      <c r="BC108" s="36">
        <v>5388.0</v>
      </c>
      <c r="BD108" s="15">
        <v>3328.0</v>
      </c>
      <c r="BF108" s="15">
        <v>1748.0</v>
      </c>
      <c r="BH108" s="15">
        <v>5076.0</v>
      </c>
    </row>
    <row r="109" ht="15.75" customHeight="1">
      <c r="A109" s="6" t="s">
        <v>56</v>
      </c>
      <c r="B109" s="30" t="s">
        <v>30</v>
      </c>
      <c r="C109" s="14">
        <v>4634.0</v>
      </c>
      <c r="E109" s="15">
        <v>583.0</v>
      </c>
      <c r="G109" s="15">
        <v>120.0</v>
      </c>
      <c r="I109" s="36">
        <v>5337.0</v>
      </c>
      <c r="J109" s="14">
        <v>10201.0</v>
      </c>
      <c r="L109" s="15">
        <v>963.0</v>
      </c>
      <c r="N109" s="15">
        <v>2248.0</v>
      </c>
      <c r="O109" s="15"/>
      <c r="P109" s="36">
        <v>13412.0</v>
      </c>
      <c r="Q109" s="14">
        <v>9067.0</v>
      </c>
      <c r="S109" s="15">
        <v>4228.0</v>
      </c>
      <c r="U109" s="15">
        <v>467.0</v>
      </c>
      <c r="W109" s="36">
        <v>13762.0</v>
      </c>
      <c r="X109" s="15">
        <v>6612.0</v>
      </c>
      <c r="Z109" s="15">
        <v>2342.0</v>
      </c>
      <c r="AB109" s="15">
        <v>3351.0</v>
      </c>
      <c r="AD109" s="36">
        <v>12305.0</v>
      </c>
      <c r="AE109" s="37">
        <v>9287.0</v>
      </c>
      <c r="AF109" s="37">
        <v>9936.0</v>
      </c>
      <c r="AG109" s="14">
        <v>3612.0</v>
      </c>
      <c r="AI109" s="15">
        <v>2448.0</v>
      </c>
      <c r="AK109" s="15">
        <v>6060.0</v>
      </c>
      <c r="AL109" s="14">
        <v>4325.0</v>
      </c>
      <c r="AN109" s="15">
        <v>1112.0</v>
      </c>
      <c r="AP109" s="15">
        <v>2422.0</v>
      </c>
      <c r="AR109" s="15">
        <v>1320.0</v>
      </c>
      <c r="AT109" s="36">
        <v>9179.0</v>
      </c>
      <c r="AU109" s="14">
        <v>5334.0</v>
      </c>
      <c r="AW109" s="15">
        <v>3440.0</v>
      </c>
      <c r="AY109" s="15">
        <v>4185.0</v>
      </c>
      <c r="BA109" s="15">
        <v>2558.0</v>
      </c>
      <c r="BC109" s="36">
        <v>15517.0</v>
      </c>
      <c r="BD109" s="15">
        <v>4425.0</v>
      </c>
      <c r="BF109" s="15">
        <v>1082.0</v>
      </c>
      <c r="BH109" s="15">
        <v>5507.0</v>
      </c>
    </row>
    <row r="110" ht="15.75" customHeight="1">
      <c r="A110" s="6" t="s">
        <v>53</v>
      </c>
      <c r="B110" s="30" t="s">
        <v>117</v>
      </c>
      <c r="C110" s="14">
        <v>4772.0</v>
      </c>
      <c r="E110" s="15">
        <v>382.0</v>
      </c>
      <c r="G110" s="15">
        <v>97.0</v>
      </c>
      <c r="I110" s="36">
        <v>5251.0</v>
      </c>
      <c r="J110" s="14">
        <v>6849.0</v>
      </c>
      <c r="L110" s="15">
        <v>1306.0</v>
      </c>
      <c r="N110" s="15">
        <v>2142.0</v>
      </c>
      <c r="O110" s="15"/>
      <c r="P110" s="36">
        <v>10297.0</v>
      </c>
      <c r="Q110" s="14">
        <v>8158.0</v>
      </c>
      <c r="S110" s="15">
        <v>2014.0</v>
      </c>
      <c r="U110" s="15">
        <v>315.0</v>
      </c>
      <c r="W110" s="36">
        <v>10487.0</v>
      </c>
      <c r="X110" s="15">
        <v>5872.0</v>
      </c>
      <c r="Z110" s="15">
        <v>2740.0</v>
      </c>
      <c r="AB110" s="15">
        <v>1385.0</v>
      </c>
      <c r="AD110" s="36">
        <v>9997.0</v>
      </c>
      <c r="AE110" s="37">
        <v>10069.0</v>
      </c>
      <c r="AF110" s="37">
        <v>10546.0</v>
      </c>
      <c r="AG110" s="14">
        <v>5300.0</v>
      </c>
      <c r="AI110" s="15">
        <v>1166.0</v>
      </c>
      <c r="AK110" s="15">
        <v>6466.0</v>
      </c>
      <c r="AL110" s="14">
        <v>1976.0</v>
      </c>
      <c r="AN110" s="15">
        <v>2375.0</v>
      </c>
      <c r="AP110" s="15">
        <v>731.0</v>
      </c>
      <c r="AR110" s="15">
        <v>838.0</v>
      </c>
      <c r="AT110" s="36">
        <v>5920.0</v>
      </c>
      <c r="AU110" s="14">
        <v>5626.0</v>
      </c>
      <c r="AW110" s="15">
        <v>2427.0</v>
      </c>
      <c r="AY110" s="15">
        <v>3492.0</v>
      </c>
      <c r="BA110" s="15">
        <v>1251.0</v>
      </c>
      <c r="BC110" s="36">
        <v>12796.0</v>
      </c>
      <c r="BD110" s="15">
        <v>4144.0</v>
      </c>
      <c r="BF110" s="15">
        <v>1166.0</v>
      </c>
      <c r="BH110" s="15">
        <v>5310.0</v>
      </c>
    </row>
    <row r="111" ht="15.75" customHeight="1">
      <c r="A111" s="6" t="s">
        <v>53</v>
      </c>
      <c r="B111" s="30" t="s">
        <v>120</v>
      </c>
      <c r="C111" s="14">
        <v>3462.0</v>
      </c>
      <c r="E111" s="15">
        <v>858.0</v>
      </c>
      <c r="G111" s="15">
        <v>153.0</v>
      </c>
      <c r="I111" s="36">
        <v>4473.0</v>
      </c>
      <c r="J111" s="14">
        <v>6089.0</v>
      </c>
      <c r="L111" s="15">
        <v>2226.0</v>
      </c>
      <c r="N111" s="15">
        <v>2121.0</v>
      </c>
      <c r="O111" s="15"/>
      <c r="P111" s="36">
        <v>10436.0</v>
      </c>
      <c r="Q111" s="14">
        <v>8842.0</v>
      </c>
      <c r="S111" s="15">
        <v>1430.0</v>
      </c>
      <c r="U111" s="15">
        <v>343.0</v>
      </c>
      <c r="W111" s="36">
        <v>10615.0</v>
      </c>
      <c r="X111" s="15">
        <v>5410.0</v>
      </c>
      <c r="Z111" s="15">
        <v>2782.0</v>
      </c>
      <c r="AB111" s="15">
        <v>1547.0</v>
      </c>
      <c r="AD111" s="36">
        <v>9739.0</v>
      </c>
      <c r="AE111" s="37">
        <v>8178.0</v>
      </c>
      <c r="AF111" s="37">
        <v>8816.0</v>
      </c>
      <c r="AG111" s="14">
        <v>4811.0</v>
      </c>
      <c r="AI111" s="15">
        <v>867.0</v>
      </c>
      <c r="AK111" s="15">
        <v>5678.0</v>
      </c>
      <c r="AL111" s="14">
        <v>1261.0</v>
      </c>
      <c r="AN111" s="15">
        <v>3057.0</v>
      </c>
      <c r="AP111" s="15">
        <v>592.0</v>
      </c>
      <c r="AR111" s="15">
        <v>759.0</v>
      </c>
      <c r="AT111" s="36">
        <v>5669.0</v>
      </c>
      <c r="AU111" s="14">
        <v>2877.0</v>
      </c>
      <c r="AW111" s="15">
        <v>2583.0</v>
      </c>
      <c r="AY111" s="15">
        <v>2356.0</v>
      </c>
      <c r="BA111" s="15">
        <v>1345.0</v>
      </c>
      <c r="BC111" s="36">
        <v>9161.0</v>
      </c>
      <c r="BD111" s="15">
        <v>5033.0</v>
      </c>
      <c r="BF111" s="15">
        <v>1077.0</v>
      </c>
      <c r="BH111" s="15">
        <v>6110.0</v>
      </c>
    </row>
    <row r="112" ht="15.75" customHeight="1">
      <c r="A112" s="6" t="s">
        <v>53</v>
      </c>
      <c r="B112" s="30" t="s">
        <v>177</v>
      </c>
      <c r="C112" s="14">
        <v>1436.0</v>
      </c>
      <c r="E112" s="15">
        <v>123.0</v>
      </c>
      <c r="G112" s="15">
        <v>33.0</v>
      </c>
      <c r="I112" s="36">
        <v>1592.0</v>
      </c>
      <c r="J112" s="14">
        <v>2032.0</v>
      </c>
      <c r="L112" s="15">
        <v>667.0</v>
      </c>
      <c r="N112" s="15">
        <v>460.0</v>
      </c>
      <c r="O112" s="15"/>
      <c r="P112" s="36">
        <v>3159.0</v>
      </c>
      <c r="Q112" s="14">
        <v>2480.0</v>
      </c>
      <c r="S112" s="15">
        <v>590.0</v>
      </c>
      <c r="U112" s="15">
        <v>132.0</v>
      </c>
      <c r="W112" s="36">
        <v>3202.0</v>
      </c>
      <c r="X112" s="15">
        <v>1645.0</v>
      </c>
      <c r="Z112" s="15">
        <v>856.0</v>
      </c>
      <c r="AB112" s="15">
        <v>480.0</v>
      </c>
      <c r="AD112" s="36">
        <v>2981.0</v>
      </c>
      <c r="AE112" s="37">
        <v>3273.0</v>
      </c>
      <c r="AF112" s="37">
        <v>3497.0</v>
      </c>
      <c r="AG112" s="14">
        <v>1340.0</v>
      </c>
      <c r="AI112" s="15">
        <v>317.0</v>
      </c>
      <c r="AK112" s="15">
        <v>1657.0</v>
      </c>
      <c r="AL112" s="14">
        <v>402.0</v>
      </c>
      <c r="AN112" s="15">
        <v>795.0</v>
      </c>
      <c r="AP112" s="15">
        <v>100.0</v>
      </c>
      <c r="AR112" s="15">
        <v>165.0</v>
      </c>
      <c r="AT112" s="36">
        <v>1462.0</v>
      </c>
      <c r="AU112" s="14">
        <v>1231.0</v>
      </c>
      <c r="AW112" s="15">
        <v>439.0</v>
      </c>
      <c r="AY112" s="15">
        <v>764.0</v>
      </c>
      <c r="BA112" s="15">
        <v>369.0</v>
      </c>
      <c r="BC112" s="36">
        <v>2803.0</v>
      </c>
      <c r="BD112" s="15">
        <v>1875.0</v>
      </c>
      <c r="BF112" s="15">
        <v>568.0</v>
      </c>
      <c r="BH112" s="15">
        <v>2443.0</v>
      </c>
    </row>
    <row r="113" ht="15.75" customHeight="1">
      <c r="A113" s="6" t="s">
        <v>53</v>
      </c>
      <c r="B113" s="30" t="s">
        <v>19</v>
      </c>
      <c r="C113" s="14">
        <v>10421.0</v>
      </c>
      <c r="E113" s="15">
        <v>892.0</v>
      </c>
      <c r="G113" s="15">
        <v>249.0</v>
      </c>
      <c r="I113" s="36">
        <v>11562.0</v>
      </c>
      <c r="J113" s="14">
        <v>14801.0</v>
      </c>
      <c r="L113" s="15">
        <v>2276.0</v>
      </c>
      <c r="N113" s="15">
        <v>4552.0</v>
      </c>
      <c r="O113" s="15"/>
      <c r="P113" s="36">
        <v>21629.0</v>
      </c>
      <c r="Q113" s="14">
        <v>16825.0</v>
      </c>
      <c r="S113" s="15">
        <v>4298.0</v>
      </c>
      <c r="U113" s="15">
        <v>949.0</v>
      </c>
      <c r="W113" s="36">
        <v>22072.0</v>
      </c>
      <c r="X113" s="15">
        <v>8989.0</v>
      </c>
      <c r="Z113" s="15">
        <v>7888.0</v>
      </c>
      <c r="AB113" s="15">
        <v>3846.0</v>
      </c>
      <c r="AD113" s="36">
        <v>20723.0</v>
      </c>
      <c r="AE113" s="37">
        <v>19958.0</v>
      </c>
      <c r="AF113" s="37">
        <v>21062.0</v>
      </c>
      <c r="AG113" s="14">
        <v>9212.0</v>
      </c>
      <c r="AI113" s="15">
        <v>2905.0</v>
      </c>
      <c r="AK113" s="15">
        <v>12117.0</v>
      </c>
      <c r="AL113" s="14">
        <v>3887.0</v>
      </c>
      <c r="AN113" s="15">
        <v>3248.0</v>
      </c>
      <c r="AP113" s="15">
        <v>2151.0</v>
      </c>
      <c r="AR113" s="15">
        <v>1915.0</v>
      </c>
      <c r="AT113" s="36">
        <v>11201.0</v>
      </c>
      <c r="AU113" s="14">
        <v>10022.0</v>
      </c>
      <c r="AW113" s="15">
        <v>5044.0</v>
      </c>
      <c r="AY113" s="15">
        <v>6789.0</v>
      </c>
      <c r="BA113" s="15">
        <v>2322.0</v>
      </c>
      <c r="BC113" s="36">
        <v>24177.0</v>
      </c>
      <c r="BD113" s="15">
        <v>6160.0</v>
      </c>
      <c r="BF113" s="15">
        <v>2401.0</v>
      </c>
      <c r="BH113" s="15">
        <v>8561.0</v>
      </c>
    </row>
    <row r="114" ht="15.75" customHeight="1">
      <c r="A114" s="6" t="s">
        <v>60</v>
      </c>
      <c r="B114" s="30" t="s">
        <v>188</v>
      </c>
      <c r="C114" s="14">
        <v>1381.0</v>
      </c>
      <c r="E114" s="15">
        <v>139.0</v>
      </c>
      <c r="G114" s="15">
        <v>22.0</v>
      </c>
      <c r="I114" s="36">
        <v>1542.0</v>
      </c>
      <c r="J114" s="14">
        <v>2323.0</v>
      </c>
      <c r="L114" s="15">
        <v>401.0</v>
      </c>
      <c r="N114" s="15">
        <v>298.0</v>
      </c>
      <c r="O114" s="15"/>
      <c r="P114" s="36">
        <v>3022.0</v>
      </c>
      <c r="Q114" s="14">
        <v>2087.0</v>
      </c>
      <c r="S114" s="15">
        <v>842.0</v>
      </c>
      <c r="U114" s="15">
        <v>137.0</v>
      </c>
      <c r="W114" s="36">
        <v>3066.0</v>
      </c>
      <c r="X114" s="15">
        <v>1688.0</v>
      </c>
      <c r="Z114" s="15">
        <v>714.0</v>
      </c>
      <c r="AB114" s="15">
        <v>481.0</v>
      </c>
      <c r="AD114" s="36">
        <v>2883.0</v>
      </c>
      <c r="AE114" s="37">
        <v>2068.0</v>
      </c>
      <c r="AF114" s="37">
        <v>2240.0</v>
      </c>
      <c r="AG114" s="14">
        <v>1015.0</v>
      </c>
      <c r="AI114" s="15">
        <v>462.0</v>
      </c>
      <c r="AK114" s="15">
        <v>1477.0</v>
      </c>
      <c r="AL114" s="14">
        <v>471.0</v>
      </c>
      <c r="AN114" s="15">
        <v>377.0</v>
      </c>
      <c r="AP114" s="15">
        <v>373.0</v>
      </c>
      <c r="AR114" s="15">
        <v>232.0</v>
      </c>
      <c r="AT114" s="36">
        <v>1453.0</v>
      </c>
      <c r="AU114" s="14">
        <v>1325.0</v>
      </c>
      <c r="AW114" s="15">
        <v>516.0</v>
      </c>
      <c r="AY114" s="15">
        <v>796.0</v>
      </c>
      <c r="BA114" s="15">
        <v>415.0</v>
      </c>
      <c r="BC114" s="36">
        <v>3052.0</v>
      </c>
      <c r="BD114" s="15">
        <v>998.0</v>
      </c>
      <c r="BF114" s="15">
        <v>220.0</v>
      </c>
      <c r="BH114" s="15">
        <v>1218.0</v>
      </c>
    </row>
    <row r="115" ht="15.75" customHeight="1">
      <c r="A115" s="6" t="s">
        <v>53</v>
      </c>
      <c r="B115" s="30" t="s">
        <v>130</v>
      </c>
      <c r="C115" s="14">
        <v>4042.0</v>
      </c>
      <c r="E115" s="15">
        <v>367.0</v>
      </c>
      <c r="G115" s="15">
        <v>71.0</v>
      </c>
      <c r="I115" s="36">
        <v>4480.0</v>
      </c>
      <c r="J115" s="14">
        <v>4796.0</v>
      </c>
      <c r="L115" s="15">
        <v>1118.0</v>
      </c>
      <c r="N115" s="15">
        <v>1531.0</v>
      </c>
      <c r="O115" s="15"/>
      <c r="P115" s="36">
        <v>7445.0</v>
      </c>
      <c r="Q115" s="14">
        <v>5631.0</v>
      </c>
      <c r="S115" s="15">
        <v>1613.0</v>
      </c>
      <c r="U115" s="15">
        <v>390.0</v>
      </c>
      <c r="W115" s="36">
        <v>7634.0</v>
      </c>
      <c r="X115" s="15">
        <v>4196.0</v>
      </c>
      <c r="Z115" s="15">
        <v>1895.0</v>
      </c>
      <c r="AB115" s="15">
        <v>1036.0</v>
      </c>
      <c r="AD115" s="36">
        <v>7127.0</v>
      </c>
      <c r="AE115" s="37">
        <v>7114.0</v>
      </c>
      <c r="AF115" s="37">
        <v>7320.0</v>
      </c>
      <c r="AG115" s="14">
        <v>2762.0</v>
      </c>
      <c r="AI115" s="15">
        <v>996.0</v>
      </c>
      <c r="AK115" s="15">
        <v>3758.0</v>
      </c>
      <c r="AL115" s="14">
        <v>1774.0</v>
      </c>
      <c r="AN115" s="15">
        <v>1250.0</v>
      </c>
      <c r="AP115" s="15">
        <v>570.0</v>
      </c>
      <c r="AR115" s="15">
        <v>708.0</v>
      </c>
      <c r="AT115" s="36">
        <v>4302.0</v>
      </c>
      <c r="AU115" s="14">
        <v>3360.0</v>
      </c>
      <c r="AW115" s="15">
        <v>1330.0</v>
      </c>
      <c r="AY115" s="15">
        <v>1570.0</v>
      </c>
      <c r="BA115" s="15">
        <v>727.0</v>
      </c>
      <c r="BC115" s="36">
        <v>6987.0</v>
      </c>
      <c r="BD115" s="15">
        <v>2899.0</v>
      </c>
      <c r="BF115" s="15">
        <v>987.0</v>
      </c>
      <c r="BH115" s="15">
        <v>3886.0</v>
      </c>
    </row>
    <row r="116" ht="15.75" customHeight="1">
      <c r="A116" s="6" t="s">
        <v>59</v>
      </c>
      <c r="B116" s="30" t="s">
        <v>168</v>
      </c>
      <c r="C116" s="14">
        <v>1928.0</v>
      </c>
      <c r="E116" s="15">
        <v>78.0</v>
      </c>
      <c r="G116" s="15">
        <v>21.0</v>
      </c>
      <c r="I116" s="36">
        <v>2027.0</v>
      </c>
      <c r="J116" s="14">
        <v>3234.0</v>
      </c>
      <c r="L116" s="15">
        <v>343.0</v>
      </c>
      <c r="N116" s="15">
        <v>229.0</v>
      </c>
      <c r="O116" s="15"/>
      <c r="P116" s="36">
        <v>3806.0</v>
      </c>
      <c r="Q116" s="14">
        <v>2062.0</v>
      </c>
      <c r="S116" s="15">
        <v>1145.0</v>
      </c>
      <c r="U116" s="15">
        <v>654.0</v>
      </c>
      <c r="W116" s="36">
        <v>3861.0</v>
      </c>
      <c r="X116" s="15">
        <v>1759.0</v>
      </c>
      <c r="Z116" s="15">
        <v>1035.0</v>
      </c>
      <c r="AB116" s="15">
        <v>732.0</v>
      </c>
      <c r="AD116" s="36">
        <v>3526.0</v>
      </c>
      <c r="AE116" s="37">
        <v>4253.0</v>
      </c>
      <c r="AF116" s="37">
        <v>4287.0</v>
      </c>
      <c r="AG116" s="14">
        <v>1088.0</v>
      </c>
      <c r="AI116" s="15">
        <v>376.0</v>
      </c>
      <c r="AK116" s="15">
        <v>1464.0</v>
      </c>
      <c r="AL116" s="14">
        <v>763.0</v>
      </c>
      <c r="AN116" s="15">
        <v>819.0</v>
      </c>
      <c r="AP116" s="15">
        <v>522.0</v>
      </c>
      <c r="AR116" s="15">
        <v>514.0</v>
      </c>
      <c r="AT116" s="36">
        <v>2618.0</v>
      </c>
      <c r="AU116" s="14">
        <v>1345.0</v>
      </c>
      <c r="AW116" s="15">
        <v>598.0</v>
      </c>
      <c r="AY116" s="15">
        <v>1040.0</v>
      </c>
      <c r="BA116" s="15">
        <v>350.0</v>
      </c>
      <c r="BC116" s="36">
        <v>3333.0</v>
      </c>
      <c r="BD116" s="15">
        <v>2091.0</v>
      </c>
      <c r="BF116" s="15">
        <v>511.0</v>
      </c>
      <c r="BH116" s="15">
        <v>2602.0</v>
      </c>
    </row>
    <row r="117" ht="15.75" customHeight="1">
      <c r="A117" s="6" t="s">
        <v>53</v>
      </c>
      <c r="B117" s="30" t="s">
        <v>158</v>
      </c>
      <c r="C117" s="14">
        <v>2475.0</v>
      </c>
      <c r="E117" s="15">
        <v>121.0</v>
      </c>
      <c r="G117" s="15">
        <v>36.0</v>
      </c>
      <c r="I117" s="36">
        <v>2632.0</v>
      </c>
      <c r="J117" s="14">
        <v>3092.0</v>
      </c>
      <c r="L117" s="15">
        <v>633.0</v>
      </c>
      <c r="N117" s="15">
        <v>808.0</v>
      </c>
      <c r="O117" s="15"/>
      <c r="P117" s="36">
        <v>4533.0</v>
      </c>
      <c r="Q117" s="14">
        <v>3373.0</v>
      </c>
      <c r="S117" s="15">
        <v>1060.0</v>
      </c>
      <c r="U117" s="15">
        <v>181.0</v>
      </c>
      <c r="W117" s="36">
        <v>4614.0</v>
      </c>
      <c r="X117" s="15">
        <v>2923.0</v>
      </c>
      <c r="Z117" s="15">
        <v>932.0</v>
      </c>
      <c r="AB117" s="15">
        <v>544.0</v>
      </c>
      <c r="AD117" s="36">
        <v>4399.0</v>
      </c>
      <c r="AE117" s="37">
        <v>4210.0</v>
      </c>
      <c r="AF117" s="37">
        <v>4406.0</v>
      </c>
      <c r="AG117" s="14">
        <v>1639.0</v>
      </c>
      <c r="AI117" s="15">
        <v>479.0</v>
      </c>
      <c r="AK117" s="15">
        <v>2118.0</v>
      </c>
      <c r="AL117" s="14">
        <v>874.0</v>
      </c>
      <c r="AN117" s="15">
        <v>739.0</v>
      </c>
      <c r="AP117" s="15">
        <v>305.0</v>
      </c>
      <c r="AR117" s="15">
        <v>443.0</v>
      </c>
      <c r="AT117" s="36">
        <v>2361.0</v>
      </c>
      <c r="AU117" s="14">
        <v>1933.0</v>
      </c>
      <c r="AW117" s="15">
        <v>678.0</v>
      </c>
      <c r="AY117" s="15">
        <v>1196.0</v>
      </c>
      <c r="BA117" s="15">
        <v>606.0</v>
      </c>
      <c r="BC117" s="36">
        <v>4413.0</v>
      </c>
      <c r="BD117" s="15">
        <v>2496.0</v>
      </c>
      <c r="BF117" s="15">
        <v>743.0</v>
      </c>
      <c r="BH117" s="15">
        <v>3239.0</v>
      </c>
    </row>
    <row r="118" ht="15.75" customHeight="1">
      <c r="A118" s="6" t="s">
        <v>53</v>
      </c>
      <c r="B118" s="30" t="s">
        <v>135</v>
      </c>
      <c r="C118" s="14">
        <v>3415.0</v>
      </c>
      <c r="E118" s="15">
        <v>218.0</v>
      </c>
      <c r="G118" s="15">
        <v>49.0</v>
      </c>
      <c r="I118" s="36">
        <v>3682.0</v>
      </c>
      <c r="J118" s="14">
        <v>4875.0</v>
      </c>
      <c r="L118" s="15">
        <v>770.0</v>
      </c>
      <c r="N118" s="15">
        <v>1142.0</v>
      </c>
      <c r="O118" s="15"/>
      <c r="P118" s="36">
        <v>6787.0</v>
      </c>
      <c r="Q118" s="14">
        <v>5168.0</v>
      </c>
      <c r="S118" s="15">
        <v>1547.0</v>
      </c>
      <c r="U118" s="15">
        <v>237.0</v>
      </c>
      <c r="W118" s="36">
        <v>6952.0</v>
      </c>
      <c r="X118" s="15">
        <v>3167.0</v>
      </c>
      <c r="Z118" s="15">
        <v>2031.0</v>
      </c>
      <c r="AB118" s="15">
        <v>1228.0</v>
      </c>
      <c r="AD118" s="36">
        <v>6426.0</v>
      </c>
      <c r="AE118" s="37">
        <v>6432.0</v>
      </c>
      <c r="AF118" s="37">
        <v>6575.0</v>
      </c>
      <c r="AG118" s="14">
        <v>1793.0</v>
      </c>
      <c r="AI118" s="15">
        <v>710.0</v>
      </c>
      <c r="AK118" s="15">
        <v>2503.0</v>
      </c>
      <c r="AL118" s="14">
        <v>1100.0</v>
      </c>
      <c r="AN118" s="15">
        <v>666.0</v>
      </c>
      <c r="AP118" s="15">
        <v>429.0</v>
      </c>
      <c r="AR118" s="15">
        <v>505.0</v>
      </c>
      <c r="AT118" s="36">
        <v>2700.0</v>
      </c>
      <c r="AU118" s="14">
        <v>3363.0</v>
      </c>
      <c r="AW118" s="15">
        <v>944.0</v>
      </c>
      <c r="AY118" s="15">
        <v>1092.0</v>
      </c>
      <c r="BA118" s="15">
        <v>651.0</v>
      </c>
      <c r="BC118" s="36">
        <v>6050.0</v>
      </c>
      <c r="BD118" s="15">
        <v>3427.0</v>
      </c>
      <c r="BF118" s="15">
        <v>1062.0</v>
      </c>
      <c r="BH118" s="15">
        <v>4489.0</v>
      </c>
    </row>
    <row r="119" ht="15.75" customHeight="1">
      <c r="A119" s="6" t="s">
        <v>60</v>
      </c>
      <c r="B119" s="30" t="s">
        <v>207</v>
      </c>
      <c r="C119" s="14">
        <v>739.0</v>
      </c>
      <c r="E119" s="15">
        <v>58.0</v>
      </c>
      <c r="G119" s="15">
        <v>14.0</v>
      </c>
      <c r="I119" s="36">
        <v>811.0</v>
      </c>
      <c r="J119" s="14">
        <v>1077.0</v>
      </c>
      <c r="L119" s="15">
        <v>240.0</v>
      </c>
      <c r="N119" s="15">
        <v>82.0</v>
      </c>
      <c r="O119" s="15"/>
      <c r="P119" s="36">
        <v>1399.0</v>
      </c>
      <c r="Q119" s="14">
        <v>957.0</v>
      </c>
      <c r="S119" s="15">
        <v>380.0</v>
      </c>
      <c r="U119" s="15">
        <v>64.0</v>
      </c>
      <c r="W119" s="36">
        <v>1401.0</v>
      </c>
      <c r="X119" s="15">
        <v>791.0</v>
      </c>
      <c r="Z119" s="15">
        <v>358.0</v>
      </c>
      <c r="AB119" s="15">
        <v>190.0</v>
      </c>
      <c r="AD119" s="36">
        <v>1339.0</v>
      </c>
      <c r="AE119" s="37">
        <v>1525.0</v>
      </c>
      <c r="AF119" s="37">
        <v>1927.0</v>
      </c>
      <c r="AG119" s="14">
        <v>460.0</v>
      </c>
      <c r="AI119" s="15">
        <v>219.0</v>
      </c>
      <c r="AK119" s="15">
        <v>679.0</v>
      </c>
      <c r="AL119" s="14">
        <v>193.0</v>
      </c>
      <c r="AN119" s="15">
        <v>215.0</v>
      </c>
      <c r="AP119" s="15">
        <v>123.0</v>
      </c>
      <c r="AR119" s="15">
        <v>75.0</v>
      </c>
      <c r="AT119" s="36">
        <v>606.0</v>
      </c>
      <c r="AU119" s="14">
        <v>675.0</v>
      </c>
      <c r="AW119" s="15">
        <v>262.0</v>
      </c>
      <c r="AY119" s="15">
        <v>237.0</v>
      </c>
      <c r="BA119" s="15">
        <v>165.0</v>
      </c>
      <c r="BC119" s="36">
        <v>1339.0</v>
      </c>
      <c r="BD119" s="15">
        <v>1477.0</v>
      </c>
      <c r="BF119" s="15">
        <v>376.0</v>
      </c>
      <c r="BH119" s="15">
        <v>1853.0</v>
      </c>
    </row>
    <row r="120" ht="15.75" customHeight="1">
      <c r="A120" s="6" t="s">
        <v>53</v>
      </c>
      <c r="B120" s="30" t="s">
        <v>161</v>
      </c>
      <c r="C120" s="14">
        <v>1989.0</v>
      </c>
      <c r="E120" s="15">
        <v>228.0</v>
      </c>
      <c r="G120" s="15">
        <v>25.0</v>
      </c>
      <c r="I120" s="36">
        <v>2242.0</v>
      </c>
      <c r="J120" s="14">
        <v>3291.0</v>
      </c>
      <c r="L120" s="15">
        <v>621.0</v>
      </c>
      <c r="N120" s="15">
        <v>636.0</v>
      </c>
      <c r="O120" s="15"/>
      <c r="P120" s="36">
        <v>4548.0</v>
      </c>
      <c r="Q120" s="14">
        <v>3497.0</v>
      </c>
      <c r="S120" s="15">
        <v>983.0</v>
      </c>
      <c r="U120" s="15">
        <v>121.0</v>
      </c>
      <c r="W120" s="36">
        <v>4601.0</v>
      </c>
      <c r="X120" s="15">
        <v>3286.0</v>
      </c>
      <c r="Z120" s="15">
        <v>799.0</v>
      </c>
      <c r="AB120" s="15">
        <v>389.0</v>
      </c>
      <c r="AD120" s="36">
        <v>4474.0</v>
      </c>
      <c r="AE120" s="37">
        <v>3870.0</v>
      </c>
      <c r="AF120" s="37">
        <v>4046.0</v>
      </c>
      <c r="AG120" s="14">
        <v>1917.0</v>
      </c>
      <c r="AI120" s="15">
        <v>598.0</v>
      </c>
      <c r="AK120" s="15">
        <v>2515.0</v>
      </c>
      <c r="AL120" s="14">
        <v>954.0</v>
      </c>
      <c r="AN120" s="15">
        <v>733.0</v>
      </c>
      <c r="AP120" s="15">
        <v>348.0</v>
      </c>
      <c r="AR120" s="15">
        <v>362.0</v>
      </c>
      <c r="AT120" s="36">
        <v>2397.0</v>
      </c>
      <c r="AU120" s="14">
        <v>1983.0</v>
      </c>
      <c r="AW120" s="15">
        <v>849.0</v>
      </c>
      <c r="AY120" s="15">
        <v>746.0</v>
      </c>
      <c r="BA120" s="15">
        <v>456.0</v>
      </c>
      <c r="BC120" s="36">
        <v>4034.0</v>
      </c>
      <c r="BD120" s="15">
        <v>2811.0</v>
      </c>
      <c r="BF120" s="15">
        <v>690.0</v>
      </c>
      <c r="BH120" s="15">
        <v>3501.0</v>
      </c>
    </row>
    <row r="121" ht="15.75" customHeight="1">
      <c r="A121" s="6" t="s">
        <v>56</v>
      </c>
      <c r="B121" s="30" t="s">
        <v>248</v>
      </c>
      <c r="C121" s="14">
        <v>166.0</v>
      </c>
      <c r="E121" s="15">
        <v>10.0</v>
      </c>
      <c r="G121" s="15">
        <v>6.0</v>
      </c>
      <c r="I121" s="36">
        <v>182.0</v>
      </c>
      <c r="J121" s="14">
        <v>233.0</v>
      </c>
      <c r="L121" s="15">
        <v>32.0</v>
      </c>
      <c r="N121" s="15">
        <v>40.0</v>
      </c>
      <c r="O121" s="15"/>
      <c r="P121" s="36">
        <v>305.0</v>
      </c>
      <c r="Q121" s="14">
        <v>213.0</v>
      </c>
      <c r="S121" s="15">
        <v>92.0</v>
      </c>
      <c r="U121" s="15">
        <v>5.0</v>
      </c>
      <c r="W121" s="36">
        <v>310.0</v>
      </c>
      <c r="X121" s="15">
        <v>112.0</v>
      </c>
      <c r="Z121" s="15">
        <v>68.0</v>
      </c>
      <c r="AB121" s="15">
        <v>96.0</v>
      </c>
      <c r="AD121" s="36">
        <v>276.0</v>
      </c>
      <c r="AE121" s="37">
        <v>146.0</v>
      </c>
      <c r="AF121" s="37">
        <v>153.0</v>
      </c>
      <c r="AG121" s="14">
        <v>204.0</v>
      </c>
      <c r="AI121" s="15">
        <v>56.0</v>
      </c>
      <c r="AK121" s="15">
        <v>260.0</v>
      </c>
      <c r="AL121" s="14">
        <v>50.0</v>
      </c>
      <c r="AN121" s="15">
        <v>100.0</v>
      </c>
      <c r="AP121" s="15">
        <v>34.0</v>
      </c>
      <c r="AR121" s="15">
        <v>15.0</v>
      </c>
      <c r="AT121" s="36">
        <v>199.0</v>
      </c>
      <c r="AU121" s="14">
        <v>174.0</v>
      </c>
      <c r="AW121" s="15">
        <v>45.0</v>
      </c>
      <c r="AY121" s="15">
        <v>41.0</v>
      </c>
      <c r="BA121" s="15">
        <v>44.0</v>
      </c>
      <c r="BC121" s="36">
        <v>304.0</v>
      </c>
      <c r="BD121" s="15">
        <v>25.0</v>
      </c>
      <c r="BF121" s="15">
        <v>9.0</v>
      </c>
      <c r="BH121" s="15">
        <v>34.0</v>
      </c>
    </row>
    <row r="122" ht="15.75" customHeight="1">
      <c r="A122" s="6" t="s">
        <v>53</v>
      </c>
      <c r="B122" s="30" t="s">
        <v>164</v>
      </c>
      <c r="C122" s="14">
        <v>2183.0</v>
      </c>
      <c r="E122" s="15">
        <v>369.0</v>
      </c>
      <c r="G122" s="15">
        <v>45.0</v>
      </c>
      <c r="I122" s="36">
        <v>2597.0</v>
      </c>
      <c r="J122" s="14">
        <v>2666.0</v>
      </c>
      <c r="L122" s="15">
        <v>594.0</v>
      </c>
      <c r="N122" s="15">
        <v>713.0</v>
      </c>
      <c r="O122" s="15"/>
      <c r="P122" s="36">
        <v>3973.0</v>
      </c>
      <c r="Q122" s="14">
        <v>2842.0</v>
      </c>
      <c r="S122" s="15">
        <v>1041.0</v>
      </c>
      <c r="U122" s="15">
        <v>159.0</v>
      </c>
      <c r="W122" s="36">
        <v>4042.0</v>
      </c>
      <c r="X122" s="15">
        <v>1746.0</v>
      </c>
      <c r="Z122" s="15">
        <v>1521.0</v>
      </c>
      <c r="AB122" s="15">
        <v>518.0</v>
      </c>
      <c r="AD122" s="36">
        <v>3785.0</v>
      </c>
      <c r="AE122" s="37">
        <v>3295.0</v>
      </c>
      <c r="AF122" s="37">
        <v>3967.0</v>
      </c>
      <c r="AG122" s="14">
        <v>1388.0</v>
      </c>
      <c r="AI122" s="15">
        <v>684.0</v>
      </c>
      <c r="AK122" s="15">
        <v>2072.0</v>
      </c>
      <c r="AL122" s="14">
        <v>1282.0</v>
      </c>
      <c r="AN122" s="15">
        <v>745.0</v>
      </c>
      <c r="AP122" s="15">
        <v>460.0</v>
      </c>
      <c r="AR122" s="15">
        <v>523.0</v>
      </c>
      <c r="AT122" s="36">
        <v>3010.0</v>
      </c>
      <c r="AU122" s="14">
        <v>1732.0</v>
      </c>
      <c r="AW122" s="15">
        <v>771.0</v>
      </c>
      <c r="AY122" s="15">
        <v>716.0</v>
      </c>
      <c r="BA122" s="15">
        <v>557.0</v>
      </c>
      <c r="BC122" s="36">
        <v>3776.0</v>
      </c>
      <c r="BD122" s="15">
        <v>3070.0</v>
      </c>
      <c r="BF122" s="15">
        <v>1077.0</v>
      </c>
      <c r="BH122" s="15">
        <v>4147.0</v>
      </c>
    </row>
    <row r="123" ht="15.75" customHeight="1">
      <c r="A123" s="6" t="s">
        <v>56</v>
      </c>
      <c r="B123" s="30" t="s">
        <v>239</v>
      </c>
      <c r="C123" s="14">
        <v>336.0</v>
      </c>
      <c r="E123" s="15">
        <v>21.0</v>
      </c>
      <c r="G123" s="15">
        <v>3.0</v>
      </c>
      <c r="I123" s="36">
        <v>360.0</v>
      </c>
      <c r="J123" s="14">
        <v>475.0</v>
      </c>
      <c r="L123" s="15">
        <v>209.0</v>
      </c>
      <c r="N123" s="15">
        <v>32.0</v>
      </c>
      <c r="O123" s="15"/>
      <c r="P123" s="36">
        <v>716.0</v>
      </c>
      <c r="Q123" s="14">
        <v>541.0</v>
      </c>
      <c r="S123" s="15">
        <v>176.0</v>
      </c>
      <c r="U123" s="15">
        <v>20.0</v>
      </c>
      <c r="W123" s="36">
        <v>737.0</v>
      </c>
      <c r="X123" s="15">
        <v>349.0</v>
      </c>
      <c r="Z123" s="15">
        <v>114.0</v>
      </c>
      <c r="AB123" s="15">
        <v>193.0</v>
      </c>
      <c r="AD123" s="36">
        <v>656.0</v>
      </c>
      <c r="AE123" s="37">
        <v>243.0</v>
      </c>
      <c r="AF123" s="37">
        <v>249.0</v>
      </c>
      <c r="AG123" s="14">
        <v>263.0</v>
      </c>
      <c r="AI123" s="15">
        <v>203.0</v>
      </c>
      <c r="AK123" s="15">
        <v>466.0</v>
      </c>
      <c r="AL123" s="14">
        <v>206.0</v>
      </c>
      <c r="AN123" s="15">
        <v>86.0</v>
      </c>
      <c r="AP123" s="15">
        <v>83.0</v>
      </c>
      <c r="AR123" s="15">
        <v>69.0</v>
      </c>
      <c r="AT123" s="36">
        <v>444.0</v>
      </c>
      <c r="AU123" s="14">
        <v>412.0</v>
      </c>
      <c r="AW123" s="15">
        <v>79.0</v>
      </c>
      <c r="AY123" s="15">
        <v>124.0</v>
      </c>
      <c r="BA123" s="15">
        <v>86.0</v>
      </c>
      <c r="BC123" s="36">
        <v>701.0</v>
      </c>
      <c r="BD123" s="15">
        <v>50.0</v>
      </c>
      <c r="BF123" s="15">
        <v>10.0</v>
      </c>
      <c r="BH123" s="15">
        <v>60.0</v>
      </c>
    </row>
    <row r="124" ht="15.75" customHeight="1">
      <c r="A124" s="6" t="s">
        <v>54</v>
      </c>
      <c r="B124" s="30" t="s">
        <v>27</v>
      </c>
      <c r="C124" s="14">
        <v>4556.0</v>
      </c>
      <c r="E124" s="15">
        <v>701.0</v>
      </c>
      <c r="G124" s="15">
        <v>114.0</v>
      </c>
      <c r="I124" s="36">
        <v>5371.0</v>
      </c>
      <c r="J124" s="14">
        <v>10158.0</v>
      </c>
      <c r="L124" s="15">
        <v>811.0</v>
      </c>
      <c r="N124" s="15">
        <v>1516.0</v>
      </c>
      <c r="O124" s="15"/>
      <c r="P124" s="36">
        <v>12485.0</v>
      </c>
      <c r="Q124" s="14">
        <v>9593.0</v>
      </c>
      <c r="S124" s="15">
        <v>2683.0</v>
      </c>
      <c r="U124" s="15">
        <v>439.0</v>
      </c>
      <c r="W124" s="36">
        <v>12715.0</v>
      </c>
      <c r="X124" s="15">
        <v>5985.0</v>
      </c>
      <c r="Z124" s="15">
        <v>3255.0</v>
      </c>
      <c r="AB124" s="15">
        <v>2456.0</v>
      </c>
      <c r="AD124" s="36">
        <v>11696.0</v>
      </c>
      <c r="AE124" s="37">
        <v>10678.0</v>
      </c>
      <c r="AF124" s="37">
        <v>10769.0</v>
      </c>
      <c r="AG124" s="14">
        <v>4289.0</v>
      </c>
      <c r="AI124" s="15">
        <v>2219.0</v>
      </c>
      <c r="AK124" s="15">
        <v>6508.0</v>
      </c>
      <c r="AL124" s="14">
        <v>4480.0</v>
      </c>
      <c r="AN124" s="15">
        <v>2674.0</v>
      </c>
      <c r="AP124" s="15">
        <v>2112.0</v>
      </c>
      <c r="AR124" s="15">
        <v>1149.0</v>
      </c>
      <c r="AT124" s="36">
        <v>10415.0</v>
      </c>
      <c r="AU124" s="14">
        <v>5550.0</v>
      </c>
      <c r="AW124" s="15">
        <v>3269.0</v>
      </c>
      <c r="AY124" s="15">
        <v>4299.0</v>
      </c>
      <c r="BA124" s="15">
        <v>1947.0</v>
      </c>
      <c r="BC124" s="36">
        <v>15065.0</v>
      </c>
      <c r="BD124" s="15">
        <v>7563.0</v>
      </c>
      <c r="BF124" s="15">
        <v>1293.0</v>
      </c>
      <c r="BH124" s="15">
        <v>8856.0</v>
      </c>
    </row>
    <row r="125" ht="15.75" customHeight="1">
      <c r="A125" s="6" t="s">
        <v>53</v>
      </c>
      <c r="B125" s="30" t="s">
        <v>138</v>
      </c>
      <c r="C125" s="14">
        <v>2586.0</v>
      </c>
      <c r="E125" s="15">
        <v>412.0</v>
      </c>
      <c r="G125" s="15">
        <v>77.0</v>
      </c>
      <c r="I125" s="36">
        <v>3075.0</v>
      </c>
      <c r="J125" s="14">
        <v>3880.0</v>
      </c>
      <c r="L125" s="15">
        <v>671.0</v>
      </c>
      <c r="N125" s="15">
        <v>1213.0</v>
      </c>
      <c r="O125" s="15"/>
      <c r="P125" s="36">
        <v>5764.0</v>
      </c>
      <c r="Q125" s="14">
        <v>4694.0</v>
      </c>
      <c r="S125" s="15">
        <v>1035.0</v>
      </c>
      <c r="U125" s="15">
        <v>152.0</v>
      </c>
      <c r="W125" s="36">
        <v>5881.0</v>
      </c>
      <c r="X125" s="15">
        <v>3073.0</v>
      </c>
      <c r="Z125" s="15">
        <v>1621.0</v>
      </c>
      <c r="AB125" s="15">
        <v>834.0</v>
      </c>
      <c r="AD125" s="36">
        <v>5528.0</v>
      </c>
      <c r="AE125" s="37">
        <v>4421.0</v>
      </c>
      <c r="AF125" s="37">
        <v>4761.0</v>
      </c>
      <c r="AG125" s="14">
        <v>3242.0</v>
      </c>
      <c r="AI125" s="15">
        <v>1131.0</v>
      </c>
      <c r="AK125" s="15">
        <v>4373.0</v>
      </c>
      <c r="AL125" s="14">
        <v>2083.0</v>
      </c>
      <c r="AN125" s="15">
        <v>1408.0</v>
      </c>
      <c r="AP125" s="15">
        <v>614.0</v>
      </c>
      <c r="AR125" s="15">
        <v>762.0</v>
      </c>
      <c r="AT125" s="36">
        <v>4867.0</v>
      </c>
      <c r="AU125" s="14">
        <v>3799.0</v>
      </c>
      <c r="AW125" s="15">
        <v>2140.0</v>
      </c>
      <c r="AY125" s="15">
        <v>2338.0</v>
      </c>
      <c r="BA125" s="15">
        <v>970.0</v>
      </c>
      <c r="BC125" s="36">
        <v>9247.0</v>
      </c>
      <c r="BD125" s="15">
        <v>2355.0</v>
      </c>
      <c r="BF125" s="15">
        <v>503.0</v>
      </c>
      <c r="BH125" s="15">
        <v>2858.0</v>
      </c>
    </row>
    <row r="126" ht="15.75" customHeight="1">
      <c r="A126" s="6" t="s">
        <v>56</v>
      </c>
      <c r="B126" s="30" t="s">
        <v>229</v>
      </c>
      <c r="C126" s="14">
        <v>517.0</v>
      </c>
      <c r="E126" s="15">
        <v>27.0</v>
      </c>
      <c r="G126" s="15">
        <v>1.0</v>
      </c>
      <c r="I126" s="36">
        <v>545.0</v>
      </c>
      <c r="J126" s="14">
        <v>657.0</v>
      </c>
      <c r="L126" s="15">
        <v>142.0</v>
      </c>
      <c r="N126" s="15">
        <v>88.0</v>
      </c>
      <c r="O126" s="15"/>
      <c r="P126" s="36">
        <v>887.0</v>
      </c>
      <c r="Q126" s="14">
        <v>520.0</v>
      </c>
      <c r="S126" s="15">
        <v>222.0</v>
      </c>
      <c r="U126" s="15">
        <v>155.0</v>
      </c>
      <c r="W126" s="36">
        <v>897.0</v>
      </c>
      <c r="X126" s="15">
        <v>393.0</v>
      </c>
      <c r="Z126" s="15">
        <v>182.0</v>
      </c>
      <c r="AB126" s="15">
        <v>222.0</v>
      </c>
      <c r="AD126" s="36">
        <v>797.0</v>
      </c>
      <c r="AE126" s="37">
        <v>1103.0</v>
      </c>
      <c r="AF126" s="37">
        <v>1120.0</v>
      </c>
      <c r="AG126" s="14">
        <v>212.0</v>
      </c>
      <c r="AI126" s="15">
        <v>118.0</v>
      </c>
      <c r="AK126" s="15">
        <v>330.0</v>
      </c>
      <c r="AL126" s="14">
        <v>252.0</v>
      </c>
      <c r="AN126" s="15">
        <v>130.0</v>
      </c>
      <c r="AP126" s="15">
        <v>86.0</v>
      </c>
      <c r="AR126" s="15">
        <v>64.0</v>
      </c>
      <c r="AT126" s="36">
        <v>532.0</v>
      </c>
      <c r="AU126" s="14">
        <v>331.0</v>
      </c>
      <c r="AW126" s="15">
        <v>110.0</v>
      </c>
      <c r="AY126" s="15">
        <v>223.0</v>
      </c>
      <c r="BA126" s="15">
        <v>109.0</v>
      </c>
      <c r="BC126" s="36">
        <v>773.0</v>
      </c>
      <c r="BD126" s="15">
        <v>707.0</v>
      </c>
      <c r="BF126" s="15">
        <v>180.0</v>
      </c>
      <c r="BH126" s="15">
        <v>887.0</v>
      </c>
    </row>
    <row r="127" ht="15.75" customHeight="1">
      <c r="A127" s="6" t="s">
        <v>287</v>
      </c>
      <c r="B127" s="30" t="s">
        <v>206</v>
      </c>
      <c r="C127" s="14">
        <v>849.0</v>
      </c>
      <c r="E127" s="15">
        <v>112.0</v>
      </c>
      <c r="G127" s="15">
        <v>16.0</v>
      </c>
      <c r="I127" s="36">
        <v>977.0</v>
      </c>
      <c r="J127" s="14">
        <v>1463.0</v>
      </c>
      <c r="L127" s="15">
        <v>481.0</v>
      </c>
      <c r="N127" s="15">
        <v>107.0</v>
      </c>
      <c r="O127" s="15"/>
      <c r="P127" s="36">
        <v>2051.0</v>
      </c>
      <c r="Q127" s="14">
        <v>1530.0</v>
      </c>
      <c r="S127" s="15">
        <v>460.0</v>
      </c>
      <c r="U127" s="15">
        <v>98.0</v>
      </c>
      <c r="W127" s="36">
        <v>2088.0</v>
      </c>
      <c r="X127" s="15">
        <v>743.0</v>
      </c>
      <c r="Z127" s="15">
        <v>758.0</v>
      </c>
      <c r="AB127" s="15">
        <v>400.0</v>
      </c>
      <c r="AD127" s="36">
        <v>1901.0</v>
      </c>
      <c r="AE127" s="37">
        <v>1157.0</v>
      </c>
      <c r="AF127" s="37">
        <v>1160.0</v>
      </c>
      <c r="AG127" s="14">
        <v>485.0</v>
      </c>
      <c r="AI127" s="15">
        <v>301.0</v>
      </c>
      <c r="AK127" s="15">
        <v>786.0</v>
      </c>
      <c r="AL127" s="14">
        <v>413.0</v>
      </c>
      <c r="AN127" s="15">
        <v>224.0</v>
      </c>
      <c r="AP127" s="15">
        <v>165.0</v>
      </c>
      <c r="AR127" s="15">
        <v>104.0</v>
      </c>
      <c r="AT127" s="36">
        <v>906.0</v>
      </c>
      <c r="AU127" s="14">
        <v>802.0</v>
      </c>
      <c r="AW127" s="15">
        <v>327.0</v>
      </c>
      <c r="AY127" s="15">
        <v>382.0</v>
      </c>
      <c r="BA127" s="15">
        <v>240.0</v>
      </c>
      <c r="BC127" s="36">
        <v>1751.0</v>
      </c>
      <c r="BD127" s="15">
        <v>953.0</v>
      </c>
      <c r="BF127" s="15">
        <v>131.0</v>
      </c>
      <c r="BH127" s="15">
        <v>1084.0</v>
      </c>
    </row>
    <row r="128" ht="15.75" customHeight="1">
      <c r="A128" s="6" t="s">
        <v>62</v>
      </c>
      <c r="B128" s="30" t="s">
        <v>221</v>
      </c>
      <c r="C128" s="14">
        <v>670.0</v>
      </c>
      <c r="E128" s="15">
        <v>23.0</v>
      </c>
      <c r="G128" s="15">
        <v>13.0</v>
      </c>
      <c r="I128" s="36">
        <v>706.0</v>
      </c>
      <c r="J128" s="14">
        <v>882.0</v>
      </c>
      <c r="L128" s="15">
        <v>297.0</v>
      </c>
      <c r="N128" s="15">
        <v>122.0</v>
      </c>
      <c r="O128" s="15"/>
      <c r="P128" s="36">
        <v>1301.0</v>
      </c>
      <c r="Q128" s="14">
        <v>944.0</v>
      </c>
      <c r="S128" s="15">
        <v>330.0</v>
      </c>
      <c r="U128" s="15">
        <v>55.0</v>
      </c>
      <c r="W128" s="36">
        <v>1329.0</v>
      </c>
      <c r="X128" s="15">
        <v>560.0</v>
      </c>
      <c r="Z128" s="15">
        <v>350.0</v>
      </c>
      <c r="AB128" s="15">
        <v>302.0</v>
      </c>
      <c r="AD128" s="36">
        <v>1212.0</v>
      </c>
      <c r="AE128" s="37">
        <v>984.0</v>
      </c>
      <c r="AF128" s="37">
        <v>994.0</v>
      </c>
      <c r="AG128" s="14">
        <v>489.0</v>
      </c>
      <c r="AI128" s="15">
        <v>386.0</v>
      </c>
      <c r="AK128" s="15">
        <v>875.0</v>
      </c>
      <c r="AL128" s="14">
        <v>401.0</v>
      </c>
      <c r="AN128" s="15">
        <v>230.0</v>
      </c>
      <c r="AP128" s="15">
        <v>74.0</v>
      </c>
      <c r="AR128" s="15">
        <v>135.0</v>
      </c>
      <c r="AT128" s="36">
        <v>840.0</v>
      </c>
      <c r="AU128" s="14">
        <v>758.0</v>
      </c>
      <c r="AW128" s="15">
        <v>248.0</v>
      </c>
      <c r="AY128" s="15">
        <v>264.0</v>
      </c>
      <c r="BA128" s="15">
        <v>138.0</v>
      </c>
      <c r="BC128" s="36">
        <v>1408.0</v>
      </c>
      <c r="BD128" s="15">
        <v>88.0</v>
      </c>
      <c r="BF128" s="15">
        <v>37.0</v>
      </c>
      <c r="BH128" s="15">
        <v>125.0</v>
      </c>
    </row>
    <row r="129" ht="15.75" customHeight="1">
      <c r="A129" s="6" t="s">
        <v>53</v>
      </c>
      <c r="B129" s="30" t="s">
        <v>124</v>
      </c>
      <c r="C129" s="14">
        <v>4496.0</v>
      </c>
      <c r="E129" s="15">
        <v>520.0</v>
      </c>
      <c r="G129" s="15">
        <v>94.0</v>
      </c>
      <c r="I129" s="36">
        <v>5110.0</v>
      </c>
      <c r="J129" s="14">
        <v>5959.0</v>
      </c>
      <c r="L129" s="15">
        <v>1241.0</v>
      </c>
      <c r="N129" s="15">
        <v>1698.0</v>
      </c>
      <c r="O129" s="15"/>
      <c r="P129" s="36">
        <v>8898.0</v>
      </c>
      <c r="Q129" s="14">
        <v>6901.0</v>
      </c>
      <c r="S129" s="15">
        <v>1769.0</v>
      </c>
      <c r="U129" s="15">
        <v>371.0</v>
      </c>
      <c r="W129" s="36">
        <v>9041.0</v>
      </c>
      <c r="X129" s="15">
        <v>5341.0</v>
      </c>
      <c r="Z129" s="15">
        <v>2049.0</v>
      </c>
      <c r="AB129" s="15">
        <v>1247.0</v>
      </c>
      <c r="AD129" s="36">
        <v>8637.0</v>
      </c>
      <c r="AE129" s="37">
        <v>7096.0</v>
      </c>
      <c r="AF129" s="37">
        <v>7696.0</v>
      </c>
      <c r="AG129" s="14">
        <v>3734.0</v>
      </c>
      <c r="AI129" s="15">
        <v>1309.0</v>
      </c>
      <c r="AK129" s="15">
        <v>5043.0</v>
      </c>
      <c r="AL129" s="14">
        <v>2458.0</v>
      </c>
      <c r="AN129" s="15">
        <v>1585.0</v>
      </c>
      <c r="AP129" s="15">
        <v>797.0</v>
      </c>
      <c r="AR129" s="15">
        <v>882.0</v>
      </c>
      <c r="AT129" s="36">
        <v>5722.0</v>
      </c>
      <c r="AU129" s="14">
        <v>4257.0</v>
      </c>
      <c r="AW129" s="15">
        <v>1938.0</v>
      </c>
      <c r="AY129" s="15">
        <v>2436.0</v>
      </c>
      <c r="BA129" s="15">
        <v>1333.0</v>
      </c>
      <c r="BC129" s="36">
        <v>9964.0</v>
      </c>
      <c r="BD129" s="15">
        <v>4789.0</v>
      </c>
      <c r="BF129" s="15">
        <v>1380.0</v>
      </c>
      <c r="BH129" s="15">
        <v>6169.0</v>
      </c>
    </row>
    <row r="130" ht="15.75" customHeight="1">
      <c r="A130" s="6" t="s">
        <v>58</v>
      </c>
      <c r="B130" s="30" t="s">
        <v>155</v>
      </c>
      <c r="C130" s="14">
        <v>2456.0</v>
      </c>
      <c r="E130" s="15">
        <v>460.0</v>
      </c>
      <c r="G130" s="15">
        <v>62.0</v>
      </c>
      <c r="I130" s="36">
        <v>2978.0</v>
      </c>
      <c r="J130" s="14">
        <v>3031.0</v>
      </c>
      <c r="L130" s="15">
        <v>669.0</v>
      </c>
      <c r="N130" s="15">
        <v>469.0</v>
      </c>
      <c r="O130" s="15"/>
      <c r="P130" s="36">
        <v>4169.0</v>
      </c>
      <c r="Q130" s="14">
        <v>2672.0</v>
      </c>
      <c r="S130" s="15">
        <v>1310.0</v>
      </c>
      <c r="U130" s="15">
        <v>242.0</v>
      </c>
      <c r="W130" s="36">
        <v>4224.0</v>
      </c>
      <c r="X130" s="15">
        <v>1804.0</v>
      </c>
      <c r="Z130" s="15">
        <v>1496.0</v>
      </c>
      <c r="AB130" s="15">
        <v>620.0</v>
      </c>
      <c r="AD130" s="36">
        <v>3920.0</v>
      </c>
      <c r="AE130" s="37">
        <v>4461.0</v>
      </c>
      <c r="AF130" s="37">
        <v>4971.0</v>
      </c>
      <c r="AG130" s="14">
        <v>891.0</v>
      </c>
      <c r="AI130" s="15">
        <v>1418.0</v>
      </c>
      <c r="AK130" s="15">
        <v>2309.0</v>
      </c>
      <c r="AL130" s="14">
        <v>1465.0</v>
      </c>
      <c r="AN130" s="15">
        <v>448.0</v>
      </c>
      <c r="AP130" s="15">
        <v>277.0</v>
      </c>
      <c r="AR130" s="15">
        <v>414.0</v>
      </c>
      <c r="AT130" s="36">
        <v>2604.0</v>
      </c>
      <c r="AU130" s="14">
        <v>1730.0</v>
      </c>
      <c r="AW130" s="15">
        <v>921.0</v>
      </c>
      <c r="AY130" s="15">
        <v>885.0</v>
      </c>
      <c r="BA130" s="15">
        <v>636.0</v>
      </c>
      <c r="BC130" s="36">
        <v>4172.0</v>
      </c>
      <c r="BD130" s="15">
        <v>2796.0</v>
      </c>
      <c r="BF130" s="15">
        <v>818.0</v>
      </c>
      <c r="BH130" s="15">
        <v>3614.0</v>
      </c>
    </row>
    <row r="131" ht="15.75" customHeight="1">
      <c r="A131" s="6" t="s">
        <v>56</v>
      </c>
      <c r="B131" s="30" t="s">
        <v>245</v>
      </c>
      <c r="C131" s="14">
        <v>184.0</v>
      </c>
      <c r="E131" s="15">
        <v>6.0</v>
      </c>
      <c r="G131" s="15">
        <v>4.0</v>
      </c>
      <c r="I131" s="36">
        <v>194.0</v>
      </c>
      <c r="J131" s="14">
        <v>259.0</v>
      </c>
      <c r="L131" s="15">
        <v>61.0</v>
      </c>
      <c r="N131" s="15">
        <v>29.0</v>
      </c>
      <c r="O131" s="15"/>
      <c r="P131" s="36">
        <v>349.0</v>
      </c>
      <c r="Q131" s="14">
        <v>204.0</v>
      </c>
      <c r="S131" s="15">
        <v>131.0</v>
      </c>
      <c r="U131" s="15">
        <v>14.0</v>
      </c>
      <c r="W131" s="36">
        <v>349.0</v>
      </c>
      <c r="X131" s="15">
        <v>157.0</v>
      </c>
      <c r="Z131" s="15">
        <v>53.0</v>
      </c>
      <c r="AB131" s="15">
        <v>85.0</v>
      </c>
      <c r="AD131" s="36">
        <v>295.0</v>
      </c>
      <c r="AE131" s="37">
        <v>214.0</v>
      </c>
      <c r="AF131" s="37">
        <v>209.0</v>
      </c>
      <c r="AG131" s="14">
        <v>158.0</v>
      </c>
      <c r="AI131" s="15">
        <v>42.0</v>
      </c>
      <c r="AK131" s="15">
        <v>200.0</v>
      </c>
      <c r="AL131" s="14">
        <v>73.0</v>
      </c>
      <c r="AN131" s="15">
        <v>68.0</v>
      </c>
      <c r="AP131" s="15">
        <v>25.0</v>
      </c>
      <c r="AR131" s="15">
        <v>17.0</v>
      </c>
      <c r="AT131" s="36">
        <v>183.0</v>
      </c>
      <c r="AU131" s="14">
        <v>213.0</v>
      </c>
      <c r="AW131" s="15">
        <v>37.0</v>
      </c>
      <c r="AY131" s="15">
        <v>85.0</v>
      </c>
      <c r="BA131" s="15">
        <v>46.0</v>
      </c>
      <c r="BC131" s="36">
        <v>381.0</v>
      </c>
      <c r="BD131" s="15">
        <v>5.0</v>
      </c>
      <c r="BF131" s="15">
        <v>5.0</v>
      </c>
      <c r="BH131" s="15">
        <v>10.0</v>
      </c>
    </row>
    <row r="132" ht="15.75" customHeight="1">
      <c r="A132" s="6" t="s">
        <v>56</v>
      </c>
      <c r="B132" s="30" t="s">
        <v>185</v>
      </c>
      <c r="C132" s="14">
        <v>1235.0</v>
      </c>
      <c r="E132" s="15">
        <v>87.0</v>
      </c>
      <c r="G132" s="15">
        <v>34.0</v>
      </c>
      <c r="I132" s="36">
        <v>1356.0</v>
      </c>
      <c r="J132" s="14">
        <v>2178.0</v>
      </c>
      <c r="L132" s="15">
        <v>526.0</v>
      </c>
      <c r="N132" s="15">
        <v>214.0</v>
      </c>
      <c r="O132" s="15"/>
      <c r="P132" s="36">
        <v>2918.0</v>
      </c>
      <c r="Q132" s="14">
        <v>2015.0</v>
      </c>
      <c r="S132" s="15">
        <v>776.0</v>
      </c>
      <c r="U132" s="15">
        <v>155.0</v>
      </c>
      <c r="W132" s="36">
        <v>2946.0</v>
      </c>
      <c r="X132" s="15">
        <v>1381.0</v>
      </c>
      <c r="Z132" s="15">
        <v>690.0</v>
      </c>
      <c r="AB132" s="15">
        <v>593.0</v>
      </c>
      <c r="AD132" s="36">
        <v>2664.0</v>
      </c>
      <c r="AE132" s="37">
        <v>2449.0</v>
      </c>
      <c r="AF132" s="37">
        <v>2495.0</v>
      </c>
      <c r="AG132" s="14">
        <v>740.0</v>
      </c>
      <c r="AI132" s="15">
        <v>592.0</v>
      </c>
      <c r="AK132" s="15">
        <v>1332.0</v>
      </c>
      <c r="AL132" s="14">
        <v>899.0</v>
      </c>
      <c r="AN132" s="15">
        <v>312.0</v>
      </c>
      <c r="AP132" s="15">
        <v>341.0</v>
      </c>
      <c r="AR132" s="15">
        <v>244.0</v>
      </c>
      <c r="AT132" s="36">
        <v>1796.0</v>
      </c>
      <c r="AU132" s="14">
        <v>1381.0</v>
      </c>
      <c r="AW132" s="15">
        <v>548.0</v>
      </c>
      <c r="AY132" s="15">
        <v>690.0</v>
      </c>
      <c r="BA132" s="15">
        <v>391.0</v>
      </c>
      <c r="BC132" s="36">
        <v>3010.0</v>
      </c>
      <c r="BD132" s="15">
        <v>2758.0</v>
      </c>
      <c r="BF132" s="15">
        <v>497.0</v>
      </c>
      <c r="BH132" s="15">
        <v>3255.0</v>
      </c>
    </row>
    <row r="133" ht="15.75" customHeight="1">
      <c r="A133" s="6" t="s">
        <v>56</v>
      </c>
      <c r="B133" s="30" t="s">
        <v>238</v>
      </c>
      <c r="C133" s="14">
        <v>380.0</v>
      </c>
      <c r="E133" s="15">
        <v>17.0</v>
      </c>
      <c r="G133" s="15">
        <v>6.0</v>
      </c>
      <c r="I133" s="36">
        <v>403.0</v>
      </c>
      <c r="J133" s="14">
        <v>525.0</v>
      </c>
      <c r="L133" s="15">
        <v>68.0</v>
      </c>
      <c r="N133" s="15">
        <v>66.0</v>
      </c>
      <c r="O133" s="15"/>
      <c r="P133" s="36">
        <v>659.0</v>
      </c>
      <c r="Q133" s="14">
        <v>388.0</v>
      </c>
      <c r="S133" s="15">
        <v>244.0</v>
      </c>
      <c r="U133" s="15">
        <v>35.0</v>
      </c>
      <c r="W133" s="36">
        <v>667.0</v>
      </c>
      <c r="X133" s="15">
        <v>355.0</v>
      </c>
      <c r="Z133" s="15">
        <v>109.0</v>
      </c>
      <c r="AB133" s="15">
        <v>165.0</v>
      </c>
      <c r="AD133" s="36">
        <v>629.0</v>
      </c>
      <c r="AE133" s="37">
        <v>460.0</v>
      </c>
      <c r="AF133" s="37">
        <v>480.0</v>
      </c>
      <c r="AG133" s="14">
        <v>191.0</v>
      </c>
      <c r="AI133" s="15">
        <v>99.0</v>
      </c>
      <c r="AK133" s="15">
        <v>290.0</v>
      </c>
      <c r="AL133" s="14">
        <v>157.0</v>
      </c>
      <c r="AN133" s="15">
        <v>41.0</v>
      </c>
      <c r="AP133" s="15">
        <v>66.0</v>
      </c>
      <c r="AR133" s="15">
        <v>42.0</v>
      </c>
      <c r="AT133" s="36">
        <v>306.0</v>
      </c>
      <c r="AU133" s="14">
        <v>368.0</v>
      </c>
      <c r="AW133" s="15">
        <v>73.0</v>
      </c>
      <c r="AY133" s="15">
        <v>162.0</v>
      </c>
      <c r="BA133" s="15">
        <v>85.0</v>
      </c>
      <c r="BC133" s="36">
        <v>688.0</v>
      </c>
      <c r="BD133" s="15">
        <v>116.0</v>
      </c>
      <c r="BF133" s="15">
        <v>31.0</v>
      </c>
      <c r="BH133" s="15">
        <v>147.0</v>
      </c>
    </row>
    <row r="134" ht="15.75" customHeight="1">
      <c r="A134" s="6" t="s">
        <v>54</v>
      </c>
      <c r="B134" s="30" t="s">
        <v>249</v>
      </c>
      <c r="C134" s="14">
        <v>104.0</v>
      </c>
      <c r="E134" s="15">
        <v>8.0</v>
      </c>
      <c r="G134" s="15">
        <v>3.0</v>
      </c>
      <c r="I134" s="36">
        <v>115.0</v>
      </c>
      <c r="J134" s="14">
        <v>130.0</v>
      </c>
      <c r="L134" s="15">
        <v>37.0</v>
      </c>
      <c r="N134" s="15">
        <v>47.0</v>
      </c>
      <c r="O134" s="15"/>
      <c r="P134" s="36">
        <v>214.0</v>
      </c>
      <c r="Q134" s="14">
        <v>143.0</v>
      </c>
      <c r="S134" s="15">
        <v>56.0</v>
      </c>
      <c r="U134" s="15">
        <v>21.0</v>
      </c>
      <c r="W134" s="36">
        <v>220.0</v>
      </c>
      <c r="X134" s="15">
        <v>140.0</v>
      </c>
      <c r="Z134" s="15">
        <v>33.0</v>
      </c>
      <c r="AB134" s="15">
        <v>29.0</v>
      </c>
      <c r="AD134" s="36">
        <v>202.0</v>
      </c>
      <c r="AE134" s="37">
        <v>90.0</v>
      </c>
      <c r="AF134" s="37">
        <v>98.0</v>
      </c>
      <c r="AG134" s="14">
        <v>42.0</v>
      </c>
      <c r="AI134" s="15">
        <v>17.0</v>
      </c>
      <c r="AK134" s="15">
        <v>59.0</v>
      </c>
      <c r="AL134" s="14">
        <v>15.0</v>
      </c>
      <c r="AN134" s="15">
        <v>16.0</v>
      </c>
      <c r="AP134" s="15">
        <v>8.0</v>
      </c>
      <c r="AR134" s="15">
        <v>3.0</v>
      </c>
      <c r="AT134" s="36">
        <v>42.0</v>
      </c>
      <c r="AU134" s="14">
        <v>102.0</v>
      </c>
      <c r="AW134" s="15">
        <v>24.0</v>
      </c>
      <c r="AY134" s="15">
        <v>48.0</v>
      </c>
      <c r="BA134" s="15">
        <v>23.0</v>
      </c>
      <c r="BC134" s="36">
        <v>197.0</v>
      </c>
      <c r="BD134" s="15">
        <v>18.0</v>
      </c>
      <c r="BF134" s="15">
        <v>3.0</v>
      </c>
      <c r="BH134" s="15">
        <v>21.0</v>
      </c>
    </row>
    <row r="135" ht="15.75" customHeight="1">
      <c r="A135" s="6" t="s">
        <v>287</v>
      </c>
      <c r="B135" s="30" t="s">
        <v>183</v>
      </c>
      <c r="C135" s="14">
        <v>1323.0</v>
      </c>
      <c r="E135" s="15">
        <v>112.0</v>
      </c>
      <c r="G135" s="15">
        <v>14.0</v>
      </c>
      <c r="I135" s="36">
        <v>1449.0</v>
      </c>
      <c r="J135" s="14">
        <v>2311.0</v>
      </c>
      <c r="L135" s="15">
        <v>536.0</v>
      </c>
      <c r="N135" s="15">
        <v>167.0</v>
      </c>
      <c r="O135" s="15"/>
      <c r="P135" s="36">
        <v>3014.0</v>
      </c>
      <c r="Q135" s="14">
        <v>2351.0</v>
      </c>
      <c r="S135" s="15">
        <v>540.0</v>
      </c>
      <c r="U135" s="15">
        <v>168.0</v>
      </c>
      <c r="W135" s="36">
        <v>3059.0</v>
      </c>
      <c r="X135" s="15">
        <v>1199.0</v>
      </c>
      <c r="Z135" s="15">
        <v>1071.0</v>
      </c>
      <c r="AB135" s="15">
        <v>553.0</v>
      </c>
      <c r="AD135" s="36">
        <v>2823.0</v>
      </c>
      <c r="AE135" s="37">
        <v>3350.0</v>
      </c>
      <c r="AF135" s="37">
        <v>3188.0</v>
      </c>
      <c r="AG135" s="14">
        <v>815.0</v>
      </c>
      <c r="AI135" s="15">
        <v>483.0</v>
      </c>
      <c r="AK135" s="15">
        <v>1298.0</v>
      </c>
      <c r="AL135" s="14">
        <v>750.0</v>
      </c>
      <c r="AN135" s="15">
        <v>426.0</v>
      </c>
      <c r="AP135" s="15">
        <v>281.0</v>
      </c>
      <c r="AR135" s="15">
        <v>222.0</v>
      </c>
      <c r="AT135" s="36">
        <v>1679.0</v>
      </c>
      <c r="AU135" s="14">
        <v>1089.0</v>
      </c>
      <c r="AW135" s="15">
        <v>458.0</v>
      </c>
      <c r="AY135" s="15">
        <v>726.0</v>
      </c>
      <c r="BA135" s="15">
        <v>285.0</v>
      </c>
      <c r="BC135" s="36">
        <v>2558.0</v>
      </c>
      <c r="BD135" s="15">
        <v>1853.0</v>
      </c>
      <c r="BF135" s="15">
        <v>352.0</v>
      </c>
      <c r="BH135" s="15">
        <v>2205.0</v>
      </c>
    </row>
    <row r="136" ht="15.75" customHeight="1">
      <c r="A136" s="6" t="s">
        <v>60</v>
      </c>
      <c r="B136" s="30" t="s">
        <v>223</v>
      </c>
      <c r="C136" s="14">
        <v>587.0</v>
      </c>
      <c r="E136" s="15">
        <v>23.0</v>
      </c>
      <c r="G136" s="15">
        <v>8.0</v>
      </c>
      <c r="I136" s="36">
        <v>618.0</v>
      </c>
      <c r="J136" s="14">
        <v>920.0</v>
      </c>
      <c r="L136" s="15">
        <v>207.0</v>
      </c>
      <c r="N136" s="15">
        <v>62.0</v>
      </c>
      <c r="O136" s="15"/>
      <c r="P136" s="36">
        <v>1189.0</v>
      </c>
      <c r="Q136" s="14">
        <v>795.0</v>
      </c>
      <c r="S136" s="15">
        <v>350.0</v>
      </c>
      <c r="U136" s="15">
        <v>58.0</v>
      </c>
      <c r="W136" s="36">
        <v>1203.0</v>
      </c>
      <c r="X136" s="15">
        <v>743.0</v>
      </c>
      <c r="Z136" s="15">
        <v>240.0</v>
      </c>
      <c r="AB136" s="15">
        <v>157.0</v>
      </c>
      <c r="AD136" s="36">
        <v>1140.0</v>
      </c>
      <c r="AE136" s="37">
        <v>1234.0</v>
      </c>
      <c r="AF136" s="37">
        <v>1227.0</v>
      </c>
      <c r="AG136" s="14">
        <v>410.0</v>
      </c>
      <c r="AI136" s="15">
        <v>138.0</v>
      </c>
      <c r="AK136" s="15">
        <v>548.0</v>
      </c>
      <c r="AL136" s="14">
        <v>180.0</v>
      </c>
      <c r="AN136" s="15">
        <v>157.0</v>
      </c>
      <c r="AP136" s="15">
        <v>109.0</v>
      </c>
      <c r="AR136" s="15">
        <v>82.0</v>
      </c>
      <c r="AT136" s="36">
        <v>528.0</v>
      </c>
      <c r="AU136" s="14">
        <v>551.0</v>
      </c>
      <c r="AW136" s="15">
        <v>141.0</v>
      </c>
      <c r="AY136" s="15">
        <v>204.0</v>
      </c>
      <c r="BA136" s="15">
        <v>168.0</v>
      </c>
      <c r="BC136" s="36">
        <v>1064.0</v>
      </c>
      <c r="BD136" s="15">
        <v>268.0</v>
      </c>
      <c r="BF136" s="15">
        <v>80.0</v>
      </c>
      <c r="BH136" s="15">
        <v>348.0</v>
      </c>
    </row>
    <row r="137" ht="15.75" customHeight="1">
      <c r="A137" s="6" t="s">
        <v>60</v>
      </c>
      <c r="B137" s="30" t="s">
        <v>219</v>
      </c>
      <c r="C137" s="14">
        <v>709.0</v>
      </c>
      <c r="E137" s="15">
        <v>31.0</v>
      </c>
      <c r="G137" s="15">
        <v>9.0</v>
      </c>
      <c r="I137" s="36">
        <v>749.0</v>
      </c>
      <c r="J137" s="14">
        <v>1077.0</v>
      </c>
      <c r="L137" s="15">
        <v>245.0</v>
      </c>
      <c r="N137" s="15">
        <v>114.0</v>
      </c>
      <c r="O137" s="15"/>
      <c r="P137" s="36">
        <v>1436.0</v>
      </c>
      <c r="Q137" s="14">
        <v>1012.0</v>
      </c>
      <c r="S137" s="15">
        <v>318.0</v>
      </c>
      <c r="U137" s="15">
        <v>134.0</v>
      </c>
      <c r="W137" s="36">
        <v>1464.0</v>
      </c>
      <c r="X137" s="15">
        <v>808.0</v>
      </c>
      <c r="Z137" s="15">
        <v>379.0</v>
      </c>
      <c r="AB137" s="15">
        <v>174.0</v>
      </c>
      <c r="AD137" s="36">
        <v>1361.0</v>
      </c>
      <c r="AE137" s="37">
        <v>1196.0</v>
      </c>
      <c r="AF137" s="37">
        <v>1137.0</v>
      </c>
      <c r="AG137" s="14">
        <v>597.0</v>
      </c>
      <c r="AI137" s="15">
        <v>285.0</v>
      </c>
      <c r="AK137" s="15">
        <v>882.0</v>
      </c>
      <c r="AL137" s="14">
        <v>214.0</v>
      </c>
      <c r="AN137" s="15">
        <v>272.0</v>
      </c>
      <c r="AP137" s="15">
        <v>88.0</v>
      </c>
      <c r="AR137" s="15">
        <v>61.0</v>
      </c>
      <c r="AT137" s="36">
        <v>635.0</v>
      </c>
      <c r="AU137" s="14">
        <v>626.0</v>
      </c>
      <c r="AW137" s="15">
        <v>171.0</v>
      </c>
      <c r="AY137" s="15">
        <v>212.0</v>
      </c>
      <c r="BA137" s="15">
        <v>206.0</v>
      </c>
      <c r="BC137" s="36">
        <v>1215.0</v>
      </c>
      <c r="BD137" s="15">
        <v>378.0</v>
      </c>
      <c r="BF137" s="15">
        <v>93.0</v>
      </c>
      <c r="BH137" s="15">
        <v>471.0</v>
      </c>
    </row>
    <row r="138" ht="15.75" customHeight="1">
      <c r="A138" s="6" t="s">
        <v>52</v>
      </c>
      <c r="B138" s="30" t="s">
        <v>231</v>
      </c>
      <c r="C138" s="14">
        <v>555.0</v>
      </c>
      <c r="E138" s="15">
        <v>34.0</v>
      </c>
      <c r="G138" s="15">
        <v>8.0</v>
      </c>
      <c r="I138" s="36">
        <v>597.0</v>
      </c>
      <c r="J138" s="14">
        <v>718.0</v>
      </c>
      <c r="L138" s="15">
        <v>262.0</v>
      </c>
      <c r="N138" s="15">
        <v>69.0</v>
      </c>
      <c r="O138" s="15"/>
      <c r="P138" s="36">
        <v>1049.0</v>
      </c>
      <c r="Q138" s="14">
        <v>735.0</v>
      </c>
      <c r="S138" s="15">
        <v>288.0</v>
      </c>
      <c r="U138" s="15">
        <v>35.0</v>
      </c>
      <c r="W138" s="36">
        <v>1058.0</v>
      </c>
      <c r="X138" s="15">
        <v>512.0</v>
      </c>
      <c r="Z138" s="15">
        <v>237.0</v>
      </c>
      <c r="AB138" s="15">
        <v>226.0</v>
      </c>
      <c r="AD138" s="36">
        <v>975.0</v>
      </c>
      <c r="AE138" s="37">
        <v>680.0</v>
      </c>
      <c r="AF138" s="37">
        <v>701.0</v>
      </c>
      <c r="AG138" s="14">
        <v>330.0</v>
      </c>
      <c r="AI138" s="15">
        <v>235.0</v>
      </c>
      <c r="AK138" s="15">
        <v>565.0</v>
      </c>
      <c r="AL138" s="14">
        <v>216.0</v>
      </c>
      <c r="AN138" s="15">
        <v>84.0</v>
      </c>
      <c r="AP138" s="15">
        <v>142.0</v>
      </c>
      <c r="AR138" s="15">
        <v>71.0</v>
      </c>
      <c r="AT138" s="36">
        <v>513.0</v>
      </c>
      <c r="AU138" s="14">
        <v>649.0</v>
      </c>
      <c r="AW138" s="15">
        <v>138.0</v>
      </c>
      <c r="AY138" s="15">
        <v>249.0</v>
      </c>
      <c r="BA138" s="15">
        <v>125.0</v>
      </c>
      <c r="BC138" s="36">
        <v>1161.0</v>
      </c>
      <c r="BD138" s="15">
        <v>57.0</v>
      </c>
      <c r="BF138" s="15">
        <v>20.0</v>
      </c>
      <c r="BH138" s="15">
        <v>77.0</v>
      </c>
    </row>
    <row r="139" ht="15.75" customHeight="1">
      <c r="A139" s="6" t="s">
        <v>62</v>
      </c>
      <c r="B139" s="30" t="s">
        <v>152</v>
      </c>
      <c r="C139" s="14">
        <v>3022.0</v>
      </c>
      <c r="E139" s="15">
        <v>283.0</v>
      </c>
      <c r="G139" s="15">
        <v>83.0</v>
      </c>
      <c r="I139" s="36">
        <v>3388.0</v>
      </c>
      <c r="J139" s="14">
        <v>4873.0</v>
      </c>
      <c r="L139" s="15">
        <v>761.0</v>
      </c>
      <c r="N139" s="15">
        <v>633.0</v>
      </c>
      <c r="O139" s="15"/>
      <c r="P139" s="36">
        <v>6267.0</v>
      </c>
      <c r="Q139" s="14">
        <v>4103.0</v>
      </c>
      <c r="S139" s="15">
        <v>1950.0</v>
      </c>
      <c r="U139" s="15">
        <v>294.0</v>
      </c>
      <c r="W139" s="36">
        <v>6347.0</v>
      </c>
      <c r="X139" s="15">
        <v>3063.0</v>
      </c>
      <c r="Z139" s="15">
        <v>1096.0</v>
      </c>
      <c r="AB139" s="15">
        <v>1583.0</v>
      </c>
      <c r="AD139" s="36">
        <v>5742.0</v>
      </c>
      <c r="AE139" s="37">
        <v>3380.0</v>
      </c>
      <c r="AF139" s="37">
        <v>3618.0</v>
      </c>
      <c r="AG139" s="14">
        <v>1531.0</v>
      </c>
      <c r="AI139" s="15">
        <v>923.0</v>
      </c>
      <c r="AK139" s="15">
        <v>2454.0</v>
      </c>
      <c r="AL139" s="14">
        <v>830.0</v>
      </c>
      <c r="AN139" s="15">
        <v>555.0</v>
      </c>
      <c r="AP139" s="15">
        <v>459.0</v>
      </c>
      <c r="AR139" s="15">
        <v>389.0</v>
      </c>
      <c r="AT139" s="36">
        <v>2233.0</v>
      </c>
      <c r="AU139" s="14">
        <v>2651.0</v>
      </c>
      <c r="AW139" s="15">
        <v>1307.0</v>
      </c>
      <c r="AY139" s="15">
        <v>1557.0</v>
      </c>
      <c r="BA139" s="15">
        <v>1108.0</v>
      </c>
      <c r="BC139" s="36">
        <v>6623.0</v>
      </c>
      <c r="BD139" s="15">
        <v>1080.0</v>
      </c>
      <c r="BF139" s="15">
        <v>445.0</v>
      </c>
      <c r="BH139" s="15">
        <v>1525.0</v>
      </c>
    </row>
    <row r="140" ht="15.75" customHeight="1">
      <c r="A140" s="6" t="s">
        <v>52</v>
      </c>
      <c r="B140" s="30" t="s">
        <v>149</v>
      </c>
      <c r="C140" s="14">
        <v>2291.0</v>
      </c>
      <c r="E140" s="15">
        <v>192.0</v>
      </c>
      <c r="G140" s="15">
        <v>29.0</v>
      </c>
      <c r="I140" s="36">
        <v>2512.0</v>
      </c>
      <c r="J140" s="14">
        <v>3807.0</v>
      </c>
      <c r="L140" s="15">
        <v>870.0</v>
      </c>
      <c r="N140" s="15">
        <v>389.0</v>
      </c>
      <c r="O140" s="15"/>
      <c r="P140" s="36">
        <v>5066.0</v>
      </c>
      <c r="Q140" s="14">
        <v>3642.0</v>
      </c>
      <c r="S140" s="15">
        <v>1176.0</v>
      </c>
      <c r="U140" s="15">
        <v>275.0</v>
      </c>
      <c r="W140" s="36">
        <v>5093.0</v>
      </c>
      <c r="X140" s="15">
        <v>3165.0</v>
      </c>
      <c r="Z140" s="15">
        <v>1015.0</v>
      </c>
      <c r="AB140" s="15">
        <v>605.0</v>
      </c>
      <c r="AD140" s="36">
        <v>4785.0</v>
      </c>
      <c r="AE140" s="37">
        <v>4964.0</v>
      </c>
      <c r="AF140" s="37">
        <v>5164.0</v>
      </c>
      <c r="AG140" s="14">
        <v>1736.0</v>
      </c>
      <c r="AI140" s="15">
        <v>834.0</v>
      </c>
      <c r="AK140" s="15">
        <v>2570.0</v>
      </c>
      <c r="AL140" s="14">
        <v>1323.0</v>
      </c>
      <c r="AN140" s="15">
        <v>787.0</v>
      </c>
      <c r="AP140" s="15">
        <v>651.0</v>
      </c>
      <c r="AR140" s="15">
        <v>430.0</v>
      </c>
      <c r="AT140" s="36">
        <v>3191.0</v>
      </c>
      <c r="AU140" s="14">
        <v>2706.0</v>
      </c>
      <c r="AW140" s="15">
        <v>924.0</v>
      </c>
      <c r="AY140" s="15">
        <v>1288.0</v>
      </c>
      <c r="BA140" s="15">
        <v>748.0</v>
      </c>
      <c r="BC140" s="36">
        <v>5666.0</v>
      </c>
      <c r="BD140" s="15">
        <v>3224.0</v>
      </c>
      <c r="BF140" s="15">
        <v>716.0</v>
      </c>
      <c r="BH140" s="15">
        <v>3940.0</v>
      </c>
    </row>
    <row r="141" ht="15.75" customHeight="1">
      <c r="A141" s="6" t="s">
        <v>287</v>
      </c>
      <c r="B141" s="30" t="s">
        <v>170</v>
      </c>
      <c r="C141" s="14">
        <v>1564.0</v>
      </c>
      <c r="E141" s="15">
        <v>114.0</v>
      </c>
      <c r="G141" s="15">
        <v>23.0</v>
      </c>
      <c r="I141" s="36">
        <v>1701.0</v>
      </c>
      <c r="J141" s="14">
        <v>2644.0</v>
      </c>
      <c r="L141" s="15">
        <v>493.0</v>
      </c>
      <c r="N141" s="15">
        <v>267.0</v>
      </c>
      <c r="O141" s="15"/>
      <c r="P141" s="36">
        <v>3404.0</v>
      </c>
      <c r="Q141" s="14">
        <v>2560.0</v>
      </c>
      <c r="S141" s="15">
        <v>675.0</v>
      </c>
      <c r="U141" s="15">
        <v>207.0</v>
      </c>
      <c r="W141" s="36">
        <v>3442.0</v>
      </c>
      <c r="X141" s="15">
        <v>1402.0</v>
      </c>
      <c r="Z141" s="15">
        <v>1267.0</v>
      </c>
      <c r="AB141" s="15">
        <v>540.0</v>
      </c>
      <c r="AD141" s="36">
        <v>3209.0</v>
      </c>
      <c r="AE141" s="37">
        <v>4065.0</v>
      </c>
      <c r="AF141" s="37">
        <v>4093.0</v>
      </c>
      <c r="AG141" s="14">
        <v>1094.0</v>
      </c>
      <c r="AI141" s="15">
        <v>499.0</v>
      </c>
      <c r="AK141" s="15">
        <v>1593.0</v>
      </c>
      <c r="AL141" s="14">
        <v>887.0</v>
      </c>
      <c r="AN141" s="15">
        <v>531.0</v>
      </c>
      <c r="AP141" s="15">
        <v>491.0</v>
      </c>
      <c r="AR141" s="15">
        <v>330.0</v>
      </c>
      <c r="AT141" s="36">
        <v>2239.0</v>
      </c>
      <c r="AU141" s="14">
        <v>1515.0</v>
      </c>
      <c r="AW141" s="15">
        <v>728.0</v>
      </c>
      <c r="AY141" s="15">
        <v>862.0</v>
      </c>
      <c r="BA141" s="15">
        <v>525.0</v>
      </c>
      <c r="BC141" s="36">
        <v>3630.0</v>
      </c>
      <c r="BD141" s="15">
        <v>2797.0</v>
      </c>
      <c r="BF141" s="15">
        <v>690.0</v>
      </c>
      <c r="BH141" s="15">
        <v>3487.0</v>
      </c>
    </row>
    <row r="142" ht="15.75" customHeight="1">
      <c r="A142" s="6" t="s">
        <v>53</v>
      </c>
      <c r="B142" s="30" t="s">
        <v>175</v>
      </c>
      <c r="C142" s="14">
        <v>2079.0</v>
      </c>
      <c r="E142" s="15">
        <v>259.0</v>
      </c>
      <c r="G142" s="15">
        <v>30.0</v>
      </c>
      <c r="I142" s="36">
        <v>2368.0</v>
      </c>
      <c r="J142" s="14">
        <v>2388.0</v>
      </c>
      <c r="L142" s="15">
        <v>350.0</v>
      </c>
      <c r="N142" s="15">
        <v>605.0</v>
      </c>
      <c r="O142" s="15"/>
      <c r="P142" s="36">
        <v>3343.0</v>
      </c>
      <c r="Q142" s="14">
        <v>2234.0</v>
      </c>
      <c r="S142" s="15">
        <v>1042.0</v>
      </c>
      <c r="U142" s="15">
        <v>151.0</v>
      </c>
      <c r="W142" s="36">
        <v>3427.0</v>
      </c>
      <c r="X142" s="15">
        <v>1869.0</v>
      </c>
      <c r="Z142" s="15">
        <v>884.0</v>
      </c>
      <c r="AB142" s="15">
        <v>487.0</v>
      </c>
      <c r="AD142" s="36">
        <v>3240.0</v>
      </c>
      <c r="AE142" s="37">
        <v>3244.0</v>
      </c>
      <c r="AF142" s="37">
        <v>3453.0</v>
      </c>
      <c r="AG142" s="14">
        <v>962.0</v>
      </c>
      <c r="AI142" s="15">
        <v>519.0</v>
      </c>
      <c r="AK142" s="15">
        <v>1481.0</v>
      </c>
      <c r="AL142" s="14">
        <v>754.0</v>
      </c>
      <c r="AN142" s="15">
        <v>361.0</v>
      </c>
      <c r="AP142" s="15">
        <v>169.0</v>
      </c>
      <c r="AR142" s="15">
        <v>308.0</v>
      </c>
      <c r="AT142" s="36">
        <v>1592.0</v>
      </c>
      <c r="AU142" s="14">
        <v>1369.0</v>
      </c>
      <c r="AW142" s="15">
        <v>611.0</v>
      </c>
      <c r="AY142" s="15">
        <v>592.0</v>
      </c>
      <c r="BA142" s="15">
        <v>397.0</v>
      </c>
      <c r="BC142" s="36">
        <v>2969.0</v>
      </c>
      <c r="BD142" s="15">
        <v>1838.0</v>
      </c>
      <c r="BF142" s="15">
        <v>563.0</v>
      </c>
      <c r="BH142" s="15">
        <v>2401.0</v>
      </c>
    </row>
    <row r="143" ht="15.75" customHeight="1">
      <c r="A143" s="6" t="s">
        <v>60</v>
      </c>
      <c r="B143" s="30" t="s">
        <v>230</v>
      </c>
      <c r="C143" s="14">
        <v>453.0</v>
      </c>
      <c r="E143" s="15">
        <v>20.0</v>
      </c>
      <c r="G143" s="15">
        <v>6.0</v>
      </c>
      <c r="I143" s="36">
        <v>479.0</v>
      </c>
      <c r="J143" s="14">
        <v>845.0</v>
      </c>
      <c r="L143" s="15">
        <v>158.0</v>
      </c>
      <c r="N143" s="15">
        <v>52.0</v>
      </c>
      <c r="O143" s="15"/>
      <c r="P143" s="36">
        <v>1055.0</v>
      </c>
      <c r="Q143" s="14">
        <v>806.0</v>
      </c>
      <c r="S143" s="15">
        <v>215.0</v>
      </c>
      <c r="U143" s="15">
        <v>51.0</v>
      </c>
      <c r="W143" s="36">
        <v>1072.0</v>
      </c>
      <c r="X143" s="15">
        <v>449.0</v>
      </c>
      <c r="Z143" s="15">
        <v>402.0</v>
      </c>
      <c r="AB143" s="15">
        <v>153.0</v>
      </c>
      <c r="AD143" s="36">
        <v>1004.0</v>
      </c>
      <c r="AE143" s="37">
        <v>1062.0</v>
      </c>
      <c r="AF143" s="37">
        <v>1031.0</v>
      </c>
      <c r="AG143" s="14">
        <v>289.0</v>
      </c>
      <c r="AI143" s="15">
        <v>117.0</v>
      </c>
      <c r="AK143" s="15">
        <v>406.0</v>
      </c>
      <c r="AL143" s="14">
        <v>182.0</v>
      </c>
      <c r="AN143" s="15">
        <v>124.0</v>
      </c>
      <c r="AP143" s="15">
        <v>64.0</v>
      </c>
      <c r="AR143" s="15">
        <v>50.0</v>
      </c>
      <c r="AT143" s="36">
        <v>420.0</v>
      </c>
      <c r="AU143" s="14">
        <v>439.0</v>
      </c>
      <c r="AW143" s="15">
        <v>98.0</v>
      </c>
      <c r="AY143" s="15">
        <v>186.0</v>
      </c>
      <c r="BA143" s="15">
        <v>88.0</v>
      </c>
      <c r="BC143" s="36">
        <v>811.0</v>
      </c>
      <c r="BD143" s="15">
        <v>92.0</v>
      </c>
      <c r="BF143" s="15">
        <v>32.0</v>
      </c>
      <c r="BH143" s="15">
        <v>124.0</v>
      </c>
    </row>
    <row r="144" ht="15.75" customHeight="1">
      <c r="A144" s="6" t="s">
        <v>53</v>
      </c>
      <c r="B144" s="30" t="s">
        <v>127</v>
      </c>
      <c r="C144" s="14">
        <v>4017.0</v>
      </c>
      <c r="E144" s="15">
        <v>361.0</v>
      </c>
      <c r="G144" s="15">
        <v>80.0</v>
      </c>
      <c r="I144" s="36">
        <v>4458.0</v>
      </c>
      <c r="J144" s="14">
        <v>5504.0</v>
      </c>
      <c r="L144" s="15">
        <v>955.0</v>
      </c>
      <c r="N144" s="15">
        <v>1317.0</v>
      </c>
      <c r="O144" s="15"/>
      <c r="P144" s="36">
        <v>7776.0</v>
      </c>
      <c r="Q144" s="14">
        <v>5722.0</v>
      </c>
      <c r="S144" s="15">
        <v>1933.0</v>
      </c>
      <c r="U144" s="15">
        <v>247.0</v>
      </c>
      <c r="W144" s="36">
        <v>7902.0</v>
      </c>
      <c r="X144" s="15">
        <v>4257.0</v>
      </c>
      <c r="Z144" s="15">
        <v>1847.0</v>
      </c>
      <c r="AB144" s="15">
        <v>1330.0</v>
      </c>
      <c r="AD144" s="36">
        <v>7434.0</v>
      </c>
      <c r="AE144" s="37">
        <v>8652.0</v>
      </c>
      <c r="AF144" s="37">
        <v>9060.0</v>
      </c>
      <c r="AG144" s="14">
        <v>2478.0</v>
      </c>
      <c r="AI144" s="15">
        <v>1421.0</v>
      </c>
      <c r="AK144" s="15">
        <v>3899.0</v>
      </c>
      <c r="AL144" s="14">
        <v>2207.0</v>
      </c>
      <c r="AN144" s="15">
        <v>887.0</v>
      </c>
      <c r="AP144" s="15">
        <v>563.0</v>
      </c>
      <c r="AR144" s="15">
        <v>693.0</v>
      </c>
      <c r="AT144" s="36">
        <v>4350.0</v>
      </c>
      <c r="AU144" s="14">
        <v>4161.0</v>
      </c>
      <c r="AW144" s="15">
        <v>1787.0</v>
      </c>
      <c r="AY144" s="15">
        <v>2242.0</v>
      </c>
      <c r="BA144" s="15">
        <v>1390.0</v>
      </c>
      <c r="BC144" s="36">
        <v>9580.0</v>
      </c>
      <c r="BD144" s="15">
        <v>4957.0</v>
      </c>
      <c r="BF144" s="15">
        <v>1448.0</v>
      </c>
      <c r="BH144" s="15">
        <v>6405.0</v>
      </c>
    </row>
    <row r="145" ht="15.75" customHeight="1">
      <c r="A145" s="6" t="s">
        <v>52</v>
      </c>
      <c r="B145" s="30" t="s">
        <v>222</v>
      </c>
      <c r="C145" s="14">
        <v>666.0</v>
      </c>
      <c r="E145" s="15">
        <v>23.0</v>
      </c>
      <c r="G145" s="15">
        <v>16.0</v>
      </c>
      <c r="I145" s="36">
        <v>705.0</v>
      </c>
      <c r="J145" s="14">
        <v>858.0</v>
      </c>
      <c r="L145" s="15">
        <v>263.0</v>
      </c>
      <c r="N145" s="15">
        <v>52.0</v>
      </c>
      <c r="O145" s="15"/>
      <c r="P145" s="36">
        <v>1173.0</v>
      </c>
      <c r="Q145" s="14">
        <v>816.0</v>
      </c>
      <c r="S145" s="15">
        <v>320.0</v>
      </c>
      <c r="U145" s="15">
        <v>55.0</v>
      </c>
      <c r="W145" s="36">
        <v>1191.0</v>
      </c>
      <c r="X145" s="15">
        <v>609.0</v>
      </c>
      <c r="Z145" s="15">
        <v>303.0</v>
      </c>
      <c r="AB145" s="15">
        <v>198.0</v>
      </c>
      <c r="AD145" s="36">
        <v>1110.0</v>
      </c>
      <c r="AE145" s="37">
        <v>1107.0</v>
      </c>
      <c r="AF145" s="37">
        <v>1223.0</v>
      </c>
      <c r="AG145" s="14">
        <v>478.0</v>
      </c>
      <c r="AI145" s="15">
        <v>139.0</v>
      </c>
      <c r="AK145" s="15">
        <v>617.0</v>
      </c>
      <c r="AL145" s="14">
        <v>232.0</v>
      </c>
      <c r="AN145" s="15">
        <v>204.0</v>
      </c>
      <c r="AP145" s="15">
        <v>206.0</v>
      </c>
      <c r="AR145" s="15">
        <v>137.0</v>
      </c>
      <c r="AT145" s="36">
        <v>779.0</v>
      </c>
      <c r="AU145" s="14">
        <v>653.0</v>
      </c>
      <c r="AW145" s="15">
        <v>120.0</v>
      </c>
      <c r="AY145" s="15">
        <v>247.0</v>
      </c>
      <c r="BA145" s="15">
        <v>127.0</v>
      </c>
      <c r="BC145" s="36">
        <v>1147.0</v>
      </c>
      <c r="BD145" s="15">
        <v>429.0</v>
      </c>
      <c r="BF145" s="15">
        <v>91.0</v>
      </c>
      <c r="BH145" s="15">
        <v>520.0</v>
      </c>
    </row>
    <row r="146" ht="15.75" customHeight="1">
      <c r="A146" s="6" t="s">
        <v>60</v>
      </c>
      <c r="B146" s="30" t="s">
        <v>228</v>
      </c>
      <c r="C146" s="14">
        <v>595.0</v>
      </c>
      <c r="E146" s="15">
        <v>21.0</v>
      </c>
      <c r="G146" s="15">
        <v>6.0</v>
      </c>
      <c r="I146" s="36">
        <v>622.0</v>
      </c>
      <c r="J146" s="14">
        <v>935.0</v>
      </c>
      <c r="L146" s="15">
        <v>160.0</v>
      </c>
      <c r="N146" s="15">
        <v>80.0</v>
      </c>
      <c r="O146" s="15"/>
      <c r="P146" s="36">
        <v>1175.0</v>
      </c>
      <c r="Q146" s="14">
        <v>809.0</v>
      </c>
      <c r="S146" s="15">
        <v>324.0</v>
      </c>
      <c r="U146" s="15">
        <v>55.0</v>
      </c>
      <c r="W146" s="36">
        <v>1188.0</v>
      </c>
      <c r="X146" s="15">
        <v>694.0</v>
      </c>
      <c r="Z146" s="15">
        <v>284.0</v>
      </c>
      <c r="AB146" s="15">
        <v>146.0</v>
      </c>
      <c r="AD146" s="36">
        <v>1124.0</v>
      </c>
      <c r="AE146" s="37">
        <v>556.0</v>
      </c>
      <c r="AF146" s="37">
        <v>559.0</v>
      </c>
      <c r="AG146" s="14">
        <v>446.0</v>
      </c>
      <c r="AI146" s="15">
        <v>155.0</v>
      </c>
      <c r="AK146" s="15">
        <v>601.0</v>
      </c>
      <c r="AL146" s="14">
        <v>225.0</v>
      </c>
      <c r="AN146" s="15">
        <v>252.0</v>
      </c>
      <c r="AP146" s="15">
        <v>103.0</v>
      </c>
      <c r="AR146" s="15">
        <v>106.0</v>
      </c>
      <c r="AT146" s="36">
        <v>686.0</v>
      </c>
      <c r="AU146" s="14">
        <v>594.0</v>
      </c>
      <c r="AW146" s="15">
        <v>124.0</v>
      </c>
      <c r="AY146" s="15">
        <v>266.0</v>
      </c>
      <c r="BA146" s="15">
        <v>95.0</v>
      </c>
      <c r="BC146" s="36">
        <v>1079.0</v>
      </c>
      <c r="BD146" s="15">
        <v>248.0</v>
      </c>
      <c r="BF146" s="15">
        <v>53.0</v>
      </c>
      <c r="BH146" s="15">
        <v>301.0</v>
      </c>
    </row>
    <row r="147" ht="15.75" customHeight="1">
      <c r="A147" s="6" t="s">
        <v>53</v>
      </c>
      <c r="B147" s="30" t="s">
        <v>132</v>
      </c>
      <c r="C147" s="14">
        <v>4373.0</v>
      </c>
      <c r="E147" s="15">
        <v>487.0</v>
      </c>
      <c r="G147" s="15">
        <v>94.0</v>
      </c>
      <c r="I147" s="36">
        <v>4954.0</v>
      </c>
      <c r="J147" s="14">
        <v>5009.0</v>
      </c>
      <c r="L147" s="15">
        <v>1016.0</v>
      </c>
      <c r="N147" s="15">
        <v>1531.0</v>
      </c>
      <c r="O147" s="15"/>
      <c r="P147" s="36">
        <v>7556.0</v>
      </c>
      <c r="Q147" s="14">
        <v>5197.0</v>
      </c>
      <c r="S147" s="15">
        <v>2226.0</v>
      </c>
      <c r="U147" s="15">
        <v>402.0</v>
      </c>
      <c r="W147" s="36">
        <v>7825.0</v>
      </c>
      <c r="X147" s="15">
        <v>4086.0</v>
      </c>
      <c r="Z147" s="15">
        <v>1874.0</v>
      </c>
      <c r="AB147" s="15">
        <v>1285.0</v>
      </c>
      <c r="AD147" s="36">
        <v>7245.0</v>
      </c>
      <c r="AE147" s="37">
        <v>5242.0</v>
      </c>
      <c r="AF147" s="37">
        <v>6123.0</v>
      </c>
      <c r="AG147" s="14">
        <v>2257.0</v>
      </c>
      <c r="AI147" s="15">
        <v>973.0</v>
      </c>
      <c r="AK147" s="15">
        <v>3230.0</v>
      </c>
      <c r="AL147" s="14">
        <v>2078.0</v>
      </c>
      <c r="AN147" s="15">
        <v>1125.0</v>
      </c>
      <c r="AP147" s="15">
        <v>497.0</v>
      </c>
      <c r="AR147" s="15">
        <v>791.0</v>
      </c>
      <c r="AT147" s="36">
        <v>4491.0</v>
      </c>
      <c r="AU147" s="14">
        <v>2692.0</v>
      </c>
      <c r="AW147" s="15">
        <v>1037.0</v>
      </c>
      <c r="AY147" s="15">
        <v>1414.0</v>
      </c>
      <c r="BA147" s="15">
        <v>765.0</v>
      </c>
      <c r="BC147" s="36">
        <v>5908.0</v>
      </c>
      <c r="BD147" s="15">
        <v>3449.0</v>
      </c>
      <c r="BF147" s="15">
        <v>1156.0</v>
      </c>
      <c r="BH147" s="15">
        <v>4605.0</v>
      </c>
    </row>
    <row r="148" ht="15.75" customHeight="1">
      <c r="A148" s="6" t="s">
        <v>53</v>
      </c>
      <c r="B148" s="30" t="s">
        <v>162</v>
      </c>
      <c r="C148" s="14">
        <v>2248.0</v>
      </c>
      <c r="E148" s="15">
        <v>145.0</v>
      </c>
      <c r="G148" s="15">
        <v>30.0</v>
      </c>
      <c r="I148" s="36">
        <v>2423.0</v>
      </c>
      <c r="J148" s="14">
        <v>2816.0</v>
      </c>
      <c r="L148" s="15">
        <v>660.0</v>
      </c>
      <c r="N148" s="15">
        <v>605.0</v>
      </c>
      <c r="O148" s="15"/>
      <c r="P148" s="36">
        <v>4081.0</v>
      </c>
      <c r="Q148" s="14">
        <v>3052.0</v>
      </c>
      <c r="S148" s="15">
        <v>954.0</v>
      </c>
      <c r="U148" s="15">
        <v>155.0</v>
      </c>
      <c r="W148" s="36">
        <v>4161.0</v>
      </c>
      <c r="X148" s="15">
        <v>2348.0</v>
      </c>
      <c r="Z148" s="15">
        <v>961.0</v>
      </c>
      <c r="AB148" s="15">
        <v>630.0</v>
      </c>
      <c r="AD148" s="36">
        <v>3939.0</v>
      </c>
      <c r="AE148" s="37">
        <v>4256.0</v>
      </c>
      <c r="AF148" s="37">
        <v>4582.0</v>
      </c>
      <c r="AG148" s="14">
        <v>1532.0</v>
      </c>
      <c r="AI148" s="15">
        <v>643.0</v>
      </c>
      <c r="AK148" s="15">
        <v>2175.0</v>
      </c>
      <c r="AL148" s="14">
        <v>1358.0</v>
      </c>
      <c r="AN148" s="15">
        <v>812.0</v>
      </c>
      <c r="AP148" s="15">
        <v>410.0</v>
      </c>
      <c r="AR148" s="15">
        <v>562.0</v>
      </c>
      <c r="AT148" s="36">
        <v>3142.0</v>
      </c>
      <c r="AU148" s="14">
        <v>1915.0</v>
      </c>
      <c r="AW148" s="15">
        <v>625.0</v>
      </c>
      <c r="AY148" s="15">
        <v>800.0</v>
      </c>
      <c r="BA148" s="15">
        <v>587.0</v>
      </c>
      <c r="BC148" s="36">
        <v>3927.0</v>
      </c>
      <c r="BD148" s="15">
        <v>2865.0</v>
      </c>
      <c r="BF148" s="15">
        <v>592.0</v>
      </c>
      <c r="BH148" s="15">
        <v>3457.0</v>
      </c>
    </row>
    <row r="149" ht="15.75" customHeight="1">
      <c r="A149" s="6" t="s">
        <v>55</v>
      </c>
      <c r="B149" s="30" t="s">
        <v>121</v>
      </c>
      <c r="C149" s="14">
        <v>5036.0</v>
      </c>
      <c r="E149" s="15">
        <v>462.0</v>
      </c>
      <c r="G149" s="15">
        <v>129.0</v>
      </c>
      <c r="I149" s="36">
        <v>5627.0</v>
      </c>
      <c r="J149" s="14">
        <v>7105.0</v>
      </c>
      <c r="L149" s="15">
        <v>1616.0</v>
      </c>
      <c r="N149" s="15">
        <v>982.0</v>
      </c>
      <c r="O149" s="15"/>
      <c r="P149" s="36">
        <v>9703.0</v>
      </c>
      <c r="Q149" s="14">
        <v>5758.0</v>
      </c>
      <c r="S149" s="15">
        <v>3440.0</v>
      </c>
      <c r="U149" s="15">
        <v>684.0</v>
      </c>
      <c r="W149" s="36">
        <v>9882.0</v>
      </c>
      <c r="X149" s="15">
        <v>3114.0</v>
      </c>
      <c r="Z149" s="15">
        <v>3008.0</v>
      </c>
      <c r="AB149" s="15">
        <v>2758.0</v>
      </c>
      <c r="AD149" s="36">
        <v>8880.0</v>
      </c>
      <c r="AE149" s="37">
        <v>10439.0</v>
      </c>
      <c r="AF149" s="37">
        <v>10178.0</v>
      </c>
      <c r="AG149" s="14">
        <v>1863.0</v>
      </c>
      <c r="AI149" s="15">
        <v>968.0</v>
      </c>
      <c r="AK149" s="15">
        <v>2831.0</v>
      </c>
      <c r="AL149" s="14">
        <v>1574.0</v>
      </c>
      <c r="AN149" s="15">
        <v>476.0</v>
      </c>
      <c r="AP149" s="15">
        <v>899.0</v>
      </c>
      <c r="AR149" s="15">
        <v>813.0</v>
      </c>
      <c r="AT149" s="36">
        <v>3762.0</v>
      </c>
      <c r="AU149" s="14">
        <v>4212.0</v>
      </c>
      <c r="AW149" s="15">
        <v>2157.0</v>
      </c>
      <c r="AY149" s="15">
        <v>2105.0</v>
      </c>
      <c r="BA149" s="15">
        <v>1515.0</v>
      </c>
      <c r="BC149" s="36">
        <v>9989.0</v>
      </c>
      <c r="BD149" s="15">
        <v>3863.0</v>
      </c>
      <c r="BF149" s="15">
        <v>1863.0</v>
      </c>
      <c r="BH149" s="15">
        <v>5726.0</v>
      </c>
    </row>
    <row r="150" ht="15.75" customHeight="1">
      <c r="A150" s="6" t="s">
        <v>53</v>
      </c>
      <c r="B150" s="30" t="s">
        <v>22</v>
      </c>
      <c r="C150" s="14">
        <v>9059.0</v>
      </c>
      <c r="E150" s="15">
        <v>793.0</v>
      </c>
      <c r="G150" s="15">
        <v>210.0</v>
      </c>
      <c r="I150" s="36">
        <v>10062.0</v>
      </c>
      <c r="J150" s="14">
        <v>12418.0</v>
      </c>
      <c r="L150" s="15">
        <v>2269.0</v>
      </c>
      <c r="N150" s="15">
        <v>3665.0</v>
      </c>
      <c r="O150" s="15"/>
      <c r="P150" s="36">
        <v>18352.0</v>
      </c>
      <c r="Q150" s="14">
        <v>14497.0</v>
      </c>
      <c r="S150" s="15">
        <v>3546.0</v>
      </c>
      <c r="U150" s="15">
        <v>574.0</v>
      </c>
      <c r="W150" s="36">
        <v>18617.0</v>
      </c>
      <c r="X150" s="15">
        <v>10235.0</v>
      </c>
      <c r="Z150" s="15">
        <v>4894.0</v>
      </c>
      <c r="AB150" s="15">
        <v>2627.0</v>
      </c>
      <c r="AD150" s="36">
        <v>17756.0</v>
      </c>
      <c r="AE150" s="37">
        <v>15253.0</v>
      </c>
      <c r="AF150" s="37">
        <v>15828.0</v>
      </c>
      <c r="AG150" s="14">
        <v>8298.0</v>
      </c>
      <c r="AI150" s="15">
        <v>1500.0</v>
      </c>
      <c r="AK150" s="15">
        <v>9798.0</v>
      </c>
      <c r="AL150" s="14">
        <v>2386.0</v>
      </c>
      <c r="AN150" s="15">
        <v>3365.0</v>
      </c>
      <c r="AP150" s="15">
        <v>1125.0</v>
      </c>
      <c r="AR150" s="15">
        <v>1390.0</v>
      </c>
      <c r="AT150" s="36">
        <v>8266.0</v>
      </c>
      <c r="AU150" s="14">
        <v>7919.0</v>
      </c>
      <c r="AW150" s="15">
        <v>3441.0</v>
      </c>
      <c r="AY150" s="15">
        <v>5889.0</v>
      </c>
      <c r="BA150" s="15">
        <v>1803.0</v>
      </c>
      <c r="BC150" s="36">
        <v>19052.0</v>
      </c>
      <c r="BD150" s="15">
        <v>7709.0</v>
      </c>
      <c r="BF150" s="15">
        <v>1964.0</v>
      </c>
      <c r="BH150" s="15">
        <v>9673.0</v>
      </c>
    </row>
    <row r="151" ht="15.75" customHeight="1">
      <c r="A151" s="6" t="s">
        <v>59</v>
      </c>
      <c r="B151" s="30" t="s">
        <v>153</v>
      </c>
      <c r="C151" s="14">
        <v>2249.0</v>
      </c>
      <c r="E151" s="15">
        <v>113.0</v>
      </c>
      <c r="G151" s="15">
        <v>37.0</v>
      </c>
      <c r="I151" s="36">
        <v>2399.0</v>
      </c>
      <c r="J151" s="14">
        <v>3730.0</v>
      </c>
      <c r="L151" s="15">
        <v>390.0</v>
      </c>
      <c r="N151" s="15">
        <v>294.0</v>
      </c>
      <c r="O151" s="15"/>
      <c r="P151" s="36">
        <v>4414.0</v>
      </c>
      <c r="Q151" s="14">
        <v>2500.0</v>
      </c>
      <c r="S151" s="15">
        <v>1512.0</v>
      </c>
      <c r="U151" s="15">
        <v>447.0</v>
      </c>
      <c r="W151" s="36">
        <v>4459.0</v>
      </c>
      <c r="X151" s="15">
        <v>1941.0</v>
      </c>
      <c r="Z151" s="15">
        <v>1418.0</v>
      </c>
      <c r="AB151" s="15">
        <v>792.0</v>
      </c>
      <c r="AD151" s="36">
        <v>4151.0</v>
      </c>
      <c r="AE151" s="37">
        <v>4780.0</v>
      </c>
      <c r="AF151" s="37">
        <v>4939.0</v>
      </c>
      <c r="AG151" s="14">
        <v>1255.0</v>
      </c>
      <c r="AI151" s="15">
        <v>727.0</v>
      </c>
      <c r="AK151" s="15">
        <v>1982.0</v>
      </c>
      <c r="AL151" s="14">
        <v>956.0</v>
      </c>
      <c r="AN151" s="15">
        <v>420.0</v>
      </c>
      <c r="AP151" s="15">
        <v>553.0</v>
      </c>
      <c r="AR151" s="15">
        <v>551.0</v>
      </c>
      <c r="AT151" s="36">
        <v>2480.0</v>
      </c>
      <c r="AU151" s="14">
        <v>1999.0</v>
      </c>
      <c r="AW151" s="15">
        <v>669.0</v>
      </c>
      <c r="AY151" s="15">
        <v>1406.0</v>
      </c>
      <c r="BA151" s="15">
        <v>529.0</v>
      </c>
      <c r="BC151" s="36">
        <v>4603.0</v>
      </c>
      <c r="BD151" s="15">
        <v>3251.0</v>
      </c>
      <c r="BF151" s="15">
        <v>1274.0</v>
      </c>
      <c r="BH151" s="15">
        <v>4525.0</v>
      </c>
    </row>
    <row r="152" ht="15.75" customHeight="1">
      <c r="A152" s="6" t="s">
        <v>54</v>
      </c>
      <c r="B152" s="30" t="s">
        <v>240</v>
      </c>
      <c r="C152" s="14">
        <v>298.0</v>
      </c>
      <c r="E152" s="15">
        <v>31.0</v>
      </c>
      <c r="G152" s="15">
        <v>6.0</v>
      </c>
      <c r="I152" s="36">
        <v>335.0</v>
      </c>
      <c r="J152" s="14">
        <v>547.0</v>
      </c>
      <c r="L152" s="15">
        <v>71.0</v>
      </c>
      <c r="N152" s="15">
        <v>44.0</v>
      </c>
      <c r="O152" s="15"/>
      <c r="P152" s="36">
        <v>662.0</v>
      </c>
      <c r="Q152" s="14">
        <v>473.0</v>
      </c>
      <c r="S152" s="15">
        <v>167.0</v>
      </c>
      <c r="U152" s="15">
        <v>30.0</v>
      </c>
      <c r="W152" s="36">
        <v>670.0</v>
      </c>
      <c r="X152" s="15">
        <v>361.0</v>
      </c>
      <c r="Z152" s="15">
        <v>145.0</v>
      </c>
      <c r="AB152" s="15">
        <v>119.0</v>
      </c>
      <c r="AD152" s="36">
        <v>625.0</v>
      </c>
      <c r="AE152" s="37">
        <v>326.0</v>
      </c>
      <c r="AF152" s="37">
        <v>354.0</v>
      </c>
      <c r="AG152" s="14">
        <v>236.0</v>
      </c>
      <c r="AI152" s="15">
        <v>105.0</v>
      </c>
      <c r="AK152" s="15">
        <v>341.0</v>
      </c>
      <c r="AL152" s="14">
        <v>120.0</v>
      </c>
      <c r="AN152" s="15">
        <v>110.0</v>
      </c>
      <c r="AP152" s="15">
        <v>61.0</v>
      </c>
      <c r="AR152" s="15">
        <v>24.0</v>
      </c>
      <c r="AT152" s="36">
        <v>315.0</v>
      </c>
      <c r="AU152" s="14">
        <v>297.0</v>
      </c>
      <c r="AW152" s="15">
        <v>96.0</v>
      </c>
      <c r="AY152" s="15">
        <v>182.0</v>
      </c>
      <c r="BA152" s="15">
        <v>56.0</v>
      </c>
      <c r="BC152" s="36">
        <v>631.0</v>
      </c>
      <c r="BD152" s="15">
        <v>85.0</v>
      </c>
      <c r="BF152" s="15">
        <v>15.0</v>
      </c>
      <c r="BH152" s="15">
        <v>100.0</v>
      </c>
    </row>
    <row r="153" ht="15.75" customHeight="1">
      <c r="A153" s="6" t="s">
        <v>60</v>
      </c>
      <c r="B153" s="30" t="s">
        <v>211</v>
      </c>
      <c r="C153" s="14">
        <v>921.0</v>
      </c>
      <c r="E153" s="15">
        <v>66.0</v>
      </c>
      <c r="G153" s="15">
        <v>14.0</v>
      </c>
      <c r="I153" s="36">
        <v>1001.0</v>
      </c>
      <c r="J153" s="14">
        <v>1646.0</v>
      </c>
      <c r="L153" s="15">
        <v>196.0</v>
      </c>
      <c r="N153" s="15">
        <v>57.0</v>
      </c>
      <c r="O153" s="15"/>
      <c r="P153" s="36">
        <v>1899.0</v>
      </c>
      <c r="Q153" s="14">
        <v>1414.0</v>
      </c>
      <c r="S153" s="15">
        <v>424.0</v>
      </c>
      <c r="U153" s="15">
        <v>78.0</v>
      </c>
      <c r="W153" s="36">
        <v>1916.0</v>
      </c>
      <c r="X153" s="15">
        <v>1146.0</v>
      </c>
      <c r="Z153" s="15">
        <v>356.0</v>
      </c>
      <c r="AB153" s="15">
        <v>246.0</v>
      </c>
      <c r="AD153" s="36">
        <v>1748.0</v>
      </c>
      <c r="AE153" s="37">
        <v>588.0</v>
      </c>
      <c r="AF153" s="37">
        <v>591.0</v>
      </c>
      <c r="AG153" s="14">
        <v>463.0</v>
      </c>
      <c r="AI153" s="15">
        <v>351.0</v>
      </c>
      <c r="AK153" s="15">
        <v>814.0</v>
      </c>
      <c r="AL153" s="14">
        <v>400.0</v>
      </c>
      <c r="AN153" s="15">
        <v>188.0</v>
      </c>
      <c r="AP153" s="15">
        <v>155.0</v>
      </c>
      <c r="AR153" s="15">
        <v>90.0</v>
      </c>
      <c r="AT153" s="36">
        <v>833.0</v>
      </c>
      <c r="AU153" s="14">
        <v>1015.0</v>
      </c>
      <c r="AW153" s="15">
        <v>502.0</v>
      </c>
      <c r="AY153" s="15">
        <v>486.0</v>
      </c>
      <c r="BA153" s="15">
        <v>299.0</v>
      </c>
      <c r="BC153" s="36">
        <v>2302.0</v>
      </c>
      <c r="BD153" s="15">
        <v>383.0</v>
      </c>
      <c r="BF153" s="15">
        <v>97.0</v>
      </c>
      <c r="BH153" s="15">
        <v>480.0</v>
      </c>
    </row>
    <row r="154" ht="15.75" customHeight="1">
      <c r="A154" s="6" t="s">
        <v>287</v>
      </c>
      <c r="B154" s="30" t="s">
        <v>151</v>
      </c>
      <c r="C154" s="14">
        <v>2698.0</v>
      </c>
      <c r="E154" s="15">
        <v>232.0</v>
      </c>
      <c r="G154" s="15">
        <v>50.0</v>
      </c>
      <c r="I154" s="36">
        <v>2980.0</v>
      </c>
      <c r="J154" s="14">
        <v>3888.0</v>
      </c>
      <c r="L154" s="15">
        <v>720.0</v>
      </c>
      <c r="N154" s="15">
        <v>490.0</v>
      </c>
      <c r="O154" s="15"/>
      <c r="P154" s="36">
        <v>5098.0</v>
      </c>
      <c r="Q154" s="14">
        <v>3522.0</v>
      </c>
      <c r="S154" s="15">
        <v>1128.0</v>
      </c>
      <c r="U154" s="15">
        <v>526.0</v>
      </c>
      <c r="W154" s="36">
        <v>5176.0</v>
      </c>
      <c r="X154" s="15">
        <v>2108.0</v>
      </c>
      <c r="Z154" s="15">
        <v>1639.0</v>
      </c>
      <c r="AB154" s="15">
        <v>1028.0</v>
      </c>
      <c r="AD154" s="36">
        <v>4775.0</v>
      </c>
      <c r="AE154" s="37">
        <v>4964.0</v>
      </c>
      <c r="AF154" s="37">
        <v>5013.0</v>
      </c>
      <c r="AG154" s="14">
        <v>1832.0</v>
      </c>
      <c r="AI154" s="15">
        <v>572.0</v>
      </c>
      <c r="AK154" s="15">
        <v>2404.0</v>
      </c>
      <c r="AL154" s="14">
        <v>916.0</v>
      </c>
      <c r="AN154" s="15">
        <v>1090.0</v>
      </c>
      <c r="AP154" s="15">
        <v>504.0</v>
      </c>
      <c r="AR154" s="15">
        <v>409.0</v>
      </c>
      <c r="AT154" s="36">
        <v>2919.0</v>
      </c>
      <c r="AU154" s="14">
        <v>2033.0</v>
      </c>
      <c r="AW154" s="15">
        <v>666.0</v>
      </c>
      <c r="AY154" s="15">
        <v>1159.0</v>
      </c>
      <c r="BA154" s="15">
        <v>590.0</v>
      </c>
      <c r="BC154" s="36">
        <v>4448.0</v>
      </c>
      <c r="BD154" s="15">
        <v>3372.0</v>
      </c>
      <c r="BF154" s="15">
        <v>947.0</v>
      </c>
      <c r="BH154" s="15">
        <v>4319.0</v>
      </c>
    </row>
    <row r="155" ht="15.75" customHeight="1">
      <c r="A155" s="6" t="s">
        <v>56</v>
      </c>
      <c r="B155" s="30" t="s">
        <v>247</v>
      </c>
      <c r="C155" s="14">
        <v>210.0</v>
      </c>
      <c r="E155" s="15">
        <v>7.0</v>
      </c>
      <c r="G155" s="15">
        <v>2.0</v>
      </c>
      <c r="I155" s="36">
        <v>219.0</v>
      </c>
      <c r="J155" s="14">
        <v>298.0</v>
      </c>
      <c r="L155" s="15">
        <v>101.0</v>
      </c>
      <c r="N155" s="15">
        <v>19.0</v>
      </c>
      <c r="O155" s="15"/>
      <c r="P155" s="36">
        <v>418.0</v>
      </c>
      <c r="Q155" s="14">
        <v>247.0</v>
      </c>
      <c r="S155" s="15">
        <v>128.0</v>
      </c>
      <c r="U155" s="15">
        <v>45.0</v>
      </c>
      <c r="W155" s="36">
        <v>420.0</v>
      </c>
      <c r="X155" s="15">
        <v>180.0</v>
      </c>
      <c r="Z155" s="15">
        <v>60.0</v>
      </c>
      <c r="AB155" s="15">
        <v>116.0</v>
      </c>
      <c r="AD155" s="36">
        <v>356.0</v>
      </c>
      <c r="AE155" s="37">
        <v>70.0</v>
      </c>
      <c r="AF155" s="37">
        <v>73.0</v>
      </c>
      <c r="AG155" s="14">
        <v>133.0</v>
      </c>
      <c r="AI155" s="15">
        <v>44.0</v>
      </c>
      <c r="AK155" s="15">
        <v>177.0</v>
      </c>
      <c r="AL155" s="14">
        <v>40.0</v>
      </c>
      <c r="AN155" s="15">
        <v>77.0</v>
      </c>
      <c r="AP155" s="15">
        <v>20.0</v>
      </c>
      <c r="AR155" s="15">
        <v>21.0</v>
      </c>
      <c r="AT155" s="36">
        <v>158.0</v>
      </c>
      <c r="AU155" s="14">
        <v>191.0</v>
      </c>
      <c r="AW155" s="15">
        <v>46.0</v>
      </c>
      <c r="AY155" s="15">
        <v>85.0</v>
      </c>
      <c r="BA155" s="15">
        <v>47.0</v>
      </c>
      <c r="BC155" s="36">
        <v>369.0</v>
      </c>
      <c r="BD155" s="15">
        <v>4.0</v>
      </c>
      <c r="BF155" s="15">
        <v>1.0</v>
      </c>
      <c r="BH155" s="15">
        <v>5.0</v>
      </c>
    </row>
    <row r="156" ht="15.75" customHeight="1">
      <c r="A156" s="6" t="s">
        <v>60</v>
      </c>
      <c r="B156" s="30" t="s">
        <v>236</v>
      </c>
      <c r="C156" s="14">
        <v>374.0</v>
      </c>
      <c r="E156" s="15">
        <v>14.0</v>
      </c>
      <c r="G156" s="15">
        <v>3.0</v>
      </c>
      <c r="I156" s="36">
        <v>391.0</v>
      </c>
      <c r="J156" s="14">
        <v>608.0</v>
      </c>
      <c r="L156" s="15">
        <v>95.0</v>
      </c>
      <c r="N156" s="15">
        <v>47.0</v>
      </c>
      <c r="O156" s="15"/>
      <c r="P156" s="36">
        <v>750.0</v>
      </c>
      <c r="Q156" s="14">
        <v>472.0</v>
      </c>
      <c r="S156" s="15">
        <v>186.0</v>
      </c>
      <c r="U156" s="15">
        <v>101.0</v>
      </c>
      <c r="W156" s="36">
        <v>759.0</v>
      </c>
      <c r="X156" s="15">
        <v>415.0</v>
      </c>
      <c r="Z156" s="15">
        <v>194.0</v>
      </c>
      <c r="AB156" s="15">
        <v>105.0</v>
      </c>
      <c r="AD156" s="36">
        <v>714.0</v>
      </c>
      <c r="AE156" s="37">
        <v>626.0</v>
      </c>
      <c r="AF156" s="37">
        <v>629.0</v>
      </c>
      <c r="AG156" s="14">
        <v>252.0</v>
      </c>
      <c r="AI156" s="15">
        <v>112.0</v>
      </c>
      <c r="AK156" s="15">
        <v>364.0</v>
      </c>
      <c r="AL156" s="14">
        <v>109.0</v>
      </c>
      <c r="AN156" s="15">
        <v>122.0</v>
      </c>
      <c r="AP156" s="15">
        <v>58.0</v>
      </c>
      <c r="AR156" s="15">
        <v>40.0</v>
      </c>
      <c r="AT156" s="36">
        <v>329.0</v>
      </c>
      <c r="AU156" s="14">
        <v>283.0</v>
      </c>
      <c r="AW156" s="15">
        <v>80.0</v>
      </c>
      <c r="AY156" s="15">
        <v>116.0</v>
      </c>
      <c r="BA156" s="15">
        <v>86.0</v>
      </c>
      <c r="BC156" s="36">
        <v>565.0</v>
      </c>
      <c r="BD156" s="15">
        <v>138.0</v>
      </c>
      <c r="BF156" s="15">
        <v>39.0</v>
      </c>
      <c r="BH156" s="15">
        <v>177.0</v>
      </c>
    </row>
    <row r="157" ht="15.75" customHeight="1">
      <c r="A157" s="6" t="s">
        <v>53</v>
      </c>
      <c r="B157" s="30" t="s">
        <v>134</v>
      </c>
      <c r="C157" s="14">
        <v>3438.0</v>
      </c>
      <c r="E157" s="15">
        <v>326.0</v>
      </c>
      <c r="G157" s="15">
        <v>59.0</v>
      </c>
      <c r="I157" s="36">
        <v>3823.0</v>
      </c>
      <c r="J157" s="14">
        <v>4034.0</v>
      </c>
      <c r="L157" s="15">
        <v>1330.0</v>
      </c>
      <c r="N157" s="15">
        <v>1140.0</v>
      </c>
      <c r="O157" s="15"/>
      <c r="P157" s="36">
        <v>6504.0</v>
      </c>
      <c r="Q157" s="14">
        <v>4901.0</v>
      </c>
      <c r="S157" s="15">
        <v>1432.0</v>
      </c>
      <c r="U157" s="15">
        <v>270.0</v>
      </c>
      <c r="W157" s="36">
        <v>6603.0</v>
      </c>
      <c r="X157" s="15">
        <v>2558.0</v>
      </c>
      <c r="Z157" s="15">
        <v>2960.0</v>
      </c>
      <c r="AB157" s="15">
        <v>797.0</v>
      </c>
      <c r="AD157" s="36">
        <v>6315.0</v>
      </c>
      <c r="AE157" s="37">
        <v>6475.0</v>
      </c>
      <c r="AF157" s="37">
        <v>6977.0</v>
      </c>
      <c r="AG157" s="14">
        <v>2526.0</v>
      </c>
      <c r="AI157" s="15">
        <v>1323.0</v>
      </c>
      <c r="AK157" s="15">
        <v>3849.0</v>
      </c>
      <c r="AL157" s="14">
        <v>1630.0</v>
      </c>
      <c r="AN157" s="15">
        <v>1035.0</v>
      </c>
      <c r="AP157" s="15">
        <v>402.0</v>
      </c>
      <c r="AR157" s="15">
        <v>563.0</v>
      </c>
      <c r="AT157" s="36">
        <v>3630.0</v>
      </c>
      <c r="AU157" s="14">
        <v>2721.0</v>
      </c>
      <c r="AW157" s="15">
        <v>1049.0</v>
      </c>
      <c r="AY157" s="15">
        <v>1514.0</v>
      </c>
      <c r="BA157" s="15">
        <v>723.0</v>
      </c>
      <c r="BC157" s="36">
        <v>6007.0</v>
      </c>
      <c r="BD157" s="15">
        <v>3084.0</v>
      </c>
      <c r="BF157" s="15">
        <v>985.0</v>
      </c>
      <c r="BH157" s="15">
        <v>4069.0</v>
      </c>
    </row>
    <row r="158" ht="15.75" customHeight="1">
      <c r="A158" s="6" t="s">
        <v>55</v>
      </c>
      <c r="B158" s="30" t="s">
        <v>115</v>
      </c>
      <c r="C158" s="14">
        <v>5391.0</v>
      </c>
      <c r="E158" s="15">
        <v>489.0</v>
      </c>
      <c r="G158" s="15">
        <v>134.0</v>
      </c>
      <c r="I158" s="36">
        <v>6014.0</v>
      </c>
      <c r="J158" s="14">
        <v>9341.0</v>
      </c>
      <c r="L158" s="15">
        <v>1271.0</v>
      </c>
      <c r="N158" s="15">
        <v>1144.0</v>
      </c>
      <c r="O158" s="15"/>
      <c r="P158" s="36">
        <v>11756.0</v>
      </c>
      <c r="Q158" s="14">
        <v>7447.0</v>
      </c>
      <c r="S158" s="15">
        <v>3986.0</v>
      </c>
      <c r="U158" s="15">
        <v>615.0</v>
      </c>
      <c r="W158" s="36">
        <v>12048.0</v>
      </c>
      <c r="X158" s="15">
        <v>5328.0</v>
      </c>
      <c r="Z158" s="15">
        <v>2868.0</v>
      </c>
      <c r="AB158" s="15">
        <v>2538.0</v>
      </c>
      <c r="AD158" s="36">
        <v>10734.0</v>
      </c>
      <c r="AE158" s="37">
        <v>11335.0</v>
      </c>
      <c r="AF158" s="37">
        <v>11212.0</v>
      </c>
      <c r="AG158" s="14">
        <v>3016.0</v>
      </c>
      <c r="AI158" s="15">
        <v>1013.0</v>
      </c>
      <c r="AK158" s="15">
        <v>4029.0</v>
      </c>
      <c r="AL158" s="14">
        <v>1396.0</v>
      </c>
      <c r="AN158" s="15">
        <v>846.0</v>
      </c>
      <c r="AP158" s="15">
        <v>1342.0</v>
      </c>
      <c r="AR158" s="15">
        <v>934.0</v>
      </c>
      <c r="AT158" s="36">
        <v>4518.0</v>
      </c>
      <c r="AU158" s="14">
        <v>5958.0</v>
      </c>
      <c r="AW158" s="15">
        <v>2674.0</v>
      </c>
      <c r="AY158" s="15">
        <v>2299.0</v>
      </c>
      <c r="BA158" s="15">
        <v>1847.0</v>
      </c>
      <c r="BC158" s="36">
        <v>12778.0</v>
      </c>
      <c r="BD158" s="15">
        <v>5966.0</v>
      </c>
      <c r="BF158" s="15">
        <v>2594.0</v>
      </c>
      <c r="BH158" s="15">
        <v>8560.0</v>
      </c>
    </row>
    <row r="159" ht="15.75" customHeight="1">
      <c r="A159" s="6" t="s">
        <v>60</v>
      </c>
      <c r="B159" s="30" t="s">
        <v>217</v>
      </c>
      <c r="C159" s="14">
        <v>612.0</v>
      </c>
      <c r="E159" s="15">
        <v>23.0</v>
      </c>
      <c r="G159" s="15">
        <v>11.0</v>
      </c>
      <c r="I159" s="36">
        <v>646.0</v>
      </c>
      <c r="J159" s="14">
        <v>917.0</v>
      </c>
      <c r="L159" s="15">
        <v>276.0</v>
      </c>
      <c r="N159" s="15">
        <v>36.0</v>
      </c>
      <c r="O159" s="15"/>
      <c r="P159" s="36">
        <v>1229.0</v>
      </c>
      <c r="Q159" s="14">
        <v>780.0</v>
      </c>
      <c r="S159" s="15">
        <v>366.0</v>
      </c>
      <c r="U159" s="15">
        <v>90.0</v>
      </c>
      <c r="W159" s="36">
        <v>1236.0</v>
      </c>
      <c r="X159" s="15">
        <v>686.0</v>
      </c>
      <c r="Z159" s="15">
        <v>301.0</v>
      </c>
      <c r="AB159" s="15">
        <v>186.0</v>
      </c>
      <c r="AD159" s="36">
        <v>1173.0</v>
      </c>
      <c r="AE159" s="37">
        <v>1189.0</v>
      </c>
      <c r="AF159" s="37">
        <v>1327.0</v>
      </c>
      <c r="AG159" s="14">
        <v>418.0</v>
      </c>
      <c r="AI159" s="15">
        <v>211.0</v>
      </c>
      <c r="AK159" s="15">
        <v>629.0</v>
      </c>
      <c r="AL159" s="14">
        <v>300.0</v>
      </c>
      <c r="AN159" s="15">
        <v>286.0</v>
      </c>
      <c r="AP159" s="15">
        <v>130.0</v>
      </c>
      <c r="AR159" s="15">
        <v>96.0</v>
      </c>
      <c r="AT159" s="36">
        <v>812.0</v>
      </c>
      <c r="AU159" s="14">
        <v>603.0</v>
      </c>
      <c r="AW159" s="15">
        <v>104.0</v>
      </c>
      <c r="AY159" s="15">
        <v>292.0</v>
      </c>
      <c r="BA159" s="15">
        <v>93.0</v>
      </c>
      <c r="BC159" s="36">
        <v>1092.0</v>
      </c>
      <c r="BD159" s="15">
        <v>1114.0</v>
      </c>
      <c r="BF159" s="15">
        <v>271.0</v>
      </c>
      <c r="BH159" s="15">
        <v>1385.0</v>
      </c>
    </row>
    <row r="160" ht="15.75" customHeight="1">
      <c r="A160" s="6" t="s">
        <v>54</v>
      </c>
      <c r="B160" s="30" t="s">
        <v>220</v>
      </c>
      <c r="C160" s="14">
        <v>650.0</v>
      </c>
      <c r="E160" s="15">
        <v>68.0</v>
      </c>
      <c r="G160" s="15">
        <v>4.0</v>
      </c>
      <c r="I160" s="36">
        <v>722.0</v>
      </c>
      <c r="J160" s="14">
        <v>1162.0</v>
      </c>
      <c r="L160" s="15">
        <v>270.0</v>
      </c>
      <c r="N160" s="15">
        <v>81.0</v>
      </c>
      <c r="O160" s="15"/>
      <c r="P160" s="36">
        <v>1513.0</v>
      </c>
      <c r="Q160" s="14">
        <v>1051.0</v>
      </c>
      <c r="S160" s="15">
        <v>418.0</v>
      </c>
      <c r="U160" s="15">
        <v>60.0</v>
      </c>
      <c r="W160" s="36">
        <v>1529.0</v>
      </c>
      <c r="X160" s="15">
        <v>818.0</v>
      </c>
      <c r="Z160" s="15">
        <v>360.0</v>
      </c>
      <c r="AB160" s="15">
        <v>220.0</v>
      </c>
      <c r="AD160" s="36">
        <v>1398.0</v>
      </c>
      <c r="AE160" s="37">
        <v>915.0</v>
      </c>
      <c r="AF160" s="37">
        <v>967.0</v>
      </c>
      <c r="AG160" s="14">
        <v>566.0</v>
      </c>
      <c r="AI160" s="15">
        <v>168.0</v>
      </c>
      <c r="AK160" s="15">
        <v>734.0</v>
      </c>
      <c r="AL160" s="14">
        <v>190.0</v>
      </c>
      <c r="AN160" s="15">
        <v>270.0</v>
      </c>
      <c r="AP160" s="15">
        <v>99.0</v>
      </c>
      <c r="AR160" s="15">
        <v>94.0</v>
      </c>
      <c r="AT160" s="36">
        <v>653.0</v>
      </c>
      <c r="AU160" s="14">
        <v>734.0</v>
      </c>
      <c r="AW160" s="15">
        <v>279.0</v>
      </c>
      <c r="AY160" s="15">
        <v>332.0</v>
      </c>
      <c r="BA160" s="15">
        <v>166.0</v>
      </c>
      <c r="BC160" s="36">
        <v>1511.0</v>
      </c>
      <c r="BD160" s="15">
        <v>89.0</v>
      </c>
      <c r="BF160" s="15">
        <v>28.0</v>
      </c>
      <c r="BH160" s="15">
        <v>117.0</v>
      </c>
    </row>
    <row r="161" ht="15.75" customHeight="1">
      <c r="A161" s="6" t="s">
        <v>60</v>
      </c>
      <c r="B161" s="30" t="s">
        <v>218</v>
      </c>
      <c r="C161" s="14">
        <v>1132.0</v>
      </c>
      <c r="E161" s="15">
        <v>32.0</v>
      </c>
      <c r="G161" s="15">
        <v>21.0</v>
      </c>
      <c r="I161" s="36">
        <v>1185.0</v>
      </c>
      <c r="J161" s="14">
        <v>1374.0</v>
      </c>
      <c r="L161" s="15">
        <v>184.0</v>
      </c>
      <c r="N161" s="15">
        <v>85.0</v>
      </c>
      <c r="O161" s="15"/>
      <c r="P161" s="36">
        <v>1643.0</v>
      </c>
      <c r="Q161" s="14">
        <v>1177.0</v>
      </c>
      <c r="S161" s="15">
        <v>392.0</v>
      </c>
      <c r="U161" s="15">
        <v>94.0</v>
      </c>
      <c r="W161" s="36">
        <v>1663.0</v>
      </c>
      <c r="X161" s="15">
        <v>1015.0</v>
      </c>
      <c r="Z161" s="15">
        <v>350.0</v>
      </c>
      <c r="AB161" s="15">
        <v>185.0</v>
      </c>
      <c r="AD161" s="36">
        <v>1550.0</v>
      </c>
      <c r="AE161" s="37">
        <v>890.0</v>
      </c>
      <c r="AF161" s="37">
        <v>877.0</v>
      </c>
      <c r="AG161" s="14">
        <v>417.0</v>
      </c>
      <c r="AI161" s="15">
        <v>125.0</v>
      </c>
      <c r="AK161" s="15">
        <v>542.0</v>
      </c>
      <c r="AL161" s="14">
        <v>257.0</v>
      </c>
      <c r="AN161" s="15">
        <v>214.0</v>
      </c>
      <c r="AP161" s="15">
        <v>67.0</v>
      </c>
      <c r="AR161" s="15">
        <v>105.0</v>
      </c>
      <c r="AT161" s="36">
        <v>643.0</v>
      </c>
      <c r="AU161" s="14">
        <v>611.0</v>
      </c>
      <c r="AW161" s="15">
        <v>166.0</v>
      </c>
      <c r="AY161" s="15">
        <v>333.0</v>
      </c>
      <c r="BA161" s="15">
        <v>174.0</v>
      </c>
      <c r="BC161" s="36">
        <v>1284.0</v>
      </c>
      <c r="BD161" s="15">
        <v>255.0</v>
      </c>
      <c r="BF161" s="15">
        <v>39.0</v>
      </c>
      <c r="BH161" s="15">
        <v>294.0</v>
      </c>
    </row>
    <row r="162" ht="15.75" customHeight="1">
      <c r="A162" s="6" t="s">
        <v>52</v>
      </c>
      <c r="B162" s="30" t="s">
        <v>172</v>
      </c>
      <c r="C162" s="14">
        <v>1874.0</v>
      </c>
      <c r="E162" s="15">
        <v>74.0</v>
      </c>
      <c r="G162" s="15">
        <v>16.0</v>
      </c>
      <c r="I162" s="36">
        <v>1964.0</v>
      </c>
      <c r="J162" s="14">
        <v>2399.0</v>
      </c>
      <c r="L162" s="15">
        <v>538.0</v>
      </c>
      <c r="N162" s="15">
        <v>225.0</v>
      </c>
      <c r="O162" s="15"/>
      <c r="P162" s="36">
        <v>3162.0</v>
      </c>
      <c r="Q162" s="14">
        <v>2120.0</v>
      </c>
      <c r="S162" s="15">
        <v>836.0</v>
      </c>
      <c r="U162" s="15">
        <v>237.0</v>
      </c>
      <c r="W162" s="36">
        <v>3193.0</v>
      </c>
      <c r="X162" s="15">
        <v>1704.0</v>
      </c>
      <c r="Z162" s="15">
        <v>782.0</v>
      </c>
      <c r="AB162" s="15">
        <v>548.0</v>
      </c>
      <c r="AD162" s="36">
        <v>3034.0</v>
      </c>
      <c r="AE162" s="37">
        <v>3496.0</v>
      </c>
      <c r="AF162" s="37">
        <v>3617.0</v>
      </c>
      <c r="AG162" s="14">
        <v>1074.0</v>
      </c>
      <c r="AI162" s="15">
        <v>552.0</v>
      </c>
      <c r="AK162" s="15">
        <v>1626.0</v>
      </c>
      <c r="AL162" s="14">
        <v>985.0</v>
      </c>
      <c r="AN162" s="15">
        <v>398.0</v>
      </c>
      <c r="AP162" s="15">
        <v>515.0</v>
      </c>
      <c r="AR162" s="15">
        <v>271.0</v>
      </c>
      <c r="AT162" s="36">
        <v>2169.0</v>
      </c>
      <c r="AU162" s="14">
        <v>1895.0</v>
      </c>
      <c r="AW162" s="15">
        <v>325.0</v>
      </c>
      <c r="AY162" s="15">
        <v>834.0</v>
      </c>
      <c r="BA162" s="15">
        <v>377.0</v>
      </c>
      <c r="BC162" s="36">
        <v>3431.0</v>
      </c>
      <c r="BD162" s="15">
        <v>2248.0</v>
      </c>
      <c r="BF162" s="15">
        <v>491.0</v>
      </c>
      <c r="BH162" s="15">
        <v>2739.0</v>
      </c>
    </row>
    <row r="163" ht="15.75" customHeight="1">
      <c r="B163" s="30"/>
      <c r="C163" s="10"/>
      <c r="I163" s="30"/>
      <c r="J163" s="10"/>
      <c r="P163" s="30"/>
      <c r="Q163" s="10"/>
      <c r="W163" s="30"/>
      <c r="X163" s="10"/>
      <c r="AD163" s="30"/>
      <c r="AE163" s="35"/>
      <c r="AF163" s="35"/>
      <c r="AG163" s="10"/>
      <c r="AK163" s="30"/>
      <c r="AL163" s="10"/>
      <c r="AT163" s="30"/>
      <c r="AU163" s="10"/>
      <c r="BC163" s="30"/>
      <c r="BD163" s="10"/>
    </row>
    <row r="164" ht="15.75" customHeight="1">
      <c r="B164" s="30"/>
      <c r="C164" s="10"/>
      <c r="I164" s="30"/>
      <c r="J164" s="10"/>
      <c r="P164" s="30"/>
      <c r="Q164" s="10"/>
      <c r="W164" s="30"/>
      <c r="X164" s="10"/>
      <c r="AD164" s="30"/>
      <c r="AE164" s="35"/>
      <c r="AF164" s="35"/>
      <c r="AG164" s="10"/>
      <c r="AK164" s="30"/>
      <c r="AL164" s="10"/>
      <c r="AT164" s="30"/>
      <c r="AU164" s="10"/>
      <c r="BC164" s="30"/>
      <c r="BD164" s="10"/>
    </row>
    <row r="165" ht="15.75" customHeight="1">
      <c r="B165" s="30"/>
      <c r="C165" s="10"/>
      <c r="I165" s="30"/>
      <c r="J165" s="10"/>
      <c r="P165" s="30"/>
      <c r="Q165" s="10"/>
      <c r="W165" s="30"/>
      <c r="X165" s="10"/>
      <c r="AD165" s="30"/>
      <c r="AE165" s="35"/>
      <c r="AF165" s="35"/>
      <c r="AG165" s="10"/>
      <c r="AK165" s="30"/>
      <c r="AL165" s="10"/>
      <c r="AT165" s="30"/>
      <c r="AU165" s="10"/>
      <c r="BC165" s="30"/>
      <c r="BD165" s="10"/>
    </row>
    <row r="166" ht="15.75" customHeight="1">
      <c r="B166" s="30"/>
      <c r="C166" s="10"/>
      <c r="I166" s="30"/>
      <c r="J166" s="10"/>
      <c r="P166" s="30"/>
      <c r="Q166" s="10"/>
      <c r="W166" s="30"/>
      <c r="X166" s="10"/>
      <c r="AD166" s="30"/>
      <c r="AE166" s="35"/>
      <c r="AF166" s="35"/>
      <c r="AG166" s="10"/>
      <c r="AK166" s="30"/>
      <c r="AL166" s="10"/>
      <c r="AT166" s="30"/>
      <c r="AU166" s="10"/>
      <c r="BC166" s="30"/>
      <c r="BD166" s="10"/>
    </row>
    <row r="167" ht="15.75" customHeight="1">
      <c r="B167" s="30"/>
      <c r="C167" s="10"/>
      <c r="I167" s="30"/>
      <c r="J167" s="10"/>
      <c r="P167" s="30"/>
      <c r="Q167" s="10"/>
      <c r="W167" s="30"/>
      <c r="X167" s="10"/>
      <c r="AD167" s="30"/>
      <c r="AE167" s="35"/>
      <c r="AF167" s="35"/>
      <c r="AG167" s="10"/>
      <c r="AK167" s="30"/>
      <c r="AL167" s="10"/>
      <c r="AT167" s="30"/>
      <c r="AU167" s="10"/>
      <c r="BC167" s="30"/>
      <c r="BD167" s="10"/>
    </row>
    <row r="168" ht="15.75" customHeight="1">
      <c r="B168" s="30"/>
      <c r="C168" s="10"/>
      <c r="I168" s="30"/>
      <c r="J168" s="10"/>
      <c r="P168" s="30"/>
      <c r="Q168" s="10"/>
      <c r="W168" s="30"/>
      <c r="X168" s="10"/>
      <c r="AD168" s="30"/>
      <c r="AE168" s="35"/>
      <c r="AF168" s="35"/>
      <c r="AG168" s="10"/>
      <c r="AK168" s="30"/>
      <c r="AL168" s="10"/>
      <c r="AT168" s="30"/>
      <c r="AU168" s="10"/>
      <c r="BC168" s="30"/>
      <c r="BD168" s="10"/>
    </row>
    <row r="169" ht="15.75" customHeight="1">
      <c r="B169" s="30"/>
      <c r="C169" s="10"/>
      <c r="I169" s="30"/>
      <c r="J169" s="10"/>
      <c r="P169" s="30"/>
      <c r="Q169" s="10"/>
      <c r="W169" s="30"/>
      <c r="X169" s="10"/>
      <c r="AD169" s="30"/>
      <c r="AE169" s="35"/>
      <c r="AF169" s="35"/>
      <c r="AG169" s="10"/>
      <c r="AK169" s="30"/>
      <c r="AL169" s="10"/>
      <c r="AT169" s="30"/>
      <c r="AU169" s="10"/>
      <c r="BC169" s="30"/>
      <c r="BD169" s="10"/>
    </row>
    <row r="170" ht="15.75" customHeight="1">
      <c r="B170" s="30"/>
      <c r="C170" s="10"/>
      <c r="I170" s="30"/>
      <c r="J170" s="10"/>
      <c r="P170" s="30"/>
      <c r="Q170" s="10"/>
      <c r="W170" s="30"/>
      <c r="X170" s="10"/>
      <c r="AD170" s="30"/>
      <c r="AE170" s="35"/>
      <c r="AF170" s="35"/>
      <c r="AG170" s="10"/>
      <c r="AK170" s="30"/>
      <c r="AL170" s="10"/>
      <c r="AT170" s="30"/>
      <c r="AU170" s="10"/>
      <c r="BC170" s="30"/>
      <c r="BD170" s="10"/>
    </row>
    <row r="171" ht="15.75" customHeight="1">
      <c r="B171" s="30"/>
      <c r="C171" s="10"/>
      <c r="I171" s="30"/>
      <c r="J171" s="10"/>
      <c r="P171" s="30"/>
      <c r="Q171" s="10"/>
      <c r="W171" s="30"/>
      <c r="X171" s="10"/>
      <c r="AD171" s="30"/>
      <c r="AE171" s="35"/>
      <c r="AF171" s="35"/>
      <c r="AG171" s="10"/>
      <c r="AK171" s="30"/>
      <c r="AL171" s="10"/>
      <c r="AT171" s="30"/>
      <c r="AU171" s="10"/>
      <c r="BC171" s="30"/>
      <c r="BD171" s="10"/>
    </row>
    <row r="172" ht="15.75" customHeight="1">
      <c r="B172" s="30"/>
      <c r="C172" s="10"/>
      <c r="I172" s="30"/>
      <c r="J172" s="10"/>
      <c r="P172" s="30"/>
      <c r="Q172" s="10"/>
      <c r="W172" s="30"/>
      <c r="X172" s="10"/>
      <c r="AD172" s="30"/>
      <c r="AE172" s="35"/>
      <c r="AF172" s="35"/>
      <c r="AG172" s="10"/>
      <c r="AK172" s="30"/>
      <c r="AL172" s="10"/>
      <c r="AT172" s="30"/>
      <c r="AU172" s="10"/>
      <c r="BC172" s="30"/>
      <c r="BD172" s="10"/>
    </row>
    <row r="173" ht="15.75" customHeight="1">
      <c r="B173" s="30"/>
      <c r="C173" s="10"/>
      <c r="I173" s="30"/>
      <c r="J173" s="10"/>
      <c r="P173" s="30"/>
      <c r="Q173" s="10"/>
      <c r="W173" s="30"/>
      <c r="X173" s="10"/>
      <c r="AD173" s="30"/>
      <c r="AE173" s="35"/>
      <c r="AF173" s="35"/>
      <c r="AG173" s="10"/>
      <c r="AK173" s="30"/>
      <c r="AL173" s="10"/>
      <c r="AT173" s="30"/>
      <c r="AU173" s="10"/>
      <c r="BC173" s="30"/>
      <c r="BD173" s="10"/>
    </row>
    <row r="174" ht="15.75" customHeight="1">
      <c r="B174" s="30"/>
      <c r="C174" s="10"/>
      <c r="I174" s="30"/>
      <c r="J174" s="10"/>
      <c r="P174" s="30"/>
      <c r="Q174" s="10"/>
      <c r="W174" s="30"/>
      <c r="X174" s="10"/>
      <c r="AD174" s="30"/>
      <c r="AE174" s="35"/>
      <c r="AF174" s="35"/>
      <c r="AG174" s="10"/>
      <c r="AK174" s="30"/>
      <c r="AL174" s="10"/>
      <c r="AT174" s="30"/>
      <c r="AU174" s="10"/>
      <c r="BC174" s="30"/>
      <c r="BD174" s="10"/>
    </row>
    <row r="175" ht="15.75" customHeight="1">
      <c r="B175" s="30"/>
      <c r="C175" s="10"/>
      <c r="I175" s="30"/>
      <c r="J175" s="10"/>
      <c r="P175" s="30"/>
      <c r="Q175" s="10"/>
      <c r="W175" s="30"/>
      <c r="X175" s="10"/>
      <c r="AD175" s="30"/>
      <c r="AE175" s="35"/>
      <c r="AF175" s="35"/>
      <c r="AG175" s="10"/>
      <c r="AK175" s="30"/>
      <c r="AL175" s="10"/>
      <c r="AT175" s="30"/>
      <c r="AU175" s="10"/>
      <c r="BC175" s="30"/>
      <c r="BD175" s="10"/>
    </row>
    <row r="176" ht="15.75" customHeight="1">
      <c r="B176" s="30"/>
      <c r="C176" s="10"/>
      <c r="I176" s="30"/>
      <c r="J176" s="10"/>
      <c r="P176" s="30"/>
      <c r="Q176" s="10"/>
      <c r="W176" s="30"/>
      <c r="X176" s="10"/>
      <c r="AD176" s="30"/>
      <c r="AE176" s="35"/>
      <c r="AF176" s="35"/>
      <c r="AG176" s="10"/>
      <c r="AK176" s="30"/>
      <c r="AL176" s="10"/>
      <c r="AT176" s="30"/>
      <c r="AU176" s="10"/>
      <c r="BC176" s="30"/>
      <c r="BD176" s="10"/>
    </row>
    <row r="177" ht="15.75" customHeight="1">
      <c r="B177" s="30"/>
      <c r="C177" s="10"/>
      <c r="I177" s="30"/>
      <c r="J177" s="10"/>
      <c r="P177" s="30"/>
      <c r="Q177" s="10"/>
      <c r="W177" s="30"/>
      <c r="X177" s="10"/>
      <c r="AD177" s="30"/>
      <c r="AE177" s="35"/>
      <c r="AF177" s="35"/>
      <c r="AG177" s="10"/>
      <c r="AK177" s="30"/>
      <c r="AL177" s="10"/>
      <c r="AT177" s="30"/>
      <c r="AU177" s="10"/>
      <c r="BC177" s="30"/>
      <c r="BD177" s="10"/>
    </row>
    <row r="178" ht="15.75" customHeight="1">
      <c r="B178" s="30"/>
      <c r="C178" s="10"/>
      <c r="I178" s="30"/>
      <c r="J178" s="10"/>
      <c r="P178" s="30"/>
      <c r="Q178" s="10"/>
      <c r="W178" s="30"/>
      <c r="X178" s="10"/>
      <c r="AD178" s="30"/>
      <c r="AE178" s="35"/>
      <c r="AF178" s="35"/>
      <c r="AG178" s="10"/>
      <c r="AK178" s="30"/>
      <c r="AL178" s="10"/>
      <c r="AT178" s="30"/>
      <c r="AU178" s="10"/>
      <c r="BC178" s="30"/>
      <c r="BD178" s="10"/>
    </row>
    <row r="179" ht="15.75" customHeight="1">
      <c r="B179" s="30"/>
      <c r="C179" s="10"/>
      <c r="I179" s="30"/>
      <c r="J179" s="10"/>
      <c r="P179" s="30"/>
      <c r="Q179" s="10"/>
      <c r="W179" s="30"/>
      <c r="X179" s="10"/>
      <c r="AD179" s="30"/>
      <c r="AE179" s="35"/>
      <c r="AF179" s="35"/>
      <c r="AG179" s="10"/>
      <c r="AK179" s="30"/>
      <c r="AL179" s="10"/>
      <c r="AT179" s="30"/>
      <c r="AU179" s="10"/>
      <c r="BC179" s="30"/>
      <c r="BD179" s="10"/>
    </row>
    <row r="180" ht="15.75" customHeight="1">
      <c r="B180" s="30"/>
      <c r="C180" s="10"/>
      <c r="I180" s="30"/>
      <c r="J180" s="10"/>
      <c r="P180" s="30"/>
      <c r="Q180" s="10"/>
      <c r="W180" s="30"/>
      <c r="X180" s="10"/>
      <c r="AD180" s="30"/>
      <c r="AE180" s="35"/>
      <c r="AF180" s="35"/>
      <c r="AG180" s="10"/>
      <c r="AK180" s="30"/>
      <c r="AL180" s="10"/>
      <c r="AT180" s="30"/>
      <c r="AU180" s="10"/>
      <c r="BC180" s="30"/>
      <c r="BD180" s="10"/>
    </row>
    <row r="181" ht="15.75" customHeight="1">
      <c r="B181" s="30"/>
      <c r="C181" s="10"/>
      <c r="I181" s="30"/>
      <c r="J181" s="10"/>
      <c r="P181" s="30"/>
      <c r="Q181" s="10"/>
      <c r="W181" s="30"/>
      <c r="X181" s="10"/>
      <c r="AD181" s="30"/>
      <c r="AE181" s="35"/>
      <c r="AF181" s="35"/>
      <c r="AG181" s="10"/>
      <c r="AK181" s="30"/>
      <c r="AL181" s="10"/>
      <c r="AT181" s="30"/>
      <c r="AU181" s="10"/>
      <c r="BC181" s="30"/>
      <c r="BD181" s="10"/>
    </row>
    <row r="182" ht="15.75" customHeight="1">
      <c r="B182" s="30"/>
      <c r="C182" s="10"/>
      <c r="I182" s="30"/>
      <c r="J182" s="10"/>
      <c r="P182" s="30"/>
      <c r="Q182" s="10"/>
      <c r="W182" s="30"/>
      <c r="X182" s="10"/>
      <c r="AD182" s="30"/>
      <c r="AE182" s="35"/>
      <c r="AF182" s="35"/>
      <c r="AG182" s="10"/>
      <c r="AK182" s="30"/>
      <c r="AL182" s="10"/>
      <c r="AT182" s="30"/>
      <c r="AU182" s="10"/>
      <c r="BC182" s="30"/>
      <c r="BD182" s="10"/>
    </row>
    <row r="183" ht="15.75" customHeight="1">
      <c r="B183" s="30"/>
      <c r="C183" s="10"/>
      <c r="I183" s="30"/>
      <c r="J183" s="10"/>
      <c r="P183" s="30"/>
      <c r="Q183" s="10"/>
      <c r="W183" s="30"/>
      <c r="X183" s="10"/>
      <c r="AD183" s="30"/>
      <c r="AE183" s="35"/>
      <c r="AF183" s="35"/>
      <c r="AG183" s="10"/>
      <c r="AK183" s="30"/>
      <c r="AL183" s="10"/>
      <c r="AT183" s="30"/>
      <c r="AU183" s="10"/>
      <c r="BC183" s="30"/>
      <c r="BD183" s="10"/>
    </row>
    <row r="184" ht="15.75" customHeight="1">
      <c r="B184" s="30"/>
      <c r="C184" s="10"/>
      <c r="I184" s="30"/>
      <c r="J184" s="10"/>
      <c r="P184" s="30"/>
      <c r="Q184" s="10"/>
      <c r="W184" s="30"/>
      <c r="X184" s="10"/>
      <c r="AD184" s="30"/>
      <c r="AE184" s="35"/>
      <c r="AF184" s="35"/>
      <c r="AG184" s="10"/>
      <c r="AK184" s="30"/>
      <c r="AL184" s="10"/>
      <c r="AT184" s="30"/>
      <c r="AU184" s="10"/>
      <c r="BC184" s="30"/>
      <c r="BD184" s="10"/>
    </row>
    <row r="185" ht="15.75" customHeight="1">
      <c r="B185" s="30"/>
      <c r="C185" s="10"/>
      <c r="I185" s="30"/>
      <c r="J185" s="10"/>
      <c r="P185" s="30"/>
      <c r="Q185" s="10"/>
      <c r="W185" s="30"/>
      <c r="X185" s="10"/>
      <c r="AD185" s="30"/>
      <c r="AE185" s="35"/>
      <c r="AF185" s="35"/>
      <c r="AG185" s="10"/>
      <c r="AK185" s="30"/>
      <c r="AL185" s="10"/>
      <c r="AT185" s="30"/>
      <c r="AU185" s="10"/>
      <c r="BC185" s="30"/>
      <c r="BD185" s="10"/>
    </row>
    <row r="186" ht="15.75" customHeight="1">
      <c r="B186" s="30"/>
      <c r="C186" s="10"/>
      <c r="I186" s="30"/>
      <c r="J186" s="10"/>
      <c r="P186" s="30"/>
      <c r="Q186" s="10"/>
      <c r="W186" s="30"/>
      <c r="X186" s="10"/>
      <c r="AD186" s="30"/>
      <c r="AE186" s="35"/>
      <c r="AF186" s="35"/>
      <c r="AG186" s="10"/>
      <c r="AK186" s="30"/>
      <c r="AL186" s="10"/>
      <c r="AT186" s="30"/>
      <c r="AU186" s="10"/>
      <c r="BC186" s="30"/>
      <c r="BD186" s="10"/>
    </row>
    <row r="187" ht="15.75" customHeight="1">
      <c r="B187" s="30"/>
      <c r="C187" s="10"/>
      <c r="I187" s="30"/>
      <c r="J187" s="10"/>
      <c r="P187" s="30"/>
      <c r="Q187" s="10"/>
      <c r="W187" s="30"/>
      <c r="X187" s="10"/>
      <c r="AD187" s="30"/>
      <c r="AE187" s="35"/>
      <c r="AF187" s="35"/>
      <c r="AG187" s="10"/>
      <c r="AK187" s="30"/>
      <c r="AL187" s="10"/>
      <c r="AT187" s="30"/>
      <c r="AU187" s="10"/>
      <c r="BC187" s="30"/>
      <c r="BD187" s="10"/>
    </row>
    <row r="188" ht="15.75" customHeight="1">
      <c r="B188" s="30"/>
      <c r="C188" s="10"/>
      <c r="I188" s="30"/>
      <c r="J188" s="10"/>
      <c r="P188" s="30"/>
      <c r="Q188" s="10"/>
      <c r="W188" s="30"/>
      <c r="X188" s="10"/>
      <c r="AD188" s="30"/>
      <c r="AE188" s="35"/>
      <c r="AF188" s="35"/>
      <c r="AG188" s="10"/>
      <c r="AK188" s="30"/>
      <c r="AL188" s="10"/>
      <c r="AT188" s="30"/>
      <c r="AU188" s="10"/>
      <c r="BC188" s="30"/>
      <c r="BD188" s="10"/>
    </row>
    <row r="189" ht="15.75" customHeight="1">
      <c r="B189" s="30"/>
      <c r="C189" s="10"/>
      <c r="I189" s="30"/>
      <c r="J189" s="10"/>
      <c r="P189" s="30"/>
      <c r="Q189" s="10"/>
      <c r="W189" s="30"/>
      <c r="X189" s="10"/>
      <c r="AD189" s="30"/>
      <c r="AE189" s="35"/>
      <c r="AF189" s="35"/>
      <c r="AG189" s="10"/>
      <c r="AK189" s="30"/>
      <c r="AL189" s="10"/>
      <c r="AT189" s="30"/>
      <c r="AU189" s="10"/>
      <c r="BC189" s="30"/>
      <c r="BD189" s="10"/>
    </row>
    <row r="190" ht="15.75" customHeight="1">
      <c r="B190" s="30"/>
      <c r="C190" s="10"/>
      <c r="I190" s="30"/>
      <c r="J190" s="10"/>
      <c r="P190" s="30"/>
      <c r="Q190" s="10"/>
      <c r="W190" s="30"/>
      <c r="X190" s="10"/>
      <c r="AD190" s="30"/>
      <c r="AE190" s="35"/>
      <c r="AF190" s="35"/>
      <c r="AG190" s="10"/>
      <c r="AK190" s="30"/>
      <c r="AL190" s="10"/>
      <c r="AT190" s="30"/>
      <c r="AU190" s="10"/>
      <c r="BC190" s="30"/>
      <c r="BD190" s="10"/>
    </row>
    <row r="191" ht="15.75" customHeight="1">
      <c r="B191" s="30"/>
      <c r="C191" s="10"/>
      <c r="I191" s="30"/>
      <c r="J191" s="10"/>
      <c r="P191" s="30"/>
      <c r="Q191" s="10"/>
      <c r="W191" s="30"/>
      <c r="X191" s="10"/>
      <c r="AD191" s="30"/>
      <c r="AE191" s="35"/>
      <c r="AF191" s="35"/>
      <c r="AG191" s="10"/>
      <c r="AK191" s="30"/>
      <c r="AL191" s="10"/>
      <c r="AT191" s="30"/>
      <c r="AU191" s="10"/>
      <c r="BC191" s="30"/>
      <c r="BD191" s="10"/>
    </row>
    <row r="192" ht="15.75" customHeight="1">
      <c r="B192" s="30"/>
      <c r="C192" s="10"/>
      <c r="I192" s="30"/>
      <c r="J192" s="10"/>
      <c r="P192" s="30"/>
      <c r="Q192" s="10"/>
      <c r="W192" s="30"/>
      <c r="X192" s="10"/>
      <c r="AD192" s="30"/>
      <c r="AE192" s="35"/>
      <c r="AF192" s="35"/>
      <c r="AG192" s="10"/>
      <c r="AK192" s="30"/>
      <c r="AL192" s="10"/>
      <c r="AT192" s="30"/>
      <c r="AU192" s="10"/>
      <c r="BC192" s="30"/>
      <c r="BD192" s="10"/>
    </row>
    <row r="193" ht="15.75" customHeight="1">
      <c r="B193" s="30"/>
      <c r="C193" s="10"/>
      <c r="I193" s="30"/>
      <c r="J193" s="10"/>
      <c r="P193" s="30"/>
      <c r="Q193" s="10"/>
      <c r="W193" s="30"/>
      <c r="X193" s="10"/>
      <c r="AD193" s="30"/>
      <c r="AE193" s="35"/>
      <c r="AF193" s="35"/>
      <c r="AG193" s="10"/>
      <c r="AK193" s="30"/>
      <c r="AL193" s="10"/>
      <c r="AT193" s="30"/>
      <c r="AU193" s="10"/>
      <c r="BC193" s="30"/>
      <c r="BD193" s="10"/>
    </row>
    <row r="194" ht="15.75" customHeight="1">
      <c r="B194" s="30"/>
      <c r="C194" s="10"/>
      <c r="I194" s="30"/>
      <c r="J194" s="10"/>
      <c r="P194" s="30"/>
      <c r="Q194" s="10"/>
      <c r="W194" s="30"/>
      <c r="X194" s="10"/>
      <c r="AD194" s="30"/>
      <c r="AE194" s="35"/>
      <c r="AF194" s="35"/>
      <c r="AG194" s="10"/>
      <c r="AK194" s="30"/>
      <c r="AL194" s="10"/>
      <c r="AT194" s="30"/>
      <c r="AU194" s="10"/>
      <c r="BC194" s="30"/>
      <c r="BD194" s="10"/>
    </row>
    <row r="195" ht="15.75" customHeight="1">
      <c r="B195" s="30"/>
      <c r="C195" s="10"/>
      <c r="I195" s="30"/>
      <c r="J195" s="10"/>
      <c r="P195" s="30"/>
      <c r="Q195" s="10"/>
      <c r="W195" s="30"/>
      <c r="X195" s="10"/>
      <c r="AD195" s="30"/>
      <c r="AE195" s="35"/>
      <c r="AF195" s="35"/>
      <c r="AG195" s="10"/>
      <c r="AK195" s="30"/>
      <c r="AL195" s="10"/>
      <c r="AT195" s="30"/>
      <c r="AU195" s="10"/>
      <c r="BC195" s="30"/>
      <c r="BD195" s="10"/>
    </row>
    <row r="196" ht="15.75" customHeight="1">
      <c r="B196" s="30"/>
      <c r="C196" s="10"/>
      <c r="I196" s="30"/>
      <c r="J196" s="10"/>
      <c r="P196" s="30"/>
      <c r="Q196" s="10"/>
      <c r="W196" s="30"/>
      <c r="X196" s="10"/>
      <c r="AD196" s="30"/>
      <c r="AE196" s="35"/>
      <c r="AF196" s="35"/>
      <c r="AG196" s="10"/>
      <c r="AK196" s="30"/>
      <c r="AL196" s="10"/>
      <c r="AT196" s="30"/>
      <c r="AU196" s="10"/>
      <c r="BC196" s="30"/>
      <c r="BD196" s="10"/>
    </row>
    <row r="197" ht="15.75" customHeight="1">
      <c r="B197" s="30"/>
      <c r="C197" s="10"/>
      <c r="I197" s="30"/>
      <c r="J197" s="10"/>
      <c r="P197" s="30"/>
      <c r="Q197" s="10"/>
      <c r="W197" s="30"/>
      <c r="X197" s="10"/>
      <c r="AD197" s="30"/>
      <c r="AE197" s="35"/>
      <c r="AF197" s="35"/>
      <c r="AG197" s="10"/>
      <c r="AK197" s="30"/>
      <c r="AL197" s="10"/>
      <c r="AT197" s="30"/>
      <c r="AU197" s="10"/>
      <c r="BC197" s="30"/>
      <c r="BD197" s="10"/>
    </row>
    <row r="198" ht="15.75" customHeight="1">
      <c r="B198" s="30"/>
      <c r="C198" s="10"/>
      <c r="I198" s="30"/>
      <c r="J198" s="10"/>
      <c r="P198" s="30"/>
      <c r="Q198" s="10"/>
      <c r="W198" s="30"/>
      <c r="X198" s="10"/>
      <c r="AD198" s="30"/>
      <c r="AE198" s="35"/>
      <c r="AF198" s="35"/>
      <c r="AG198" s="10"/>
      <c r="AK198" s="30"/>
      <c r="AL198" s="10"/>
      <c r="AT198" s="30"/>
      <c r="AU198" s="10"/>
      <c r="BC198" s="30"/>
      <c r="BD198" s="10"/>
    </row>
    <row r="199" ht="15.75" customHeight="1">
      <c r="B199" s="30"/>
      <c r="C199" s="10"/>
      <c r="I199" s="30"/>
      <c r="J199" s="10"/>
      <c r="P199" s="30"/>
      <c r="Q199" s="10"/>
      <c r="W199" s="30"/>
      <c r="X199" s="10"/>
      <c r="AD199" s="30"/>
      <c r="AE199" s="35"/>
      <c r="AF199" s="35"/>
      <c r="AG199" s="10"/>
      <c r="AK199" s="30"/>
      <c r="AL199" s="10"/>
      <c r="AT199" s="30"/>
      <c r="AU199" s="10"/>
      <c r="BC199" s="30"/>
      <c r="BD199" s="10"/>
    </row>
    <row r="200" ht="15.75" customHeight="1">
      <c r="B200" s="30"/>
      <c r="C200" s="10"/>
      <c r="I200" s="30"/>
      <c r="J200" s="10"/>
      <c r="P200" s="30"/>
      <c r="Q200" s="10"/>
      <c r="W200" s="30"/>
      <c r="X200" s="10"/>
      <c r="AD200" s="30"/>
      <c r="AE200" s="35"/>
      <c r="AF200" s="35"/>
      <c r="AG200" s="10"/>
      <c r="AK200" s="30"/>
      <c r="AL200" s="10"/>
      <c r="AT200" s="30"/>
      <c r="AU200" s="10"/>
      <c r="BC200" s="30"/>
      <c r="BD200" s="10"/>
    </row>
    <row r="201" ht="15.75" customHeight="1">
      <c r="B201" s="30"/>
      <c r="C201" s="10"/>
      <c r="I201" s="30"/>
      <c r="J201" s="10"/>
      <c r="P201" s="30"/>
      <c r="Q201" s="10"/>
      <c r="W201" s="30"/>
      <c r="X201" s="10"/>
      <c r="AD201" s="30"/>
      <c r="AE201" s="35"/>
      <c r="AF201" s="35"/>
      <c r="AG201" s="10"/>
      <c r="AK201" s="30"/>
      <c r="AL201" s="10"/>
      <c r="AT201" s="30"/>
      <c r="AU201" s="10"/>
      <c r="BC201" s="30"/>
      <c r="BD201" s="10"/>
    </row>
    <row r="202" ht="15.75" customHeight="1">
      <c r="B202" s="30"/>
      <c r="C202" s="10"/>
      <c r="I202" s="30"/>
      <c r="J202" s="10"/>
      <c r="P202" s="30"/>
      <c r="Q202" s="10"/>
      <c r="W202" s="30"/>
      <c r="X202" s="10"/>
      <c r="AD202" s="30"/>
      <c r="AE202" s="35"/>
      <c r="AF202" s="35"/>
      <c r="AG202" s="10"/>
      <c r="AK202" s="30"/>
      <c r="AL202" s="10"/>
      <c r="AT202" s="30"/>
      <c r="AU202" s="10"/>
      <c r="BC202" s="30"/>
      <c r="BD202" s="10"/>
    </row>
    <row r="203" ht="15.75" customHeight="1">
      <c r="B203" s="30"/>
      <c r="C203" s="10"/>
      <c r="I203" s="30"/>
      <c r="J203" s="10"/>
      <c r="P203" s="30"/>
      <c r="Q203" s="10"/>
      <c r="W203" s="30"/>
      <c r="X203" s="10"/>
      <c r="AD203" s="30"/>
      <c r="AE203" s="35"/>
      <c r="AF203" s="35"/>
      <c r="AG203" s="10"/>
      <c r="AK203" s="30"/>
      <c r="AL203" s="10"/>
      <c r="AT203" s="30"/>
      <c r="AU203" s="10"/>
      <c r="BC203" s="30"/>
      <c r="BD203" s="10"/>
    </row>
    <row r="204" ht="15.75" customHeight="1">
      <c r="B204" s="30"/>
      <c r="C204" s="10"/>
      <c r="I204" s="30"/>
      <c r="J204" s="10"/>
      <c r="P204" s="30"/>
      <c r="Q204" s="10"/>
      <c r="W204" s="30"/>
      <c r="X204" s="10"/>
      <c r="AD204" s="30"/>
      <c r="AE204" s="35"/>
      <c r="AF204" s="35"/>
      <c r="AG204" s="10"/>
      <c r="AK204" s="30"/>
      <c r="AL204" s="10"/>
      <c r="AT204" s="30"/>
      <c r="AU204" s="10"/>
      <c r="BC204" s="30"/>
      <c r="BD204" s="10"/>
    </row>
    <row r="205" ht="15.75" customHeight="1">
      <c r="B205" s="30"/>
      <c r="C205" s="10"/>
      <c r="I205" s="30"/>
      <c r="J205" s="10"/>
      <c r="P205" s="30"/>
      <c r="Q205" s="10"/>
      <c r="W205" s="30"/>
      <c r="X205" s="10"/>
      <c r="AD205" s="30"/>
      <c r="AE205" s="35"/>
      <c r="AF205" s="35"/>
      <c r="AG205" s="10"/>
      <c r="AK205" s="30"/>
      <c r="AL205" s="10"/>
      <c r="AT205" s="30"/>
      <c r="AU205" s="10"/>
      <c r="BC205" s="30"/>
      <c r="BD205" s="10"/>
    </row>
    <row r="206" ht="15.75" customHeight="1">
      <c r="B206" s="30"/>
      <c r="C206" s="10"/>
      <c r="I206" s="30"/>
      <c r="J206" s="10"/>
      <c r="P206" s="30"/>
      <c r="Q206" s="10"/>
      <c r="W206" s="30"/>
      <c r="X206" s="10"/>
      <c r="AD206" s="30"/>
      <c r="AE206" s="35"/>
      <c r="AF206" s="35"/>
      <c r="AG206" s="10"/>
      <c r="AK206" s="30"/>
      <c r="AL206" s="10"/>
      <c r="AT206" s="30"/>
      <c r="AU206" s="10"/>
      <c r="BC206" s="30"/>
      <c r="BD206" s="10"/>
    </row>
    <row r="207" ht="15.75" customHeight="1">
      <c r="B207" s="30"/>
      <c r="C207" s="10"/>
      <c r="I207" s="30"/>
      <c r="J207" s="10"/>
      <c r="P207" s="30"/>
      <c r="Q207" s="10"/>
      <c r="W207" s="30"/>
      <c r="X207" s="10"/>
      <c r="AD207" s="30"/>
      <c r="AE207" s="35"/>
      <c r="AF207" s="35"/>
      <c r="AG207" s="10"/>
      <c r="AK207" s="30"/>
      <c r="AL207" s="10"/>
      <c r="AT207" s="30"/>
      <c r="AU207" s="10"/>
      <c r="BC207" s="30"/>
      <c r="BD207" s="10"/>
    </row>
    <row r="208" ht="15.75" customHeight="1">
      <c r="B208" s="30"/>
      <c r="C208" s="10"/>
      <c r="I208" s="30"/>
      <c r="J208" s="10"/>
      <c r="P208" s="30"/>
      <c r="Q208" s="10"/>
      <c r="W208" s="30"/>
      <c r="X208" s="10"/>
      <c r="AD208" s="30"/>
      <c r="AE208" s="35"/>
      <c r="AF208" s="35"/>
      <c r="AG208" s="10"/>
      <c r="AK208" s="30"/>
      <c r="AL208" s="10"/>
      <c r="AT208" s="30"/>
      <c r="AU208" s="10"/>
      <c r="BC208" s="30"/>
      <c r="BD208" s="10"/>
    </row>
    <row r="209" ht="15.75" customHeight="1">
      <c r="B209" s="30"/>
      <c r="C209" s="10"/>
      <c r="I209" s="30"/>
      <c r="J209" s="10"/>
      <c r="P209" s="30"/>
      <c r="Q209" s="10"/>
      <c r="W209" s="30"/>
      <c r="X209" s="10"/>
      <c r="AD209" s="30"/>
      <c r="AE209" s="35"/>
      <c r="AF209" s="35"/>
      <c r="AG209" s="10"/>
      <c r="AK209" s="30"/>
      <c r="AL209" s="10"/>
      <c r="AT209" s="30"/>
      <c r="AU209" s="10"/>
      <c r="BC209" s="30"/>
      <c r="BD209" s="10"/>
    </row>
    <row r="210" ht="15.75" customHeight="1">
      <c r="B210" s="30"/>
      <c r="C210" s="10"/>
      <c r="I210" s="30"/>
      <c r="J210" s="10"/>
      <c r="P210" s="30"/>
      <c r="Q210" s="10"/>
      <c r="W210" s="30"/>
      <c r="X210" s="10"/>
      <c r="AD210" s="30"/>
      <c r="AE210" s="35"/>
      <c r="AF210" s="35"/>
      <c r="AG210" s="10"/>
      <c r="AK210" s="30"/>
      <c r="AL210" s="10"/>
      <c r="AT210" s="30"/>
      <c r="AU210" s="10"/>
      <c r="BC210" s="30"/>
      <c r="BD210" s="10"/>
    </row>
    <row r="211" ht="15.75" customHeight="1">
      <c r="B211" s="30"/>
      <c r="C211" s="10"/>
      <c r="I211" s="30"/>
      <c r="J211" s="10"/>
      <c r="P211" s="30"/>
      <c r="Q211" s="10"/>
      <c r="W211" s="30"/>
      <c r="X211" s="10"/>
      <c r="AD211" s="30"/>
      <c r="AE211" s="35"/>
      <c r="AF211" s="35"/>
      <c r="AG211" s="10"/>
      <c r="AK211" s="30"/>
      <c r="AL211" s="10"/>
      <c r="AT211" s="30"/>
      <c r="AU211" s="10"/>
      <c r="BC211" s="30"/>
      <c r="BD211" s="10"/>
    </row>
    <row r="212" ht="15.75" customHeight="1">
      <c r="B212" s="30"/>
      <c r="C212" s="10"/>
      <c r="I212" s="30"/>
      <c r="J212" s="10"/>
      <c r="P212" s="30"/>
      <c r="Q212" s="10"/>
      <c r="W212" s="30"/>
      <c r="X212" s="10"/>
      <c r="AD212" s="30"/>
      <c r="AE212" s="35"/>
      <c r="AF212" s="35"/>
      <c r="AG212" s="10"/>
      <c r="AK212" s="30"/>
      <c r="AL212" s="10"/>
      <c r="AT212" s="30"/>
      <c r="AU212" s="10"/>
      <c r="BC212" s="30"/>
      <c r="BD212" s="10"/>
    </row>
    <row r="213" ht="15.75" customHeight="1">
      <c r="B213" s="30"/>
      <c r="C213" s="10"/>
      <c r="I213" s="30"/>
      <c r="J213" s="10"/>
      <c r="P213" s="30"/>
      <c r="Q213" s="10"/>
      <c r="W213" s="30"/>
      <c r="X213" s="10"/>
      <c r="AD213" s="30"/>
      <c r="AE213" s="35"/>
      <c r="AF213" s="35"/>
      <c r="AG213" s="10"/>
      <c r="AK213" s="30"/>
      <c r="AL213" s="10"/>
      <c r="AT213" s="30"/>
      <c r="AU213" s="10"/>
      <c r="BC213" s="30"/>
      <c r="BD213" s="10"/>
    </row>
    <row r="214" ht="15.75" customHeight="1">
      <c r="B214" s="30"/>
      <c r="C214" s="10"/>
      <c r="I214" s="30"/>
      <c r="J214" s="10"/>
      <c r="P214" s="30"/>
      <c r="Q214" s="10"/>
      <c r="W214" s="30"/>
      <c r="X214" s="10"/>
      <c r="AD214" s="30"/>
      <c r="AE214" s="35"/>
      <c r="AF214" s="35"/>
      <c r="AG214" s="10"/>
      <c r="AK214" s="30"/>
      <c r="AL214" s="10"/>
      <c r="AT214" s="30"/>
      <c r="AU214" s="10"/>
      <c r="BC214" s="30"/>
      <c r="BD214" s="10"/>
    </row>
    <row r="215" ht="15.75" customHeight="1">
      <c r="B215" s="30"/>
      <c r="C215" s="10"/>
      <c r="I215" s="30"/>
      <c r="J215" s="10"/>
      <c r="P215" s="30"/>
      <c r="Q215" s="10"/>
      <c r="W215" s="30"/>
      <c r="X215" s="10"/>
      <c r="AD215" s="30"/>
      <c r="AE215" s="35"/>
      <c r="AF215" s="35"/>
      <c r="AG215" s="10"/>
      <c r="AK215" s="30"/>
      <c r="AL215" s="10"/>
      <c r="AT215" s="30"/>
      <c r="AU215" s="10"/>
      <c r="BC215" s="30"/>
      <c r="BD215" s="10"/>
    </row>
    <row r="216" ht="15.75" customHeight="1">
      <c r="B216" s="30"/>
      <c r="C216" s="10"/>
      <c r="I216" s="30"/>
      <c r="J216" s="10"/>
      <c r="P216" s="30"/>
      <c r="Q216" s="10"/>
      <c r="W216" s="30"/>
      <c r="X216" s="10"/>
      <c r="AD216" s="30"/>
      <c r="AE216" s="35"/>
      <c r="AF216" s="35"/>
      <c r="AG216" s="10"/>
      <c r="AK216" s="30"/>
      <c r="AL216" s="10"/>
      <c r="AT216" s="30"/>
      <c r="AU216" s="10"/>
      <c r="BC216" s="30"/>
      <c r="BD216" s="10"/>
    </row>
    <row r="217" ht="15.75" customHeight="1">
      <c r="B217" s="30"/>
      <c r="C217" s="10"/>
      <c r="I217" s="30"/>
      <c r="J217" s="10"/>
      <c r="P217" s="30"/>
      <c r="Q217" s="10"/>
      <c r="W217" s="30"/>
      <c r="X217" s="10"/>
      <c r="AD217" s="30"/>
      <c r="AE217" s="35"/>
      <c r="AF217" s="35"/>
      <c r="AG217" s="10"/>
      <c r="AK217" s="30"/>
      <c r="AL217" s="10"/>
      <c r="AT217" s="30"/>
      <c r="AU217" s="10"/>
      <c r="BC217" s="30"/>
      <c r="BD217" s="10"/>
    </row>
    <row r="218" ht="15.75" customHeight="1">
      <c r="B218" s="30"/>
      <c r="C218" s="10"/>
      <c r="I218" s="30"/>
      <c r="J218" s="10"/>
      <c r="P218" s="30"/>
      <c r="Q218" s="10"/>
      <c r="W218" s="30"/>
      <c r="X218" s="10"/>
      <c r="AD218" s="30"/>
      <c r="AE218" s="35"/>
      <c r="AF218" s="35"/>
      <c r="AG218" s="10"/>
      <c r="AK218" s="30"/>
      <c r="AL218" s="10"/>
      <c r="AT218" s="30"/>
      <c r="AU218" s="10"/>
      <c r="BC218" s="30"/>
      <c r="BD218" s="10"/>
    </row>
    <row r="219" ht="15.75" customHeight="1">
      <c r="B219" s="30"/>
      <c r="C219" s="10"/>
      <c r="I219" s="30"/>
      <c r="J219" s="10"/>
      <c r="P219" s="30"/>
      <c r="Q219" s="10"/>
      <c r="W219" s="30"/>
      <c r="X219" s="10"/>
      <c r="AD219" s="30"/>
      <c r="AE219" s="35"/>
      <c r="AF219" s="35"/>
      <c r="AG219" s="10"/>
      <c r="AK219" s="30"/>
      <c r="AL219" s="10"/>
      <c r="AT219" s="30"/>
      <c r="AU219" s="10"/>
      <c r="BC219" s="30"/>
      <c r="BD219" s="10"/>
    </row>
    <row r="220" ht="15.75" customHeight="1">
      <c r="B220" s="30"/>
      <c r="C220" s="10"/>
      <c r="I220" s="30"/>
      <c r="J220" s="10"/>
      <c r="P220" s="30"/>
      <c r="Q220" s="10"/>
      <c r="W220" s="30"/>
      <c r="X220" s="10"/>
      <c r="AD220" s="30"/>
      <c r="AE220" s="35"/>
      <c r="AF220" s="35"/>
      <c r="AG220" s="10"/>
      <c r="AK220" s="30"/>
      <c r="AL220" s="10"/>
      <c r="AT220" s="30"/>
      <c r="AU220" s="10"/>
      <c r="BC220" s="30"/>
      <c r="BD220" s="10"/>
    </row>
    <row r="221" ht="15.75" customHeight="1">
      <c r="B221" s="30"/>
      <c r="C221" s="10"/>
      <c r="I221" s="30"/>
      <c r="J221" s="10"/>
      <c r="P221" s="30"/>
      <c r="Q221" s="10"/>
      <c r="W221" s="30"/>
      <c r="X221" s="10"/>
      <c r="AD221" s="30"/>
      <c r="AE221" s="35"/>
      <c r="AF221" s="35"/>
      <c r="AG221" s="10"/>
      <c r="AK221" s="30"/>
      <c r="AL221" s="10"/>
      <c r="AT221" s="30"/>
      <c r="AU221" s="10"/>
      <c r="BC221" s="30"/>
      <c r="BD221" s="10"/>
    </row>
    <row r="222" ht="15.75" customHeight="1">
      <c r="B222" s="30"/>
      <c r="C222" s="10"/>
      <c r="I222" s="30"/>
      <c r="J222" s="10"/>
      <c r="P222" s="30"/>
      <c r="Q222" s="10"/>
      <c r="W222" s="30"/>
      <c r="X222" s="10"/>
      <c r="AD222" s="30"/>
      <c r="AE222" s="35"/>
      <c r="AF222" s="35"/>
      <c r="AG222" s="10"/>
      <c r="AK222" s="30"/>
      <c r="AL222" s="10"/>
      <c r="AT222" s="30"/>
      <c r="AU222" s="10"/>
      <c r="BC222" s="30"/>
      <c r="BD222" s="10"/>
    </row>
    <row r="223" ht="15.75" customHeight="1">
      <c r="B223" s="30"/>
      <c r="C223" s="10"/>
      <c r="I223" s="30"/>
      <c r="J223" s="10"/>
      <c r="P223" s="30"/>
      <c r="Q223" s="10"/>
      <c r="W223" s="30"/>
      <c r="X223" s="10"/>
      <c r="AD223" s="30"/>
      <c r="AE223" s="35"/>
      <c r="AF223" s="35"/>
      <c r="AG223" s="10"/>
      <c r="AK223" s="30"/>
      <c r="AL223" s="10"/>
      <c r="AT223" s="30"/>
      <c r="AU223" s="10"/>
      <c r="BC223" s="30"/>
      <c r="BD223" s="10"/>
    </row>
    <row r="224" ht="15.75" customHeight="1">
      <c r="B224" s="30"/>
      <c r="C224" s="10"/>
      <c r="I224" s="30"/>
      <c r="J224" s="10"/>
      <c r="P224" s="30"/>
      <c r="Q224" s="10"/>
      <c r="W224" s="30"/>
      <c r="X224" s="10"/>
      <c r="AD224" s="30"/>
      <c r="AE224" s="35"/>
      <c r="AF224" s="35"/>
      <c r="AG224" s="10"/>
      <c r="AK224" s="30"/>
      <c r="AL224" s="10"/>
      <c r="AT224" s="30"/>
      <c r="AU224" s="10"/>
      <c r="BC224" s="30"/>
      <c r="BD224" s="10"/>
    </row>
    <row r="225" ht="15.75" customHeight="1">
      <c r="B225" s="30"/>
      <c r="C225" s="10"/>
      <c r="I225" s="30"/>
      <c r="J225" s="10"/>
      <c r="P225" s="30"/>
      <c r="Q225" s="10"/>
      <c r="W225" s="30"/>
      <c r="X225" s="10"/>
      <c r="AD225" s="30"/>
      <c r="AE225" s="35"/>
      <c r="AF225" s="35"/>
      <c r="AG225" s="10"/>
      <c r="AK225" s="30"/>
      <c r="AL225" s="10"/>
      <c r="AT225" s="30"/>
      <c r="AU225" s="10"/>
      <c r="BC225" s="30"/>
      <c r="BD225" s="10"/>
    </row>
    <row r="226" ht="15.75" customHeight="1">
      <c r="B226" s="30"/>
      <c r="C226" s="10"/>
      <c r="I226" s="30"/>
      <c r="J226" s="10"/>
      <c r="P226" s="30"/>
      <c r="Q226" s="10"/>
      <c r="W226" s="30"/>
      <c r="X226" s="10"/>
      <c r="AD226" s="30"/>
      <c r="AE226" s="35"/>
      <c r="AF226" s="35"/>
      <c r="AG226" s="10"/>
      <c r="AK226" s="30"/>
      <c r="AL226" s="10"/>
      <c r="AT226" s="30"/>
      <c r="AU226" s="10"/>
      <c r="BC226" s="30"/>
      <c r="BD226" s="10"/>
    </row>
    <row r="227" ht="15.75" customHeight="1">
      <c r="B227" s="30"/>
      <c r="C227" s="10"/>
      <c r="I227" s="30"/>
      <c r="J227" s="10"/>
      <c r="P227" s="30"/>
      <c r="Q227" s="10"/>
      <c r="W227" s="30"/>
      <c r="X227" s="10"/>
      <c r="AD227" s="30"/>
      <c r="AE227" s="35"/>
      <c r="AF227" s="35"/>
      <c r="AG227" s="10"/>
      <c r="AK227" s="30"/>
      <c r="AL227" s="10"/>
      <c r="AT227" s="30"/>
      <c r="AU227" s="10"/>
      <c r="BC227" s="30"/>
      <c r="BD227" s="10"/>
    </row>
    <row r="228" ht="15.75" customHeight="1">
      <c r="B228" s="30"/>
      <c r="C228" s="10"/>
      <c r="I228" s="30"/>
      <c r="J228" s="10"/>
      <c r="P228" s="30"/>
      <c r="Q228" s="10"/>
      <c r="W228" s="30"/>
      <c r="X228" s="10"/>
      <c r="AD228" s="30"/>
      <c r="AE228" s="35"/>
      <c r="AF228" s="35"/>
      <c r="AG228" s="10"/>
      <c r="AK228" s="30"/>
      <c r="AL228" s="10"/>
      <c r="AT228" s="30"/>
      <c r="AU228" s="10"/>
      <c r="BC228" s="30"/>
      <c r="BD228" s="10"/>
    </row>
    <row r="229" ht="15.75" customHeight="1">
      <c r="B229" s="30"/>
      <c r="C229" s="10"/>
      <c r="I229" s="30"/>
      <c r="J229" s="10"/>
      <c r="P229" s="30"/>
      <c r="Q229" s="10"/>
      <c r="W229" s="30"/>
      <c r="X229" s="10"/>
      <c r="AD229" s="30"/>
      <c r="AE229" s="35"/>
      <c r="AF229" s="35"/>
      <c r="AG229" s="10"/>
      <c r="AK229" s="30"/>
      <c r="AL229" s="10"/>
      <c r="AT229" s="30"/>
      <c r="AU229" s="10"/>
      <c r="BC229" s="30"/>
      <c r="BD229" s="10"/>
    </row>
    <row r="230" ht="15.75" customHeight="1">
      <c r="B230" s="30"/>
      <c r="C230" s="10"/>
      <c r="I230" s="30"/>
      <c r="J230" s="10"/>
      <c r="P230" s="30"/>
      <c r="Q230" s="10"/>
      <c r="W230" s="30"/>
      <c r="X230" s="10"/>
      <c r="AD230" s="30"/>
      <c r="AE230" s="35"/>
      <c r="AF230" s="35"/>
      <c r="AG230" s="10"/>
      <c r="AK230" s="30"/>
      <c r="AL230" s="10"/>
      <c r="AT230" s="30"/>
      <c r="AU230" s="10"/>
      <c r="BC230" s="30"/>
      <c r="BD230" s="10"/>
    </row>
    <row r="231" ht="15.75" customHeight="1">
      <c r="B231" s="30"/>
      <c r="C231" s="10"/>
      <c r="I231" s="30"/>
      <c r="J231" s="10"/>
      <c r="P231" s="30"/>
      <c r="Q231" s="10"/>
      <c r="W231" s="30"/>
      <c r="X231" s="10"/>
      <c r="AD231" s="30"/>
      <c r="AE231" s="35"/>
      <c r="AF231" s="35"/>
      <c r="AG231" s="10"/>
      <c r="AK231" s="30"/>
      <c r="AL231" s="10"/>
      <c r="AT231" s="30"/>
      <c r="AU231" s="10"/>
      <c r="BC231" s="30"/>
      <c r="BD231" s="10"/>
    </row>
    <row r="232" ht="15.75" customHeight="1">
      <c r="B232" s="30"/>
      <c r="C232" s="10"/>
      <c r="I232" s="30"/>
      <c r="J232" s="10"/>
      <c r="P232" s="30"/>
      <c r="Q232" s="10"/>
      <c r="W232" s="30"/>
      <c r="X232" s="10"/>
      <c r="AD232" s="30"/>
      <c r="AE232" s="35"/>
      <c r="AF232" s="35"/>
      <c r="AG232" s="10"/>
      <c r="AK232" s="30"/>
      <c r="AL232" s="10"/>
      <c r="AT232" s="30"/>
      <c r="AU232" s="10"/>
      <c r="BC232" s="30"/>
      <c r="BD232" s="10"/>
    </row>
    <row r="233" ht="15.75" customHeight="1">
      <c r="B233" s="30"/>
      <c r="C233" s="10"/>
      <c r="I233" s="30"/>
      <c r="J233" s="10"/>
      <c r="P233" s="30"/>
      <c r="Q233" s="10"/>
      <c r="W233" s="30"/>
      <c r="X233" s="10"/>
      <c r="AD233" s="30"/>
      <c r="AE233" s="35"/>
      <c r="AF233" s="35"/>
      <c r="AG233" s="10"/>
      <c r="AK233" s="30"/>
      <c r="AL233" s="10"/>
      <c r="AT233" s="30"/>
      <c r="AU233" s="10"/>
      <c r="BC233" s="30"/>
      <c r="BD233" s="10"/>
    </row>
    <row r="234" ht="15.75" customHeight="1">
      <c r="B234" s="30"/>
      <c r="C234" s="10"/>
      <c r="I234" s="30"/>
      <c r="J234" s="10"/>
      <c r="P234" s="30"/>
      <c r="Q234" s="10"/>
      <c r="W234" s="30"/>
      <c r="X234" s="10"/>
      <c r="AD234" s="30"/>
      <c r="AE234" s="35"/>
      <c r="AF234" s="35"/>
      <c r="AG234" s="10"/>
      <c r="AK234" s="30"/>
      <c r="AL234" s="10"/>
      <c r="AT234" s="30"/>
      <c r="AU234" s="10"/>
      <c r="BC234" s="30"/>
      <c r="BD234" s="10"/>
    </row>
    <row r="235" ht="15.75" customHeight="1">
      <c r="B235" s="30"/>
      <c r="C235" s="10"/>
      <c r="I235" s="30"/>
      <c r="J235" s="10"/>
      <c r="P235" s="30"/>
      <c r="Q235" s="10"/>
      <c r="W235" s="30"/>
      <c r="X235" s="10"/>
      <c r="AD235" s="30"/>
      <c r="AE235" s="35"/>
      <c r="AF235" s="35"/>
      <c r="AG235" s="10"/>
      <c r="AK235" s="30"/>
      <c r="AL235" s="10"/>
      <c r="AT235" s="30"/>
      <c r="AU235" s="10"/>
      <c r="BC235" s="30"/>
      <c r="BD235" s="10"/>
    </row>
    <row r="236" ht="15.75" customHeight="1">
      <c r="B236" s="30"/>
      <c r="C236" s="10"/>
      <c r="I236" s="30"/>
      <c r="J236" s="10"/>
      <c r="P236" s="30"/>
      <c r="Q236" s="10"/>
      <c r="W236" s="30"/>
      <c r="X236" s="10"/>
      <c r="AD236" s="30"/>
      <c r="AE236" s="35"/>
      <c r="AF236" s="35"/>
      <c r="AG236" s="10"/>
      <c r="AK236" s="30"/>
      <c r="AL236" s="10"/>
      <c r="AT236" s="30"/>
      <c r="AU236" s="10"/>
      <c r="BC236" s="30"/>
      <c r="BD236" s="10"/>
    </row>
    <row r="237" ht="15.75" customHeight="1">
      <c r="B237" s="30"/>
      <c r="C237" s="10"/>
      <c r="I237" s="30"/>
      <c r="J237" s="10"/>
      <c r="P237" s="30"/>
      <c r="Q237" s="10"/>
      <c r="W237" s="30"/>
      <c r="X237" s="10"/>
      <c r="AD237" s="30"/>
      <c r="AE237" s="35"/>
      <c r="AF237" s="35"/>
      <c r="AG237" s="10"/>
      <c r="AK237" s="30"/>
      <c r="AL237" s="10"/>
      <c r="AT237" s="30"/>
      <c r="AU237" s="10"/>
      <c r="BC237" s="30"/>
      <c r="BD237" s="10"/>
    </row>
    <row r="238" ht="15.75" customHeight="1">
      <c r="B238" s="30"/>
      <c r="C238" s="10"/>
      <c r="I238" s="30"/>
      <c r="J238" s="10"/>
      <c r="P238" s="30"/>
      <c r="Q238" s="10"/>
      <c r="W238" s="30"/>
      <c r="X238" s="10"/>
      <c r="AD238" s="30"/>
      <c r="AE238" s="35"/>
      <c r="AF238" s="35"/>
      <c r="AG238" s="10"/>
      <c r="AK238" s="30"/>
      <c r="AL238" s="10"/>
      <c r="AT238" s="30"/>
      <c r="AU238" s="10"/>
      <c r="BC238" s="30"/>
      <c r="BD238" s="10"/>
    </row>
    <row r="239" ht="15.75" customHeight="1">
      <c r="B239" s="30"/>
      <c r="C239" s="10"/>
      <c r="I239" s="30"/>
      <c r="J239" s="10"/>
      <c r="P239" s="30"/>
      <c r="Q239" s="10"/>
      <c r="W239" s="30"/>
      <c r="X239" s="10"/>
      <c r="AD239" s="30"/>
      <c r="AE239" s="35"/>
      <c r="AF239" s="35"/>
      <c r="AG239" s="10"/>
      <c r="AK239" s="30"/>
      <c r="AL239" s="10"/>
      <c r="AT239" s="30"/>
      <c r="AU239" s="10"/>
      <c r="BC239" s="30"/>
      <c r="BD239" s="10"/>
    </row>
    <row r="240" ht="15.75" customHeight="1">
      <c r="B240" s="30"/>
      <c r="C240" s="10"/>
      <c r="I240" s="30"/>
      <c r="J240" s="10"/>
      <c r="P240" s="30"/>
      <c r="Q240" s="10"/>
      <c r="W240" s="30"/>
      <c r="X240" s="10"/>
      <c r="AD240" s="30"/>
      <c r="AE240" s="35"/>
      <c r="AF240" s="35"/>
      <c r="AG240" s="10"/>
      <c r="AK240" s="30"/>
      <c r="AL240" s="10"/>
      <c r="AT240" s="30"/>
      <c r="AU240" s="10"/>
      <c r="BC240" s="30"/>
      <c r="BD240" s="10"/>
    </row>
    <row r="241" ht="15.75" customHeight="1">
      <c r="B241" s="30"/>
      <c r="C241" s="10"/>
      <c r="I241" s="30"/>
      <c r="J241" s="10"/>
      <c r="P241" s="30"/>
      <c r="Q241" s="10"/>
      <c r="W241" s="30"/>
      <c r="X241" s="10"/>
      <c r="AD241" s="30"/>
      <c r="AE241" s="35"/>
      <c r="AF241" s="35"/>
      <c r="AG241" s="10"/>
      <c r="AK241" s="30"/>
      <c r="AL241" s="10"/>
      <c r="AT241" s="30"/>
      <c r="AU241" s="10"/>
      <c r="BC241" s="30"/>
      <c r="BD241" s="10"/>
    </row>
    <row r="242" ht="15.75" customHeight="1">
      <c r="B242" s="30"/>
      <c r="C242" s="10"/>
      <c r="I242" s="30"/>
      <c r="J242" s="10"/>
      <c r="P242" s="30"/>
      <c r="Q242" s="10"/>
      <c r="W242" s="30"/>
      <c r="X242" s="10"/>
      <c r="AD242" s="30"/>
      <c r="AE242" s="35"/>
      <c r="AF242" s="35"/>
      <c r="AG242" s="10"/>
      <c r="AK242" s="30"/>
      <c r="AL242" s="10"/>
      <c r="AT242" s="30"/>
      <c r="AU242" s="10"/>
      <c r="BC242" s="30"/>
      <c r="BD242" s="10"/>
    </row>
    <row r="243" ht="15.75" customHeight="1">
      <c r="B243" s="30"/>
      <c r="C243" s="10"/>
      <c r="I243" s="30"/>
      <c r="J243" s="10"/>
      <c r="P243" s="30"/>
      <c r="Q243" s="10"/>
      <c r="W243" s="30"/>
      <c r="X243" s="10"/>
      <c r="AD243" s="30"/>
      <c r="AE243" s="35"/>
      <c r="AF243" s="35"/>
      <c r="AG243" s="10"/>
      <c r="AK243" s="30"/>
      <c r="AL243" s="10"/>
      <c r="AT243" s="30"/>
      <c r="AU243" s="10"/>
      <c r="BC243" s="30"/>
      <c r="BD243" s="10"/>
    </row>
    <row r="244" ht="15.75" customHeight="1">
      <c r="B244" s="30"/>
      <c r="C244" s="10"/>
      <c r="I244" s="30"/>
      <c r="J244" s="10"/>
      <c r="P244" s="30"/>
      <c r="Q244" s="10"/>
      <c r="W244" s="30"/>
      <c r="X244" s="10"/>
      <c r="AD244" s="30"/>
      <c r="AE244" s="35"/>
      <c r="AF244" s="35"/>
      <c r="AG244" s="10"/>
      <c r="AK244" s="30"/>
      <c r="AL244" s="10"/>
      <c r="AT244" s="30"/>
      <c r="AU244" s="10"/>
      <c r="BC244" s="30"/>
      <c r="BD244" s="10"/>
    </row>
    <row r="245" ht="15.75" customHeight="1">
      <c r="B245" s="30"/>
      <c r="C245" s="10"/>
      <c r="I245" s="30"/>
      <c r="J245" s="10"/>
      <c r="P245" s="30"/>
      <c r="Q245" s="10"/>
      <c r="W245" s="30"/>
      <c r="X245" s="10"/>
      <c r="AD245" s="30"/>
      <c r="AE245" s="35"/>
      <c r="AF245" s="35"/>
      <c r="AG245" s="10"/>
      <c r="AK245" s="30"/>
      <c r="AL245" s="10"/>
      <c r="AT245" s="30"/>
      <c r="AU245" s="10"/>
      <c r="BC245" s="30"/>
      <c r="BD245" s="10"/>
    </row>
    <row r="246" ht="15.75" customHeight="1">
      <c r="B246" s="30"/>
      <c r="C246" s="10"/>
      <c r="I246" s="30"/>
      <c r="J246" s="10"/>
      <c r="P246" s="30"/>
      <c r="Q246" s="10"/>
      <c r="W246" s="30"/>
      <c r="X246" s="10"/>
      <c r="AD246" s="30"/>
      <c r="AE246" s="35"/>
      <c r="AF246" s="35"/>
      <c r="AG246" s="10"/>
      <c r="AK246" s="30"/>
      <c r="AL246" s="10"/>
      <c r="AT246" s="30"/>
      <c r="AU246" s="10"/>
      <c r="BC246" s="30"/>
      <c r="BD246" s="10"/>
    </row>
    <row r="247" ht="15.75" customHeight="1">
      <c r="B247" s="30"/>
      <c r="C247" s="10"/>
      <c r="I247" s="30"/>
      <c r="J247" s="10"/>
      <c r="P247" s="30"/>
      <c r="Q247" s="10"/>
      <c r="W247" s="30"/>
      <c r="X247" s="10"/>
      <c r="AD247" s="30"/>
      <c r="AE247" s="35"/>
      <c r="AF247" s="35"/>
      <c r="AG247" s="10"/>
      <c r="AK247" s="30"/>
      <c r="AL247" s="10"/>
      <c r="AT247" s="30"/>
      <c r="AU247" s="10"/>
      <c r="BC247" s="30"/>
      <c r="BD247" s="10"/>
    </row>
    <row r="248" ht="15.75" customHeight="1">
      <c r="B248" s="30"/>
      <c r="C248" s="10"/>
      <c r="I248" s="30"/>
      <c r="J248" s="10"/>
      <c r="P248" s="30"/>
      <c r="Q248" s="10"/>
      <c r="W248" s="30"/>
      <c r="X248" s="10"/>
      <c r="AD248" s="30"/>
      <c r="AE248" s="35"/>
      <c r="AF248" s="35"/>
      <c r="AG248" s="10"/>
      <c r="AK248" s="30"/>
      <c r="AL248" s="10"/>
      <c r="AT248" s="30"/>
      <c r="AU248" s="10"/>
      <c r="BC248" s="30"/>
      <c r="BD248" s="10"/>
    </row>
    <row r="249" ht="15.75" customHeight="1">
      <c r="B249" s="30"/>
      <c r="C249" s="10"/>
      <c r="I249" s="30"/>
      <c r="J249" s="10"/>
      <c r="P249" s="30"/>
      <c r="Q249" s="10"/>
      <c r="W249" s="30"/>
      <c r="X249" s="10"/>
      <c r="AD249" s="30"/>
      <c r="AE249" s="35"/>
      <c r="AF249" s="35"/>
      <c r="AG249" s="10"/>
      <c r="AK249" s="30"/>
      <c r="AL249" s="10"/>
      <c r="AT249" s="30"/>
      <c r="AU249" s="10"/>
      <c r="BC249" s="30"/>
      <c r="BD249" s="10"/>
    </row>
    <row r="250" ht="15.75" customHeight="1">
      <c r="B250" s="30"/>
      <c r="C250" s="10"/>
      <c r="I250" s="30"/>
      <c r="J250" s="10"/>
      <c r="P250" s="30"/>
      <c r="Q250" s="10"/>
      <c r="W250" s="30"/>
      <c r="X250" s="10"/>
      <c r="AD250" s="30"/>
      <c r="AE250" s="35"/>
      <c r="AF250" s="35"/>
      <c r="AG250" s="10"/>
      <c r="AK250" s="30"/>
      <c r="AL250" s="10"/>
      <c r="AT250" s="30"/>
      <c r="AU250" s="10"/>
      <c r="BC250" s="30"/>
      <c r="BD250" s="10"/>
    </row>
    <row r="251" ht="15.75" customHeight="1">
      <c r="B251" s="30"/>
      <c r="C251" s="10"/>
      <c r="I251" s="30"/>
      <c r="J251" s="10"/>
      <c r="P251" s="30"/>
      <c r="Q251" s="10"/>
      <c r="W251" s="30"/>
      <c r="X251" s="10"/>
      <c r="AD251" s="30"/>
      <c r="AE251" s="35"/>
      <c r="AF251" s="35"/>
      <c r="AG251" s="10"/>
      <c r="AK251" s="30"/>
      <c r="AL251" s="10"/>
      <c r="AT251" s="30"/>
      <c r="AU251" s="10"/>
      <c r="BC251" s="30"/>
      <c r="BD251" s="10"/>
    </row>
    <row r="252" ht="15.75" customHeight="1">
      <c r="B252" s="30"/>
      <c r="C252" s="10"/>
      <c r="I252" s="30"/>
      <c r="J252" s="10"/>
      <c r="P252" s="30"/>
      <c r="Q252" s="10"/>
      <c r="W252" s="30"/>
      <c r="X252" s="10"/>
      <c r="AD252" s="30"/>
      <c r="AE252" s="35"/>
      <c r="AF252" s="35"/>
      <c r="AG252" s="10"/>
      <c r="AK252" s="30"/>
      <c r="AL252" s="10"/>
      <c r="AT252" s="30"/>
      <c r="AU252" s="10"/>
      <c r="BC252" s="30"/>
      <c r="BD252" s="10"/>
    </row>
    <row r="253" ht="15.75" customHeight="1">
      <c r="B253" s="30"/>
      <c r="C253" s="10"/>
      <c r="I253" s="30"/>
      <c r="J253" s="10"/>
      <c r="P253" s="30"/>
      <c r="Q253" s="10"/>
      <c r="W253" s="30"/>
      <c r="X253" s="10"/>
      <c r="AD253" s="30"/>
      <c r="AE253" s="35"/>
      <c r="AF253" s="35"/>
      <c r="AG253" s="10"/>
      <c r="AK253" s="30"/>
      <c r="AL253" s="10"/>
      <c r="AT253" s="30"/>
      <c r="AU253" s="10"/>
      <c r="BC253" s="30"/>
      <c r="BD253" s="10"/>
    </row>
    <row r="254" ht="15.75" customHeight="1">
      <c r="B254" s="30"/>
      <c r="C254" s="10"/>
      <c r="I254" s="30"/>
      <c r="J254" s="10"/>
      <c r="P254" s="30"/>
      <c r="Q254" s="10"/>
      <c r="W254" s="30"/>
      <c r="X254" s="10"/>
      <c r="AD254" s="30"/>
      <c r="AE254" s="35"/>
      <c r="AF254" s="35"/>
      <c r="AG254" s="10"/>
      <c r="AK254" s="30"/>
      <c r="AL254" s="10"/>
      <c r="AT254" s="30"/>
      <c r="AU254" s="10"/>
      <c r="BC254" s="30"/>
      <c r="BD254" s="10"/>
    </row>
    <row r="255" ht="15.75" customHeight="1">
      <c r="B255" s="30"/>
      <c r="C255" s="10"/>
      <c r="I255" s="30"/>
      <c r="J255" s="10"/>
      <c r="P255" s="30"/>
      <c r="Q255" s="10"/>
      <c r="W255" s="30"/>
      <c r="X255" s="10"/>
      <c r="AD255" s="30"/>
      <c r="AE255" s="35"/>
      <c r="AF255" s="35"/>
      <c r="AG255" s="10"/>
      <c r="AK255" s="30"/>
      <c r="AL255" s="10"/>
      <c r="AT255" s="30"/>
      <c r="AU255" s="10"/>
      <c r="BC255" s="30"/>
      <c r="BD255" s="10"/>
    </row>
    <row r="256" ht="15.75" customHeight="1">
      <c r="B256" s="30"/>
      <c r="C256" s="10"/>
      <c r="I256" s="30"/>
      <c r="J256" s="10"/>
      <c r="P256" s="30"/>
      <c r="Q256" s="10"/>
      <c r="W256" s="30"/>
      <c r="X256" s="10"/>
      <c r="AD256" s="30"/>
      <c r="AE256" s="35"/>
      <c r="AF256" s="35"/>
      <c r="AG256" s="10"/>
      <c r="AK256" s="30"/>
      <c r="AL256" s="10"/>
      <c r="AT256" s="30"/>
      <c r="AU256" s="10"/>
      <c r="BC256" s="30"/>
      <c r="BD256" s="10"/>
    </row>
    <row r="257" ht="15.75" customHeight="1">
      <c r="B257" s="30"/>
      <c r="C257" s="10"/>
      <c r="I257" s="30"/>
      <c r="J257" s="10"/>
      <c r="P257" s="30"/>
      <c r="Q257" s="10"/>
      <c r="W257" s="30"/>
      <c r="X257" s="10"/>
      <c r="AD257" s="30"/>
      <c r="AE257" s="35"/>
      <c r="AF257" s="35"/>
      <c r="AG257" s="10"/>
      <c r="AK257" s="30"/>
      <c r="AL257" s="10"/>
      <c r="AT257" s="30"/>
      <c r="AU257" s="10"/>
      <c r="BC257" s="30"/>
      <c r="BD257" s="10"/>
    </row>
    <row r="258" ht="15.75" customHeight="1">
      <c r="B258" s="30"/>
      <c r="C258" s="10"/>
      <c r="I258" s="30"/>
      <c r="J258" s="10"/>
      <c r="P258" s="30"/>
      <c r="Q258" s="10"/>
      <c r="W258" s="30"/>
      <c r="X258" s="10"/>
      <c r="AD258" s="30"/>
      <c r="AE258" s="35"/>
      <c r="AF258" s="35"/>
      <c r="AG258" s="10"/>
      <c r="AK258" s="30"/>
      <c r="AL258" s="10"/>
      <c r="AT258" s="30"/>
      <c r="AU258" s="10"/>
      <c r="BC258" s="30"/>
      <c r="BD258" s="10"/>
    </row>
    <row r="259" ht="15.75" customHeight="1">
      <c r="B259" s="30"/>
      <c r="C259" s="10"/>
      <c r="I259" s="30"/>
      <c r="J259" s="10"/>
      <c r="P259" s="30"/>
      <c r="Q259" s="10"/>
      <c r="W259" s="30"/>
      <c r="X259" s="10"/>
      <c r="AD259" s="30"/>
      <c r="AE259" s="35"/>
      <c r="AF259" s="35"/>
      <c r="AG259" s="10"/>
      <c r="AK259" s="30"/>
      <c r="AL259" s="10"/>
      <c r="AT259" s="30"/>
      <c r="AU259" s="10"/>
      <c r="BC259" s="30"/>
      <c r="BD259" s="10"/>
    </row>
    <row r="260" ht="15.75" customHeight="1">
      <c r="B260" s="30"/>
      <c r="C260" s="10"/>
      <c r="I260" s="30"/>
      <c r="J260" s="10"/>
      <c r="P260" s="30"/>
      <c r="Q260" s="10"/>
      <c r="W260" s="30"/>
      <c r="X260" s="10"/>
      <c r="AD260" s="30"/>
      <c r="AE260" s="35"/>
      <c r="AF260" s="35"/>
      <c r="AG260" s="10"/>
      <c r="AK260" s="30"/>
      <c r="AL260" s="10"/>
      <c r="AT260" s="30"/>
      <c r="AU260" s="10"/>
      <c r="BC260" s="30"/>
      <c r="BD260" s="10"/>
    </row>
    <row r="261" ht="15.75" customHeight="1">
      <c r="B261" s="30"/>
      <c r="C261" s="10"/>
      <c r="I261" s="30"/>
      <c r="J261" s="10"/>
      <c r="P261" s="30"/>
      <c r="Q261" s="10"/>
      <c r="W261" s="30"/>
      <c r="X261" s="10"/>
      <c r="AD261" s="30"/>
      <c r="AE261" s="35"/>
      <c r="AF261" s="35"/>
      <c r="AG261" s="10"/>
      <c r="AK261" s="30"/>
      <c r="AL261" s="10"/>
      <c r="AT261" s="30"/>
      <c r="AU261" s="10"/>
      <c r="BC261" s="30"/>
      <c r="BD261" s="10"/>
    </row>
    <row r="262" ht="15.75" customHeight="1">
      <c r="B262" s="30"/>
      <c r="C262" s="10"/>
      <c r="I262" s="30"/>
      <c r="J262" s="10"/>
      <c r="P262" s="30"/>
      <c r="Q262" s="10"/>
      <c r="W262" s="30"/>
      <c r="X262" s="10"/>
      <c r="AD262" s="30"/>
      <c r="AE262" s="35"/>
      <c r="AF262" s="35"/>
      <c r="AG262" s="10"/>
      <c r="AK262" s="30"/>
      <c r="AL262" s="10"/>
      <c r="AT262" s="30"/>
      <c r="AU262" s="10"/>
      <c r="BC262" s="30"/>
      <c r="BD262" s="10"/>
    </row>
    <row r="263" ht="15.75" customHeight="1">
      <c r="B263" s="30"/>
      <c r="C263" s="10"/>
      <c r="I263" s="30"/>
      <c r="J263" s="10"/>
      <c r="P263" s="30"/>
      <c r="Q263" s="10"/>
      <c r="W263" s="30"/>
      <c r="X263" s="10"/>
      <c r="AD263" s="30"/>
      <c r="AE263" s="35"/>
      <c r="AF263" s="35"/>
      <c r="AG263" s="10"/>
      <c r="AK263" s="30"/>
      <c r="AL263" s="10"/>
      <c r="AT263" s="30"/>
      <c r="AU263" s="10"/>
      <c r="BC263" s="30"/>
      <c r="BD263" s="10"/>
    </row>
    <row r="264" ht="15.75" customHeight="1">
      <c r="B264" s="30"/>
      <c r="C264" s="10"/>
      <c r="I264" s="30"/>
      <c r="J264" s="10"/>
      <c r="P264" s="30"/>
      <c r="Q264" s="10"/>
      <c r="W264" s="30"/>
      <c r="X264" s="10"/>
      <c r="AD264" s="30"/>
      <c r="AE264" s="35"/>
      <c r="AF264" s="35"/>
      <c r="AG264" s="10"/>
      <c r="AK264" s="30"/>
      <c r="AL264" s="10"/>
      <c r="AT264" s="30"/>
      <c r="AU264" s="10"/>
      <c r="BC264" s="30"/>
      <c r="BD264" s="10"/>
    </row>
    <row r="265" ht="15.75" customHeight="1">
      <c r="B265" s="30"/>
      <c r="C265" s="10"/>
      <c r="I265" s="30"/>
      <c r="J265" s="10"/>
      <c r="P265" s="30"/>
      <c r="Q265" s="10"/>
      <c r="W265" s="30"/>
      <c r="X265" s="10"/>
      <c r="AD265" s="30"/>
      <c r="AE265" s="35"/>
      <c r="AF265" s="35"/>
      <c r="AG265" s="10"/>
      <c r="AK265" s="30"/>
      <c r="AL265" s="10"/>
      <c r="AT265" s="30"/>
      <c r="AU265" s="10"/>
      <c r="BC265" s="30"/>
      <c r="BD265" s="10"/>
    </row>
    <row r="266" ht="15.75" customHeight="1">
      <c r="B266" s="30"/>
      <c r="C266" s="10"/>
      <c r="I266" s="30"/>
      <c r="J266" s="10"/>
      <c r="P266" s="30"/>
      <c r="Q266" s="10"/>
      <c r="W266" s="30"/>
      <c r="X266" s="10"/>
      <c r="AD266" s="30"/>
      <c r="AE266" s="35"/>
      <c r="AF266" s="35"/>
      <c r="AG266" s="10"/>
      <c r="AK266" s="30"/>
      <c r="AL266" s="10"/>
      <c r="AT266" s="30"/>
      <c r="AU266" s="10"/>
      <c r="BC266" s="30"/>
      <c r="BD266" s="10"/>
    </row>
    <row r="267" ht="15.75" customHeight="1">
      <c r="B267" s="30"/>
      <c r="C267" s="10"/>
      <c r="I267" s="30"/>
      <c r="J267" s="10"/>
      <c r="P267" s="30"/>
      <c r="Q267" s="10"/>
      <c r="W267" s="30"/>
      <c r="X267" s="10"/>
      <c r="AD267" s="30"/>
      <c r="AE267" s="35"/>
      <c r="AF267" s="35"/>
      <c r="AG267" s="10"/>
      <c r="AK267" s="30"/>
      <c r="AL267" s="10"/>
      <c r="AT267" s="30"/>
      <c r="AU267" s="10"/>
      <c r="BC267" s="30"/>
      <c r="BD267" s="10"/>
    </row>
    <row r="268" ht="15.75" customHeight="1">
      <c r="B268" s="30"/>
      <c r="C268" s="10"/>
      <c r="I268" s="30"/>
      <c r="J268" s="10"/>
      <c r="P268" s="30"/>
      <c r="Q268" s="10"/>
      <c r="W268" s="30"/>
      <c r="X268" s="10"/>
      <c r="AD268" s="30"/>
      <c r="AE268" s="35"/>
      <c r="AF268" s="35"/>
      <c r="AG268" s="10"/>
      <c r="AK268" s="30"/>
      <c r="AL268" s="10"/>
      <c r="AT268" s="30"/>
      <c r="AU268" s="10"/>
      <c r="BC268" s="30"/>
      <c r="BD268" s="10"/>
    </row>
    <row r="269" ht="15.75" customHeight="1">
      <c r="B269" s="30"/>
      <c r="C269" s="10"/>
      <c r="I269" s="30"/>
      <c r="J269" s="10"/>
      <c r="P269" s="30"/>
      <c r="Q269" s="10"/>
      <c r="W269" s="30"/>
      <c r="X269" s="10"/>
      <c r="AD269" s="30"/>
      <c r="AE269" s="35"/>
      <c r="AF269" s="35"/>
      <c r="AG269" s="10"/>
      <c r="AK269" s="30"/>
      <c r="AL269" s="10"/>
      <c r="AT269" s="30"/>
      <c r="AU269" s="10"/>
      <c r="BC269" s="30"/>
      <c r="BD269" s="10"/>
    </row>
    <row r="270" ht="15.75" customHeight="1">
      <c r="B270" s="30"/>
      <c r="C270" s="10"/>
      <c r="I270" s="30"/>
      <c r="J270" s="10"/>
      <c r="P270" s="30"/>
      <c r="Q270" s="10"/>
      <c r="W270" s="30"/>
      <c r="X270" s="10"/>
      <c r="AD270" s="30"/>
      <c r="AE270" s="35"/>
      <c r="AF270" s="35"/>
      <c r="AG270" s="10"/>
      <c r="AK270" s="30"/>
      <c r="AL270" s="10"/>
      <c r="AT270" s="30"/>
      <c r="AU270" s="10"/>
      <c r="BC270" s="30"/>
      <c r="BD270" s="10"/>
    </row>
    <row r="271" ht="15.75" customHeight="1">
      <c r="B271" s="30"/>
      <c r="C271" s="10"/>
      <c r="I271" s="30"/>
      <c r="J271" s="10"/>
      <c r="P271" s="30"/>
      <c r="Q271" s="10"/>
      <c r="W271" s="30"/>
      <c r="X271" s="10"/>
      <c r="AD271" s="30"/>
      <c r="AE271" s="35"/>
      <c r="AF271" s="35"/>
      <c r="AG271" s="10"/>
      <c r="AK271" s="30"/>
      <c r="AL271" s="10"/>
      <c r="AT271" s="30"/>
      <c r="AU271" s="10"/>
      <c r="BC271" s="30"/>
      <c r="BD271" s="10"/>
    </row>
    <row r="272" ht="15.75" customHeight="1">
      <c r="B272" s="30"/>
      <c r="C272" s="10"/>
      <c r="I272" s="30"/>
      <c r="J272" s="10"/>
      <c r="P272" s="30"/>
      <c r="Q272" s="10"/>
      <c r="W272" s="30"/>
      <c r="X272" s="10"/>
      <c r="AD272" s="30"/>
      <c r="AE272" s="35"/>
      <c r="AF272" s="35"/>
      <c r="AG272" s="10"/>
      <c r="AK272" s="30"/>
      <c r="AL272" s="10"/>
      <c r="AT272" s="30"/>
      <c r="AU272" s="10"/>
      <c r="BC272" s="30"/>
      <c r="BD272" s="10"/>
    </row>
    <row r="273" ht="15.75" customHeight="1">
      <c r="B273" s="30"/>
      <c r="C273" s="10"/>
      <c r="I273" s="30"/>
      <c r="J273" s="10"/>
      <c r="P273" s="30"/>
      <c r="Q273" s="10"/>
      <c r="W273" s="30"/>
      <c r="X273" s="10"/>
      <c r="AD273" s="30"/>
      <c r="AE273" s="35"/>
      <c r="AF273" s="35"/>
      <c r="AG273" s="10"/>
      <c r="AK273" s="30"/>
      <c r="AL273" s="10"/>
      <c r="AT273" s="30"/>
      <c r="AU273" s="10"/>
      <c r="BC273" s="30"/>
      <c r="BD273" s="10"/>
    </row>
    <row r="274" ht="15.75" customHeight="1">
      <c r="B274" s="30"/>
      <c r="C274" s="10"/>
      <c r="I274" s="30"/>
      <c r="J274" s="10"/>
      <c r="P274" s="30"/>
      <c r="Q274" s="10"/>
      <c r="W274" s="30"/>
      <c r="X274" s="10"/>
      <c r="AD274" s="30"/>
      <c r="AE274" s="35"/>
      <c r="AF274" s="35"/>
      <c r="AG274" s="10"/>
      <c r="AK274" s="30"/>
      <c r="AL274" s="10"/>
      <c r="AT274" s="30"/>
      <c r="AU274" s="10"/>
      <c r="BC274" s="30"/>
      <c r="BD274" s="10"/>
    </row>
    <row r="275" ht="15.75" customHeight="1">
      <c r="B275" s="30"/>
      <c r="C275" s="10"/>
      <c r="I275" s="30"/>
      <c r="J275" s="10"/>
      <c r="P275" s="30"/>
      <c r="Q275" s="10"/>
      <c r="W275" s="30"/>
      <c r="X275" s="10"/>
      <c r="AD275" s="30"/>
      <c r="AE275" s="35"/>
      <c r="AF275" s="35"/>
      <c r="AG275" s="10"/>
      <c r="AK275" s="30"/>
      <c r="AL275" s="10"/>
      <c r="AT275" s="30"/>
      <c r="AU275" s="10"/>
      <c r="BC275" s="30"/>
      <c r="BD275" s="10"/>
    </row>
    <row r="276" ht="15.75" customHeight="1">
      <c r="B276" s="30"/>
      <c r="C276" s="10"/>
      <c r="I276" s="30"/>
      <c r="J276" s="10"/>
      <c r="P276" s="30"/>
      <c r="Q276" s="10"/>
      <c r="W276" s="30"/>
      <c r="X276" s="10"/>
      <c r="AD276" s="30"/>
      <c r="AE276" s="35"/>
      <c r="AF276" s="35"/>
      <c r="AG276" s="10"/>
      <c r="AK276" s="30"/>
      <c r="AL276" s="10"/>
      <c r="AT276" s="30"/>
      <c r="AU276" s="10"/>
      <c r="BC276" s="30"/>
      <c r="BD276" s="10"/>
    </row>
    <row r="277" ht="15.75" customHeight="1">
      <c r="B277" s="30"/>
      <c r="C277" s="10"/>
      <c r="I277" s="30"/>
      <c r="J277" s="10"/>
      <c r="P277" s="30"/>
      <c r="Q277" s="10"/>
      <c r="W277" s="30"/>
      <c r="X277" s="10"/>
      <c r="AD277" s="30"/>
      <c r="AE277" s="35"/>
      <c r="AF277" s="35"/>
      <c r="AG277" s="10"/>
      <c r="AK277" s="30"/>
      <c r="AL277" s="10"/>
      <c r="AT277" s="30"/>
      <c r="AU277" s="10"/>
      <c r="BC277" s="30"/>
      <c r="BD277" s="10"/>
    </row>
    <row r="278" ht="15.75" customHeight="1">
      <c r="B278" s="30"/>
      <c r="C278" s="10"/>
      <c r="I278" s="30"/>
      <c r="J278" s="10"/>
      <c r="P278" s="30"/>
      <c r="Q278" s="10"/>
      <c r="W278" s="30"/>
      <c r="X278" s="10"/>
      <c r="AD278" s="30"/>
      <c r="AE278" s="35"/>
      <c r="AF278" s="35"/>
      <c r="AG278" s="10"/>
      <c r="AK278" s="30"/>
      <c r="AL278" s="10"/>
      <c r="AT278" s="30"/>
      <c r="AU278" s="10"/>
      <c r="BC278" s="30"/>
      <c r="BD278" s="10"/>
    </row>
    <row r="279" ht="15.75" customHeight="1">
      <c r="B279" s="30"/>
      <c r="C279" s="10"/>
      <c r="I279" s="30"/>
      <c r="J279" s="10"/>
      <c r="P279" s="30"/>
      <c r="Q279" s="10"/>
      <c r="W279" s="30"/>
      <c r="X279" s="10"/>
      <c r="AD279" s="30"/>
      <c r="AE279" s="35"/>
      <c r="AF279" s="35"/>
      <c r="AG279" s="10"/>
      <c r="AK279" s="30"/>
      <c r="AL279" s="10"/>
      <c r="AT279" s="30"/>
      <c r="AU279" s="10"/>
      <c r="BC279" s="30"/>
      <c r="BD279" s="10"/>
    </row>
    <row r="280" ht="15.75" customHeight="1">
      <c r="B280" s="30"/>
      <c r="C280" s="10"/>
      <c r="I280" s="30"/>
      <c r="J280" s="10"/>
      <c r="P280" s="30"/>
      <c r="Q280" s="10"/>
      <c r="W280" s="30"/>
      <c r="X280" s="10"/>
      <c r="AD280" s="30"/>
      <c r="AE280" s="35"/>
      <c r="AF280" s="35"/>
      <c r="AG280" s="10"/>
      <c r="AK280" s="30"/>
      <c r="AL280" s="10"/>
      <c r="AT280" s="30"/>
      <c r="AU280" s="10"/>
      <c r="BC280" s="30"/>
      <c r="BD280" s="10"/>
    </row>
    <row r="281" ht="15.75" customHeight="1">
      <c r="B281" s="30"/>
      <c r="C281" s="10"/>
      <c r="I281" s="30"/>
      <c r="J281" s="10"/>
      <c r="P281" s="30"/>
      <c r="Q281" s="10"/>
      <c r="W281" s="30"/>
      <c r="X281" s="10"/>
      <c r="AD281" s="30"/>
      <c r="AE281" s="35"/>
      <c r="AF281" s="35"/>
      <c r="AG281" s="10"/>
      <c r="AK281" s="30"/>
      <c r="AL281" s="10"/>
      <c r="AT281" s="30"/>
      <c r="AU281" s="10"/>
      <c r="BC281" s="30"/>
      <c r="BD281" s="10"/>
    </row>
    <row r="282" ht="15.75" customHeight="1">
      <c r="B282" s="30"/>
      <c r="C282" s="10"/>
      <c r="I282" s="30"/>
      <c r="J282" s="10"/>
      <c r="P282" s="30"/>
      <c r="Q282" s="10"/>
      <c r="W282" s="30"/>
      <c r="X282" s="10"/>
      <c r="AD282" s="30"/>
      <c r="AE282" s="35"/>
      <c r="AF282" s="35"/>
      <c r="AG282" s="10"/>
      <c r="AK282" s="30"/>
      <c r="AL282" s="10"/>
      <c r="AT282" s="30"/>
      <c r="AU282" s="10"/>
      <c r="BC282" s="30"/>
      <c r="BD282" s="10"/>
    </row>
    <row r="283" ht="15.75" customHeight="1">
      <c r="B283" s="30"/>
      <c r="C283" s="10"/>
      <c r="I283" s="30"/>
      <c r="J283" s="10"/>
      <c r="P283" s="30"/>
      <c r="Q283" s="10"/>
      <c r="W283" s="30"/>
      <c r="X283" s="10"/>
      <c r="AD283" s="30"/>
      <c r="AE283" s="35"/>
      <c r="AF283" s="35"/>
      <c r="AG283" s="10"/>
      <c r="AK283" s="30"/>
      <c r="AL283" s="10"/>
      <c r="AT283" s="30"/>
      <c r="AU283" s="10"/>
      <c r="BC283" s="30"/>
      <c r="BD283" s="10"/>
    </row>
    <row r="284" ht="15.75" customHeight="1">
      <c r="B284" s="30"/>
      <c r="C284" s="10"/>
      <c r="I284" s="30"/>
      <c r="J284" s="10"/>
      <c r="P284" s="30"/>
      <c r="Q284" s="10"/>
      <c r="W284" s="30"/>
      <c r="X284" s="10"/>
      <c r="AD284" s="30"/>
      <c r="AE284" s="35"/>
      <c r="AF284" s="35"/>
      <c r="AG284" s="10"/>
      <c r="AK284" s="30"/>
      <c r="AL284" s="10"/>
      <c r="AT284" s="30"/>
      <c r="AU284" s="10"/>
      <c r="BC284" s="30"/>
      <c r="BD284" s="10"/>
    </row>
    <row r="285" ht="15.75" customHeight="1">
      <c r="B285" s="30"/>
      <c r="C285" s="10"/>
      <c r="I285" s="30"/>
      <c r="J285" s="10"/>
      <c r="P285" s="30"/>
      <c r="Q285" s="10"/>
      <c r="W285" s="30"/>
      <c r="X285" s="10"/>
      <c r="AD285" s="30"/>
      <c r="AE285" s="35"/>
      <c r="AF285" s="35"/>
      <c r="AG285" s="10"/>
      <c r="AK285" s="30"/>
      <c r="AL285" s="10"/>
      <c r="AT285" s="30"/>
      <c r="AU285" s="10"/>
      <c r="BC285" s="30"/>
      <c r="BD285" s="10"/>
    </row>
    <row r="286" ht="15.75" customHeight="1">
      <c r="B286" s="30"/>
      <c r="C286" s="10"/>
      <c r="I286" s="30"/>
      <c r="J286" s="10"/>
      <c r="P286" s="30"/>
      <c r="Q286" s="10"/>
      <c r="W286" s="30"/>
      <c r="X286" s="10"/>
      <c r="AD286" s="30"/>
      <c r="AE286" s="35"/>
      <c r="AF286" s="35"/>
      <c r="AG286" s="10"/>
      <c r="AK286" s="30"/>
      <c r="AL286" s="10"/>
      <c r="AT286" s="30"/>
      <c r="AU286" s="10"/>
      <c r="BC286" s="30"/>
      <c r="BD286" s="10"/>
    </row>
    <row r="287" ht="15.75" customHeight="1">
      <c r="B287" s="30"/>
      <c r="C287" s="10"/>
      <c r="I287" s="30"/>
      <c r="J287" s="10"/>
      <c r="P287" s="30"/>
      <c r="Q287" s="10"/>
      <c r="W287" s="30"/>
      <c r="X287" s="10"/>
      <c r="AD287" s="30"/>
      <c r="AE287" s="35"/>
      <c r="AF287" s="35"/>
      <c r="AG287" s="10"/>
      <c r="AK287" s="30"/>
      <c r="AL287" s="10"/>
      <c r="AT287" s="30"/>
      <c r="AU287" s="10"/>
      <c r="BC287" s="30"/>
      <c r="BD287" s="10"/>
    </row>
    <row r="288" ht="15.75" customHeight="1">
      <c r="B288" s="30"/>
      <c r="C288" s="10"/>
      <c r="I288" s="30"/>
      <c r="J288" s="10"/>
      <c r="P288" s="30"/>
      <c r="Q288" s="10"/>
      <c r="W288" s="30"/>
      <c r="X288" s="10"/>
      <c r="AD288" s="30"/>
      <c r="AE288" s="35"/>
      <c r="AF288" s="35"/>
      <c r="AG288" s="10"/>
      <c r="AK288" s="30"/>
      <c r="AL288" s="10"/>
      <c r="AT288" s="30"/>
      <c r="AU288" s="10"/>
      <c r="BC288" s="30"/>
      <c r="BD288" s="10"/>
    </row>
    <row r="289" ht="15.75" customHeight="1">
      <c r="B289" s="30"/>
      <c r="C289" s="10"/>
      <c r="I289" s="30"/>
      <c r="J289" s="10"/>
      <c r="P289" s="30"/>
      <c r="Q289" s="10"/>
      <c r="W289" s="30"/>
      <c r="X289" s="10"/>
      <c r="AD289" s="30"/>
      <c r="AE289" s="35"/>
      <c r="AF289" s="35"/>
      <c r="AG289" s="10"/>
      <c r="AK289" s="30"/>
      <c r="AL289" s="10"/>
      <c r="AT289" s="30"/>
      <c r="AU289" s="10"/>
      <c r="BC289" s="30"/>
      <c r="BD289" s="10"/>
    </row>
    <row r="290" ht="15.75" customHeight="1">
      <c r="B290" s="30"/>
      <c r="C290" s="10"/>
      <c r="I290" s="30"/>
      <c r="J290" s="10"/>
      <c r="P290" s="30"/>
      <c r="Q290" s="10"/>
      <c r="W290" s="30"/>
      <c r="X290" s="10"/>
      <c r="AD290" s="30"/>
      <c r="AE290" s="35"/>
      <c r="AF290" s="35"/>
      <c r="AG290" s="10"/>
      <c r="AK290" s="30"/>
      <c r="AL290" s="10"/>
      <c r="AT290" s="30"/>
      <c r="AU290" s="10"/>
      <c r="BC290" s="30"/>
      <c r="BD290" s="10"/>
    </row>
    <row r="291" ht="15.75" customHeight="1">
      <c r="B291" s="30"/>
      <c r="C291" s="10"/>
      <c r="I291" s="30"/>
      <c r="J291" s="10"/>
      <c r="P291" s="30"/>
      <c r="Q291" s="10"/>
      <c r="W291" s="30"/>
      <c r="X291" s="10"/>
      <c r="AD291" s="30"/>
      <c r="AE291" s="35"/>
      <c r="AF291" s="35"/>
      <c r="AG291" s="10"/>
      <c r="AK291" s="30"/>
      <c r="AL291" s="10"/>
      <c r="AT291" s="30"/>
      <c r="AU291" s="10"/>
      <c r="BC291" s="30"/>
      <c r="BD291" s="10"/>
    </row>
    <row r="292" ht="15.75" customHeight="1">
      <c r="B292" s="30"/>
      <c r="C292" s="10"/>
      <c r="I292" s="30"/>
      <c r="J292" s="10"/>
      <c r="P292" s="30"/>
      <c r="Q292" s="10"/>
      <c r="W292" s="30"/>
      <c r="X292" s="10"/>
      <c r="AD292" s="30"/>
      <c r="AE292" s="35"/>
      <c r="AF292" s="35"/>
      <c r="AG292" s="10"/>
      <c r="AK292" s="30"/>
      <c r="AL292" s="10"/>
      <c r="AT292" s="30"/>
      <c r="AU292" s="10"/>
      <c r="BC292" s="30"/>
      <c r="BD292" s="10"/>
    </row>
    <row r="293" ht="15.75" customHeight="1">
      <c r="B293" s="30"/>
      <c r="C293" s="10"/>
      <c r="I293" s="30"/>
      <c r="J293" s="10"/>
      <c r="P293" s="30"/>
      <c r="Q293" s="10"/>
      <c r="W293" s="30"/>
      <c r="X293" s="10"/>
      <c r="AD293" s="30"/>
      <c r="AE293" s="35"/>
      <c r="AF293" s="35"/>
      <c r="AG293" s="10"/>
      <c r="AK293" s="30"/>
      <c r="AL293" s="10"/>
      <c r="AT293" s="30"/>
      <c r="AU293" s="10"/>
      <c r="BC293" s="30"/>
      <c r="BD293" s="10"/>
    </row>
    <row r="294" ht="15.75" customHeight="1">
      <c r="B294" s="30"/>
      <c r="C294" s="10"/>
      <c r="I294" s="30"/>
      <c r="J294" s="10"/>
      <c r="P294" s="30"/>
      <c r="Q294" s="10"/>
      <c r="W294" s="30"/>
      <c r="X294" s="10"/>
      <c r="AD294" s="30"/>
      <c r="AE294" s="35"/>
      <c r="AF294" s="35"/>
      <c r="AG294" s="10"/>
      <c r="AK294" s="30"/>
      <c r="AL294" s="10"/>
      <c r="AT294" s="30"/>
      <c r="AU294" s="10"/>
      <c r="BC294" s="30"/>
      <c r="BD294" s="10"/>
    </row>
    <row r="295" ht="15.75" customHeight="1">
      <c r="B295" s="30"/>
      <c r="C295" s="10"/>
      <c r="I295" s="30"/>
      <c r="J295" s="10"/>
      <c r="P295" s="30"/>
      <c r="Q295" s="10"/>
      <c r="W295" s="30"/>
      <c r="X295" s="10"/>
      <c r="AD295" s="30"/>
      <c r="AE295" s="35"/>
      <c r="AF295" s="35"/>
      <c r="AG295" s="10"/>
      <c r="AK295" s="30"/>
      <c r="AL295" s="10"/>
      <c r="AT295" s="30"/>
      <c r="AU295" s="10"/>
      <c r="BC295" s="30"/>
      <c r="BD295" s="10"/>
    </row>
    <row r="296" ht="15.75" customHeight="1">
      <c r="B296" s="30"/>
      <c r="C296" s="10"/>
      <c r="I296" s="30"/>
      <c r="J296" s="10"/>
      <c r="P296" s="30"/>
      <c r="Q296" s="10"/>
      <c r="W296" s="30"/>
      <c r="X296" s="10"/>
      <c r="AD296" s="30"/>
      <c r="AE296" s="35"/>
      <c r="AF296" s="35"/>
      <c r="AG296" s="10"/>
      <c r="AK296" s="30"/>
      <c r="AL296" s="10"/>
      <c r="AT296" s="30"/>
      <c r="AU296" s="10"/>
      <c r="BC296" s="30"/>
      <c r="BD296" s="10"/>
    </row>
    <row r="297" ht="15.75" customHeight="1">
      <c r="B297" s="30"/>
      <c r="C297" s="10"/>
      <c r="I297" s="30"/>
      <c r="J297" s="10"/>
      <c r="P297" s="30"/>
      <c r="Q297" s="10"/>
      <c r="W297" s="30"/>
      <c r="X297" s="10"/>
      <c r="AD297" s="30"/>
      <c r="AE297" s="35"/>
      <c r="AF297" s="35"/>
      <c r="AG297" s="10"/>
      <c r="AK297" s="30"/>
      <c r="AL297" s="10"/>
      <c r="AT297" s="30"/>
      <c r="AU297" s="10"/>
      <c r="BC297" s="30"/>
      <c r="BD297" s="10"/>
    </row>
    <row r="298" ht="15.75" customHeight="1">
      <c r="B298" s="30"/>
      <c r="C298" s="10"/>
      <c r="I298" s="30"/>
      <c r="J298" s="10"/>
      <c r="P298" s="30"/>
      <c r="Q298" s="10"/>
      <c r="W298" s="30"/>
      <c r="X298" s="10"/>
      <c r="AD298" s="30"/>
      <c r="AE298" s="35"/>
      <c r="AF298" s="35"/>
      <c r="AG298" s="10"/>
      <c r="AK298" s="30"/>
      <c r="AL298" s="10"/>
      <c r="AT298" s="30"/>
      <c r="AU298" s="10"/>
      <c r="BC298" s="30"/>
      <c r="BD298" s="10"/>
    </row>
    <row r="299" ht="15.75" customHeight="1">
      <c r="B299" s="30"/>
      <c r="C299" s="10"/>
      <c r="I299" s="30"/>
      <c r="J299" s="10"/>
      <c r="P299" s="30"/>
      <c r="Q299" s="10"/>
      <c r="W299" s="30"/>
      <c r="X299" s="10"/>
      <c r="AD299" s="30"/>
      <c r="AE299" s="35"/>
      <c r="AF299" s="35"/>
      <c r="AG299" s="10"/>
      <c r="AK299" s="30"/>
      <c r="AL299" s="10"/>
      <c r="AT299" s="30"/>
      <c r="AU299" s="10"/>
      <c r="BC299" s="30"/>
      <c r="BD299" s="10"/>
    </row>
    <row r="300" ht="15.75" customHeight="1">
      <c r="B300" s="30"/>
      <c r="C300" s="10"/>
      <c r="I300" s="30"/>
      <c r="J300" s="10"/>
      <c r="P300" s="30"/>
      <c r="Q300" s="10"/>
      <c r="W300" s="30"/>
      <c r="X300" s="10"/>
      <c r="AD300" s="30"/>
      <c r="AE300" s="35"/>
      <c r="AF300" s="35"/>
      <c r="AG300" s="10"/>
      <c r="AK300" s="30"/>
      <c r="AL300" s="10"/>
      <c r="AT300" s="30"/>
      <c r="AU300" s="10"/>
      <c r="BC300" s="30"/>
      <c r="BD300" s="10"/>
    </row>
    <row r="301" ht="15.75" customHeight="1">
      <c r="B301" s="30"/>
      <c r="C301" s="10"/>
      <c r="I301" s="30"/>
      <c r="J301" s="10"/>
      <c r="P301" s="30"/>
      <c r="Q301" s="10"/>
      <c r="W301" s="30"/>
      <c r="X301" s="10"/>
      <c r="AD301" s="30"/>
      <c r="AE301" s="35"/>
      <c r="AF301" s="35"/>
      <c r="AG301" s="10"/>
      <c r="AK301" s="30"/>
      <c r="AL301" s="10"/>
      <c r="AT301" s="30"/>
      <c r="AU301" s="10"/>
      <c r="BC301" s="30"/>
      <c r="BD301" s="10"/>
    </row>
    <row r="302" ht="15.75" customHeight="1">
      <c r="B302" s="30"/>
      <c r="C302" s="10"/>
      <c r="I302" s="30"/>
      <c r="J302" s="10"/>
      <c r="P302" s="30"/>
      <c r="Q302" s="10"/>
      <c r="W302" s="30"/>
      <c r="X302" s="10"/>
      <c r="AD302" s="30"/>
      <c r="AE302" s="35"/>
      <c r="AF302" s="35"/>
      <c r="AG302" s="10"/>
      <c r="AK302" s="30"/>
      <c r="AL302" s="10"/>
      <c r="AT302" s="30"/>
      <c r="AU302" s="10"/>
      <c r="BC302" s="30"/>
      <c r="BD302" s="10"/>
    </row>
    <row r="303" ht="15.75" customHeight="1">
      <c r="B303" s="30"/>
      <c r="C303" s="10"/>
      <c r="I303" s="30"/>
      <c r="J303" s="10"/>
      <c r="P303" s="30"/>
      <c r="Q303" s="10"/>
      <c r="W303" s="30"/>
      <c r="X303" s="10"/>
      <c r="AD303" s="30"/>
      <c r="AE303" s="35"/>
      <c r="AF303" s="35"/>
      <c r="AG303" s="10"/>
      <c r="AK303" s="30"/>
      <c r="AL303" s="10"/>
      <c r="AT303" s="30"/>
      <c r="AU303" s="10"/>
      <c r="BC303" s="30"/>
      <c r="BD303" s="10"/>
    </row>
    <row r="304" ht="15.75" customHeight="1">
      <c r="B304" s="30"/>
      <c r="C304" s="10"/>
      <c r="I304" s="30"/>
      <c r="J304" s="10"/>
      <c r="P304" s="30"/>
      <c r="Q304" s="10"/>
      <c r="W304" s="30"/>
      <c r="X304" s="10"/>
      <c r="AD304" s="30"/>
      <c r="AE304" s="35"/>
      <c r="AF304" s="35"/>
      <c r="AG304" s="10"/>
      <c r="AK304" s="30"/>
      <c r="AL304" s="10"/>
      <c r="AT304" s="30"/>
      <c r="AU304" s="10"/>
      <c r="BC304" s="30"/>
      <c r="BD304" s="10"/>
    </row>
    <row r="305" ht="15.75" customHeight="1">
      <c r="B305" s="30"/>
      <c r="C305" s="10"/>
      <c r="I305" s="30"/>
      <c r="J305" s="10"/>
      <c r="P305" s="30"/>
      <c r="Q305" s="10"/>
      <c r="W305" s="30"/>
      <c r="X305" s="10"/>
      <c r="AD305" s="30"/>
      <c r="AE305" s="35"/>
      <c r="AF305" s="35"/>
      <c r="AG305" s="10"/>
      <c r="AK305" s="30"/>
      <c r="AL305" s="10"/>
      <c r="AT305" s="30"/>
      <c r="AU305" s="10"/>
      <c r="BC305" s="30"/>
      <c r="BD305" s="10"/>
    </row>
    <row r="306" ht="15.75" customHeight="1">
      <c r="B306" s="30"/>
      <c r="C306" s="10"/>
      <c r="I306" s="30"/>
      <c r="J306" s="10"/>
      <c r="P306" s="30"/>
      <c r="Q306" s="10"/>
      <c r="W306" s="30"/>
      <c r="X306" s="10"/>
      <c r="AD306" s="30"/>
      <c r="AE306" s="35"/>
      <c r="AF306" s="35"/>
      <c r="AG306" s="10"/>
      <c r="AK306" s="30"/>
      <c r="AL306" s="10"/>
      <c r="AT306" s="30"/>
      <c r="AU306" s="10"/>
      <c r="BC306" s="30"/>
      <c r="BD306" s="10"/>
    </row>
    <row r="307" ht="15.75" customHeight="1">
      <c r="B307" s="30"/>
      <c r="C307" s="10"/>
      <c r="I307" s="30"/>
      <c r="J307" s="10"/>
      <c r="P307" s="30"/>
      <c r="Q307" s="10"/>
      <c r="W307" s="30"/>
      <c r="X307" s="10"/>
      <c r="AD307" s="30"/>
      <c r="AE307" s="35"/>
      <c r="AF307" s="35"/>
      <c r="AG307" s="10"/>
      <c r="AK307" s="30"/>
      <c r="AL307" s="10"/>
      <c r="AT307" s="30"/>
      <c r="AU307" s="10"/>
      <c r="BC307" s="30"/>
      <c r="BD307" s="10"/>
    </row>
    <row r="308" ht="15.75" customHeight="1">
      <c r="B308" s="30"/>
      <c r="C308" s="10"/>
      <c r="I308" s="30"/>
      <c r="J308" s="10"/>
      <c r="P308" s="30"/>
      <c r="Q308" s="10"/>
      <c r="W308" s="30"/>
      <c r="X308" s="10"/>
      <c r="AD308" s="30"/>
      <c r="AE308" s="35"/>
      <c r="AF308" s="35"/>
      <c r="AG308" s="10"/>
      <c r="AK308" s="30"/>
      <c r="AL308" s="10"/>
      <c r="AT308" s="30"/>
      <c r="AU308" s="10"/>
      <c r="BC308" s="30"/>
      <c r="BD308" s="10"/>
    </row>
    <row r="309" ht="15.75" customHeight="1">
      <c r="B309" s="30"/>
      <c r="C309" s="10"/>
      <c r="I309" s="30"/>
      <c r="J309" s="10"/>
      <c r="P309" s="30"/>
      <c r="Q309" s="10"/>
      <c r="W309" s="30"/>
      <c r="X309" s="10"/>
      <c r="AD309" s="30"/>
      <c r="AE309" s="35"/>
      <c r="AF309" s="35"/>
      <c r="AG309" s="10"/>
      <c r="AK309" s="30"/>
      <c r="AL309" s="10"/>
      <c r="AT309" s="30"/>
      <c r="AU309" s="10"/>
      <c r="BC309" s="30"/>
      <c r="BD309" s="10"/>
    </row>
    <row r="310" ht="15.75" customHeight="1">
      <c r="B310" s="30"/>
      <c r="C310" s="10"/>
      <c r="I310" s="30"/>
      <c r="J310" s="10"/>
      <c r="P310" s="30"/>
      <c r="Q310" s="10"/>
      <c r="W310" s="30"/>
      <c r="X310" s="10"/>
      <c r="AD310" s="30"/>
      <c r="AE310" s="35"/>
      <c r="AF310" s="35"/>
      <c r="AG310" s="10"/>
      <c r="AK310" s="30"/>
      <c r="AL310" s="10"/>
      <c r="AT310" s="30"/>
      <c r="AU310" s="10"/>
      <c r="BC310" s="30"/>
      <c r="BD310" s="10"/>
    </row>
    <row r="311" ht="15.75" customHeight="1">
      <c r="B311" s="30"/>
      <c r="C311" s="10"/>
      <c r="I311" s="30"/>
      <c r="J311" s="10"/>
      <c r="P311" s="30"/>
      <c r="Q311" s="10"/>
      <c r="W311" s="30"/>
      <c r="X311" s="10"/>
      <c r="AD311" s="30"/>
      <c r="AE311" s="35"/>
      <c r="AF311" s="35"/>
      <c r="AG311" s="10"/>
      <c r="AK311" s="30"/>
      <c r="AL311" s="10"/>
      <c r="AT311" s="30"/>
      <c r="AU311" s="10"/>
      <c r="BC311" s="30"/>
      <c r="BD311" s="10"/>
    </row>
    <row r="312" ht="15.75" customHeight="1">
      <c r="B312" s="30"/>
      <c r="C312" s="10"/>
      <c r="I312" s="30"/>
      <c r="J312" s="10"/>
      <c r="P312" s="30"/>
      <c r="Q312" s="10"/>
      <c r="W312" s="30"/>
      <c r="X312" s="10"/>
      <c r="AD312" s="30"/>
      <c r="AE312" s="35"/>
      <c r="AF312" s="35"/>
      <c r="AG312" s="10"/>
      <c r="AK312" s="30"/>
      <c r="AL312" s="10"/>
      <c r="AT312" s="30"/>
      <c r="AU312" s="10"/>
      <c r="BC312" s="30"/>
      <c r="BD312" s="10"/>
    </row>
    <row r="313" ht="15.75" customHeight="1">
      <c r="B313" s="30"/>
      <c r="C313" s="10"/>
      <c r="I313" s="30"/>
      <c r="J313" s="10"/>
      <c r="P313" s="30"/>
      <c r="Q313" s="10"/>
      <c r="W313" s="30"/>
      <c r="X313" s="10"/>
      <c r="AD313" s="30"/>
      <c r="AE313" s="35"/>
      <c r="AF313" s="35"/>
      <c r="AG313" s="10"/>
      <c r="AK313" s="30"/>
      <c r="AL313" s="10"/>
      <c r="AT313" s="30"/>
      <c r="AU313" s="10"/>
      <c r="BC313" s="30"/>
      <c r="BD313" s="10"/>
    </row>
    <row r="314" ht="15.75" customHeight="1">
      <c r="B314" s="30"/>
      <c r="C314" s="10"/>
      <c r="I314" s="30"/>
      <c r="J314" s="10"/>
      <c r="P314" s="30"/>
      <c r="Q314" s="10"/>
      <c r="W314" s="30"/>
      <c r="X314" s="10"/>
      <c r="AD314" s="30"/>
      <c r="AE314" s="35"/>
      <c r="AF314" s="35"/>
      <c r="AG314" s="10"/>
      <c r="AK314" s="30"/>
      <c r="AL314" s="10"/>
      <c r="AT314" s="30"/>
      <c r="AU314" s="10"/>
      <c r="BC314" s="30"/>
      <c r="BD314" s="10"/>
    </row>
    <row r="315" ht="15.75" customHeight="1">
      <c r="B315" s="30"/>
      <c r="C315" s="10"/>
      <c r="I315" s="30"/>
      <c r="J315" s="10"/>
      <c r="P315" s="30"/>
      <c r="Q315" s="10"/>
      <c r="W315" s="30"/>
      <c r="X315" s="10"/>
      <c r="AD315" s="30"/>
      <c r="AE315" s="35"/>
      <c r="AF315" s="35"/>
      <c r="AG315" s="10"/>
      <c r="AK315" s="30"/>
      <c r="AL315" s="10"/>
      <c r="AT315" s="30"/>
      <c r="AU315" s="10"/>
      <c r="BC315" s="30"/>
      <c r="BD315" s="10"/>
    </row>
    <row r="316" ht="15.75" customHeight="1">
      <c r="B316" s="30"/>
      <c r="C316" s="10"/>
      <c r="I316" s="30"/>
      <c r="J316" s="10"/>
      <c r="P316" s="30"/>
      <c r="Q316" s="10"/>
      <c r="W316" s="30"/>
      <c r="X316" s="10"/>
      <c r="AD316" s="30"/>
      <c r="AE316" s="35"/>
      <c r="AF316" s="35"/>
      <c r="AG316" s="10"/>
      <c r="AK316" s="30"/>
      <c r="AL316" s="10"/>
      <c r="AT316" s="30"/>
      <c r="AU316" s="10"/>
      <c r="BC316" s="30"/>
      <c r="BD316" s="10"/>
    </row>
    <row r="317" ht="15.75" customHeight="1">
      <c r="B317" s="30"/>
      <c r="C317" s="10"/>
      <c r="I317" s="30"/>
      <c r="J317" s="10"/>
      <c r="P317" s="30"/>
      <c r="Q317" s="10"/>
      <c r="W317" s="30"/>
      <c r="X317" s="10"/>
      <c r="AD317" s="30"/>
      <c r="AE317" s="35"/>
      <c r="AF317" s="35"/>
      <c r="AG317" s="10"/>
      <c r="AK317" s="30"/>
      <c r="AL317" s="10"/>
      <c r="AT317" s="30"/>
      <c r="AU317" s="10"/>
      <c r="BC317" s="30"/>
      <c r="BD317" s="10"/>
    </row>
    <row r="318" ht="15.75" customHeight="1">
      <c r="B318" s="30"/>
      <c r="C318" s="10"/>
      <c r="I318" s="30"/>
      <c r="J318" s="10"/>
      <c r="P318" s="30"/>
      <c r="Q318" s="10"/>
      <c r="W318" s="30"/>
      <c r="X318" s="10"/>
      <c r="AD318" s="30"/>
      <c r="AE318" s="35"/>
      <c r="AF318" s="35"/>
      <c r="AG318" s="10"/>
      <c r="AK318" s="30"/>
      <c r="AL318" s="10"/>
      <c r="AT318" s="30"/>
      <c r="AU318" s="10"/>
      <c r="BC318" s="30"/>
      <c r="BD318" s="10"/>
    </row>
    <row r="319" ht="15.75" customHeight="1">
      <c r="B319" s="30"/>
      <c r="C319" s="10"/>
      <c r="I319" s="30"/>
      <c r="J319" s="10"/>
      <c r="P319" s="30"/>
      <c r="Q319" s="10"/>
      <c r="W319" s="30"/>
      <c r="X319" s="10"/>
      <c r="AD319" s="30"/>
      <c r="AE319" s="35"/>
      <c r="AF319" s="35"/>
      <c r="AG319" s="10"/>
      <c r="AK319" s="30"/>
      <c r="AL319" s="10"/>
      <c r="AT319" s="30"/>
      <c r="AU319" s="10"/>
      <c r="BC319" s="30"/>
      <c r="BD319" s="10"/>
    </row>
    <row r="320" ht="15.75" customHeight="1">
      <c r="B320" s="30"/>
      <c r="C320" s="10"/>
      <c r="I320" s="30"/>
      <c r="J320" s="10"/>
      <c r="P320" s="30"/>
      <c r="Q320" s="10"/>
      <c r="W320" s="30"/>
      <c r="X320" s="10"/>
      <c r="AD320" s="30"/>
      <c r="AE320" s="35"/>
      <c r="AF320" s="35"/>
      <c r="AG320" s="10"/>
      <c r="AK320" s="30"/>
      <c r="AL320" s="10"/>
      <c r="AT320" s="30"/>
      <c r="AU320" s="10"/>
      <c r="BC320" s="30"/>
      <c r="BD320" s="10"/>
    </row>
    <row r="321" ht="15.75" customHeight="1">
      <c r="B321" s="30"/>
      <c r="C321" s="10"/>
      <c r="I321" s="30"/>
      <c r="J321" s="10"/>
      <c r="P321" s="30"/>
      <c r="Q321" s="10"/>
      <c r="W321" s="30"/>
      <c r="X321" s="10"/>
      <c r="AD321" s="30"/>
      <c r="AE321" s="35"/>
      <c r="AF321" s="35"/>
      <c r="AG321" s="10"/>
      <c r="AK321" s="30"/>
      <c r="AL321" s="10"/>
      <c r="AT321" s="30"/>
      <c r="AU321" s="10"/>
      <c r="BC321" s="30"/>
      <c r="BD321" s="10"/>
    </row>
    <row r="322" ht="15.75" customHeight="1">
      <c r="B322" s="30"/>
      <c r="C322" s="10"/>
      <c r="I322" s="30"/>
      <c r="J322" s="10"/>
      <c r="P322" s="30"/>
      <c r="Q322" s="10"/>
      <c r="W322" s="30"/>
      <c r="X322" s="10"/>
      <c r="AD322" s="30"/>
      <c r="AE322" s="35"/>
      <c r="AF322" s="35"/>
      <c r="AG322" s="10"/>
      <c r="AK322" s="30"/>
      <c r="AL322" s="10"/>
      <c r="AT322" s="30"/>
      <c r="AU322" s="10"/>
      <c r="BC322" s="30"/>
      <c r="BD322" s="10"/>
    </row>
    <row r="323" ht="15.75" customHeight="1">
      <c r="B323" s="30"/>
      <c r="C323" s="10"/>
      <c r="I323" s="30"/>
      <c r="J323" s="10"/>
      <c r="P323" s="30"/>
      <c r="Q323" s="10"/>
      <c r="W323" s="30"/>
      <c r="X323" s="10"/>
      <c r="AD323" s="30"/>
      <c r="AE323" s="35"/>
      <c r="AF323" s="35"/>
      <c r="AG323" s="10"/>
      <c r="AK323" s="30"/>
      <c r="AL323" s="10"/>
      <c r="AT323" s="30"/>
      <c r="AU323" s="10"/>
      <c r="BC323" s="30"/>
      <c r="BD323" s="10"/>
    </row>
    <row r="324" ht="15.75" customHeight="1">
      <c r="B324" s="30"/>
      <c r="C324" s="10"/>
      <c r="I324" s="30"/>
      <c r="J324" s="10"/>
      <c r="P324" s="30"/>
      <c r="Q324" s="10"/>
      <c r="W324" s="30"/>
      <c r="X324" s="10"/>
      <c r="AD324" s="30"/>
      <c r="AE324" s="35"/>
      <c r="AF324" s="35"/>
      <c r="AG324" s="10"/>
      <c r="AK324" s="30"/>
      <c r="AL324" s="10"/>
      <c r="AT324" s="30"/>
      <c r="AU324" s="10"/>
      <c r="BC324" s="30"/>
      <c r="BD324" s="10"/>
    </row>
    <row r="325" ht="15.75" customHeight="1">
      <c r="B325" s="30"/>
      <c r="C325" s="10"/>
      <c r="I325" s="30"/>
      <c r="J325" s="10"/>
      <c r="P325" s="30"/>
      <c r="Q325" s="10"/>
      <c r="W325" s="30"/>
      <c r="X325" s="10"/>
      <c r="AD325" s="30"/>
      <c r="AE325" s="35"/>
      <c r="AF325" s="35"/>
      <c r="AG325" s="10"/>
      <c r="AK325" s="30"/>
      <c r="AL325" s="10"/>
      <c r="AT325" s="30"/>
      <c r="AU325" s="10"/>
      <c r="BC325" s="30"/>
      <c r="BD325" s="10"/>
    </row>
    <row r="326" ht="15.75" customHeight="1">
      <c r="B326" s="30"/>
      <c r="C326" s="10"/>
      <c r="I326" s="30"/>
      <c r="J326" s="10"/>
      <c r="P326" s="30"/>
      <c r="Q326" s="10"/>
      <c r="W326" s="30"/>
      <c r="X326" s="10"/>
      <c r="AD326" s="30"/>
      <c r="AE326" s="35"/>
      <c r="AF326" s="35"/>
      <c r="AG326" s="10"/>
      <c r="AK326" s="30"/>
      <c r="AL326" s="10"/>
      <c r="AT326" s="30"/>
      <c r="AU326" s="10"/>
      <c r="BC326" s="30"/>
      <c r="BD326" s="10"/>
    </row>
    <row r="327" ht="15.75" customHeight="1">
      <c r="B327" s="30"/>
      <c r="C327" s="10"/>
      <c r="I327" s="30"/>
      <c r="J327" s="10"/>
      <c r="P327" s="30"/>
      <c r="Q327" s="10"/>
      <c r="W327" s="30"/>
      <c r="X327" s="10"/>
      <c r="AD327" s="30"/>
      <c r="AE327" s="35"/>
      <c r="AF327" s="35"/>
      <c r="AG327" s="10"/>
      <c r="AK327" s="30"/>
      <c r="AL327" s="10"/>
      <c r="AT327" s="30"/>
      <c r="AU327" s="10"/>
      <c r="BC327" s="30"/>
      <c r="BD327" s="10"/>
    </row>
    <row r="328" ht="15.75" customHeight="1">
      <c r="B328" s="30"/>
      <c r="C328" s="10"/>
      <c r="I328" s="30"/>
      <c r="J328" s="10"/>
      <c r="P328" s="30"/>
      <c r="Q328" s="10"/>
      <c r="W328" s="30"/>
      <c r="X328" s="10"/>
      <c r="AD328" s="30"/>
      <c r="AE328" s="35"/>
      <c r="AF328" s="35"/>
      <c r="AG328" s="10"/>
      <c r="AK328" s="30"/>
      <c r="AL328" s="10"/>
      <c r="AT328" s="30"/>
      <c r="AU328" s="10"/>
      <c r="BC328" s="30"/>
      <c r="BD328" s="10"/>
    </row>
    <row r="329" ht="15.75" customHeight="1">
      <c r="B329" s="30"/>
      <c r="C329" s="10"/>
      <c r="I329" s="30"/>
      <c r="J329" s="10"/>
      <c r="P329" s="30"/>
      <c r="Q329" s="10"/>
      <c r="W329" s="30"/>
      <c r="X329" s="10"/>
      <c r="AD329" s="30"/>
      <c r="AE329" s="35"/>
      <c r="AF329" s="35"/>
      <c r="AG329" s="10"/>
      <c r="AK329" s="30"/>
      <c r="AL329" s="10"/>
      <c r="AT329" s="30"/>
      <c r="AU329" s="10"/>
      <c r="BC329" s="30"/>
      <c r="BD329" s="10"/>
    </row>
    <row r="330" ht="15.75" customHeight="1">
      <c r="B330" s="30"/>
      <c r="C330" s="10"/>
      <c r="I330" s="30"/>
      <c r="J330" s="10"/>
      <c r="P330" s="30"/>
      <c r="Q330" s="10"/>
      <c r="W330" s="30"/>
      <c r="X330" s="10"/>
      <c r="AD330" s="30"/>
      <c r="AE330" s="35"/>
      <c r="AF330" s="35"/>
      <c r="AG330" s="10"/>
      <c r="AK330" s="30"/>
      <c r="AL330" s="10"/>
      <c r="AT330" s="30"/>
      <c r="AU330" s="10"/>
      <c r="BC330" s="30"/>
      <c r="BD330" s="10"/>
    </row>
    <row r="331" ht="15.75" customHeight="1">
      <c r="B331" s="30"/>
      <c r="C331" s="10"/>
      <c r="I331" s="30"/>
      <c r="J331" s="10"/>
      <c r="P331" s="30"/>
      <c r="Q331" s="10"/>
      <c r="W331" s="30"/>
      <c r="X331" s="10"/>
      <c r="AD331" s="30"/>
      <c r="AE331" s="35"/>
      <c r="AF331" s="35"/>
      <c r="AG331" s="10"/>
      <c r="AK331" s="30"/>
      <c r="AL331" s="10"/>
      <c r="AT331" s="30"/>
      <c r="AU331" s="10"/>
      <c r="BC331" s="30"/>
      <c r="BD331" s="10"/>
    </row>
    <row r="332" ht="15.75" customHeight="1">
      <c r="B332" s="30"/>
      <c r="C332" s="10"/>
      <c r="I332" s="30"/>
      <c r="J332" s="10"/>
      <c r="P332" s="30"/>
      <c r="Q332" s="10"/>
      <c r="W332" s="30"/>
      <c r="X332" s="10"/>
      <c r="AD332" s="30"/>
      <c r="AE332" s="35"/>
      <c r="AF332" s="35"/>
      <c r="AG332" s="10"/>
      <c r="AK332" s="30"/>
      <c r="AL332" s="10"/>
      <c r="AT332" s="30"/>
      <c r="AU332" s="10"/>
      <c r="BC332" s="30"/>
      <c r="BD332" s="10"/>
    </row>
    <row r="333" ht="15.75" customHeight="1">
      <c r="B333" s="30"/>
      <c r="C333" s="10"/>
      <c r="I333" s="30"/>
      <c r="J333" s="10"/>
      <c r="P333" s="30"/>
      <c r="Q333" s="10"/>
      <c r="W333" s="30"/>
      <c r="X333" s="10"/>
      <c r="AD333" s="30"/>
      <c r="AE333" s="35"/>
      <c r="AF333" s="35"/>
      <c r="AG333" s="10"/>
      <c r="AK333" s="30"/>
      <c r="AL333" s="10"/>
      <c r="AT333" s="30"/>
      <c r="AU333" s="10"/>
      <c r="BC333" s="30"/>
      <c r="BD333" s="10"/>
    </row>
    <row r="334" ht="15.75" customHeight="1">
      <c r="B334" s="30"/>
      <c r="C334" s="10"/>
      <c r="I334" s="30"/>
      <c r="J334" s="10"/>
      <c r="P334" s="30"/>
      <c r="Q334" s="10"/>
      <c r="W334" s="30"/>
      <c r="X334" s="10"/>
      <c r="AD334" s="30"/>
      <c r="AE334" s="35"/>
      <c r="AF334" s="35"/>
      <c r="AG334" s="10"/>
      <c r="AK334" s="30"/>
      <c r="AL334" s="10"/>
      <c r="AT334" s="30"/>
      <c r="AU334" s="10"/>
      <c r="BC334" s="30"/>
      <c r="BD334" s="10"/>
    </row>
    <row r="335" ht="15.75" customHeight="1">
      <c r="B335" s="30"/>
      <c r="C335" s="10"/>
      <c r="I335" s="30"/>
      <c r="J335" s="10"/>
      <c r="P335" s="30"/>
      <c r="Q335" s="10"/>
      <c r="W335" s="30"/>
      <c r="X335" s="10"/>
      <c r="AD335" s="30"/>
      <c r="AE335" s="35"/>
      <c r="AF335" s="35"/>
      <c r="AG335" s="10"/>
      <c r="AK335" s="30"/>
      <c r="AL335" s="10"/>
      <c r="AT335" s="30"/>
      <c r="AU335" s="10"/>
      <c r="BC335" s="30"/>
      <c r="BD335" s="10"/>
    </row>
    <row r="336" ht="15.75" customHeight="1">
      <c r="B336" s="30"/>
      <c r="C336" s="10"/>
      <c r="I336" s="30"/>
      <c r="J336" s="10"/>
      <c r="P336" s="30"/>
      <c r="Q336" s="10"/>
      <c r="W336" s="30"/>
      <c r="X336" s="10"/>
      <c r="AD336" s="30"/>
      <c r="AE336" s="35"/>
      <c r="AF336" s="35"/>
      <c r="AG336" s="10"/>
      <c r="AK336" s="30"/>
      <c r="AL336" s="10"/>
      <c r="AT336" s="30"/>
      <c r="AU336" s="10"/>
      <c r="BC336" s="30"/>
      <c r="BD336" s="10"/>
    </row>
    <row r="337" ht="15.75" customHeight="1">
      <c r="B337" s="30"/>
      <c r="C337" s="10"/>
      <c r="I337" s="30"/>
      <c r="J337" s="10"/>
      <c r="P337" s="30"/>
      <c r="Q337" s="10"/>
      <c r="W337" s="30"/>
      <c r="X337" s="10"/>
      <c r="AD337" s="30"/>
      <c r="AE337" s="35"/>
      <c r="AF337" s="35"/>
      <c r="AG337" s="10"/>
      <c r="AK337" s="30"/>
      <c r="AL337" s="10"/>
      <c r="AT337" s="30"/>
      <c r="AU337" s="10"/>
      <c r="BC337" s="30"/>
      <c r="BD337" s="10"/>
    </row>
    <row r="338" ht="15.75" customHeight="1">
      <c r="B338" s="30"/>
      <c r="C338" s="10"/>
      <c r="I338" s="30"/>
      <c r="J338" s="10"/>
      <c r="P338" s="30"/>
      <c r="Q338" s="10"/>
      <c r="W338" s="30"/>
      <c r="X338" s="10"/>
      <c r="AD338" s="30"/>
      <c r="AE338" s="35"/>
      <c r="AF338" s="35"/>
      <c r="AG338" s="10"/>
      <c r="AK338" s="30"/>
      <c r="AL338" s="10"/>
      <c r="AT338" s="30"/>
      <c r="AU338" s="10"/>
      <c r="BC338" s="30"/>
      <c r="BD338" s="10"/>
    </row>
    <row r="339" ht="15.75" customHeight="1">
      <c r="B339" s="30"/>
      <c r="C339" s="10"/>
      <c r="I339" s="30"/>
      <c r="J339" s="10"/>
      <c r="P339" s="30"/>
      <c r="Q339" s="10"/>
      <c r="W339" s="30"/>
      <c r="X339" s="10"/>
      <c r="AD339" s="30"/>
      <c r="AE339" s="35"/>
      <c r="AF339" s="35"/>
      <c r="AG339" s="10"/>
      <c r="AK339" s="30"/>
      <c r="AL339" s="10"/>
      <c r="AT339" s="30"/>
      <c r="AU339" s="10"/>
      <c r="BC339" s="30"/>
      <c r="BD339" s="10"/>
    </row>
    <row r="340" ht="15.75" customHeight="1">
      <c r="B340" s="30"/>
      <c r="C340" s="10"/>
      <c r="I340" s="30"/>
      <c r="J340" s="10"/>
      <c r="P340" s="30"/>
      <c r="Q340" s="10"/>
      <c r="W340" s="30"/>
      <c r="X340" s="10"/>
      <c r="AD340" s="30"/>
      <c r="AE340" s="35"/>
      <c r="AF340" s="35"/>
      <c r="AG340" s="10"/>
      <c r="AK340" s="30"/>
      <c r="AL340" s="10"/>
      <c r="AT340" s="30"/>
      <c r="AU340" s="10"/>
      <c r="BC340" s="30"/>
      <c r="BD340" s="10"/>
    </row>
    <row r="341" ht="15.75" customHeight="1">
      <c r="B341" s="30"/>
      <c r="C341" s="10"/>
      <c r="I341" s="30"/>
      <c r="J341" s="10"/>
      <c r="P341" s="30"/>
      <c r="Q341" s="10"/>
      <c r="W341" s="30"/>
      <c r="X341" s="10"/>
      <c r="AD341" s="30"/>
      <c r="AE341" s="35"/>
      <c r="AF341" s="35"/>
      <c r="AG341" s="10"/>
      <c r="AK341" s="30"/>
      <c r="AL341" s="10"/>
      <c r="AT341" s="30"/>
      <c r="AU341" s="10"/>
      <c r="BC341" s="30"/>
      <c r="BD341" s="10"/>
    </row>
    <row r="342" ht="15.75" customHeight="1">
      <c r="B342" s="30"/>
      <c r="C342" s="10"/>
      <c r="I342" s="30"/>
      <c r="J342" s="10"/>
      <c r="P342" s="30"/>
      <c r="Q342" s="10"/>
      <c r="W342" s="30"/>
      <c r="X342" s="10"/>
      <c r="AD342" s="30"/>
      <c r="AE342" s="35"/>
      <c r="AF342" s="35"/>
      <c r="AG342" s="10"/>
      <c r="AK342" s="30"/>
      <c r="AL342" s="10"/>
      <c r="AT342" s="30"/>
      <c r="AU342" s="10"/>
      <c r="BC342" s="30"/>
      <c r="BD342" s="10"/>
    </row>
    <row r="343" ht="15.75" customHeight="1">
      <c r="B343" s="30"/>
      <c r="C343" s="10"/>
      <c r="I343" s="30"/>
      <c r="J343" s="10"/>
      <c r="P343" s="30"/>
      <c r="Q343" s="10"/>
      <c r="W343" s="30"/>
      <c r="X343" s="10"/>
      <c r="AD343" s="30"/>
      <c r="AE343" s="35"/>
      <c r="AF343" s="35"/>
      <c r="AG343" s="10"/>
      <c r="AK343" s="30"/>
      <c r="AL343" s="10"/>
      <c r="AT343" s="30"/>
      <c r="AU343" s="10"/>
      <c r="BC343" s="30"/>
      <c r="BD343" s="10"/>
    </row>
    <row r="344" ht="15.75" customHeight="1">
      <c r="B344" s="30"/>
      <c r="C344" s="10"/>
      <c r="I344" s="30"/>
      <c r="J344" s="10"/>
      <c r="P344" s="30"/>
      <c r="Q344" s="10"/>
      <c r="W344" s="30"/>
      <c r="X344" s="10"/>
      <c r="AD344" s="30"/>
      <c r="AE344" s="35"/>
      <c r="AF344" s="35"/>
      <c r="AG344" s="10"/>
      <c r="AK344" s="30"/>
      <c r="AL344" s="10"/>
      <c r="AT344" s="30"/>
      <c r="AU344" s="10"/>
      <c r="BC344" s="30"/>
      <c r="BD344" s="10"/>
    </row>
    <row r="345" ht="15.75" customHeight="1">
      <c r="B345" s="30"/>
      <c r="C345" s="10"/>
      <c r="I345" s="30"/>
      <c r="J345" s="10"/>
      <c r="P345" s="30"/>
      <c r="Q345" s="10"/>
      <c r="W345" s="30"/>
      <c r="X345" s="10"/>
      <c r="AD345" s="30"/>
      <c r="AE345" s="35"/>
      <c r="AF345" s="35"/>
      <c r="AG345" s="10"/>
      <c r="AK345" s="30"/>
      <c r="AL345" s="10"/>
      <c r="AT345" s="30"/>
      <c r="AU345" s="10"/>
      <c r="BC345" s="30"/>
      <c r="BD345" s="10"/>
    </row>
    <row r="346" ht="15.75" customHeight="1">
      <c r="B346" s="30"/>
      <c r="C346" s="10"/>
      <c r="I346" s="30"/>
      <c r="J346" s="10"/>
      <c r="P346" s="30"/>
      <c r="Q346" s="10"/>
      <c r="W346" s="30"/>
      <c r="X346" s="10"/>
      <c r="AD346" s="30"/>
      <c r="AE346" s="35"/>
      <c r="AF346" s="35"/>
      <c r="AG346" s="10"/>
      <c r="AK346" s="30"/>
      <c r="AL346" s="10"/>
      <c r="AT346" s="30"/>
      <c r="AU346" s="10"/>
      <c r="BC346" s="30"/>
      <c r="BD346" s="10"/>
    </row>
    <row r="347" ht="15.75" customHeight="1">
      <c r="B347" s="30"/>
      <c r="C347" s="10"/>
      <c r="I347" s="30"/>
      <c r="J347" s="10"/>
      <c r="P347" s="30"/>
      <c r="Q347" s="10"/>
      <c r="W347" s="30"/>
      <c r="X347" s="10"/>
      <c r="AD347" s="30"/>
      <c r="AE347" s="35"/>
      <c r="AF347" s="35"/>
      <c r="AG347" s="10"/>
      <c r="AK347" s="30"/>
      <c r="AL347" s="10"/>
      <c r="AT347" s="30"/>
      <c r="AU347" s="10"/>
      <c r="BC347" s="30"/>
      <c r="BD347" s="10"/>
    </row>
    <row r="348" ht="15.75" customHeight="1">
      <c r="B348" s="30"/>
      <c r="C348" s="10"/>
      <c r="I348" s="30"/>
      <c r="J348" s="10"/>
      <c r="P348" s="30"/>
      <c r="Q348" s="10"/>
      <c r="W348" s="30"/>
      <c r="X348" s="10"/>
      <c r="AD348" s="30"/>
      <c r="AE348" s="35"/>
      <c r="AF348" s="35"/>
      <c r="AG348" s="10"/>
      <c r="AK348" s="30"/>
      <c r="AL348" s="10"/>
      <c r="AT348" s="30"/>
      <c r="AU348" s="10"/>
      <c r="BC348" s="30"/>
      <c r="BD348" s="10"/>
    </row>
    <row r="349" ht="15.75" customHeight="1">
      <c r="B349" s="30"/>
      <c r="C349" s="10"/>
      <c r="I349" s="30"/>
      <c r="J349" s="10"/>
      <c r="P349" s="30"/>
      <c r="Q349" s="10"/>
      <c r="W349" s="30"/>
      <c r="X349" s="10"/>
      <c r="AD349" s="30"/>
      <c r="AE349" s="35"/>
      <c r="AF349" s="35"/>
      <c r="AG349" s="10"/>
      <c r="AK349" s="30"/>
      <c r="AL349" s="10"/>
      <c r="AT349" s="30"/>
      <c r="AU349" s="10"/>
      <c r="BC349" s="30"/>
      <c r="BD349" s="10"/>
    </row>
    <row r="350" ht="15.75" customHeight="1">
      <c r="B350" s="30"/>
      <c r="C350" s="10"/>
      <c r="I350" s="30"/>
      <c r="J350" s="10"/>
      <c r="P350" s="30"/>
      <c r="Q350" s="10"/>
      <c r="W350" s="30"/>
      <c r="X350" s="10"/>
      <c r="AD350" s="30"/>
      <c r="AE350" s="35"/>
      <c r="AF350" s="35"/>
      <c r="AG350" s="10"/>
      <c r="AK350" s="30"/>
      <c r="AL350" s="10"/>
      <c r="AT350" s="30"/>
      <c r="AU350" s="10"/>
      <c r="BC350" s="30"/>
      <c r="BD350" s="10"/>
    </row>
    <row r="351" ht="15.75" customHeight="1">
      <c r="B351" s="30"/>
      <c r="C351" s="10"/>
      <c r="I351" s="30"/>
      <c r="J351" s="10"/>
      <c r="P351" s="30"/>
      <c r="Q351" s="10"/>
      <c r="W351" s="30"/>
      <c r="X351" s="10"/>
      <c r="AD351" s="30"/>
      <c r="AE351" s="35"/>
      <c r="AF351" s="35"/>
      <c r="AG351" s="10"/>
      <c r="AK351" s="30"/>
      <c r="AL351" s="10"/>
      <c r="AT351" s="30"/>
      <c r="AU351" s="10"/>
      <c r="BC351" s="30"/>
      <c r="BD351" s="10"/>
    </row>
    <row r="352" ht="15.75" customHeight="1">
      <c r="B352" s="30"/>
      <c r="C352" s="10"/>
      <c r="I352" s="30"/>
      <c r="J352" s="10"/>
      <c r="P352" s="30"/>
      <c r="Q352" s="10"/>
      <c r="W352" s="30"/>
      <c r="X352" s="10"/>
      <c r="AD352" s="30"/>
      <c r="AE352" s="35"/>
      <c r="AF352" s="35"/>
      <c r="AG352" s="10"/>
      <c r="AK352" s="30"/>
      <c r="AL352" s="10"/>
      <c r="AT352" s="30"/>
      <c r="AU352" s="10"/>
      <c r="BC352" s="30"/>
      <c r="BD352" s="10"/>
    </row>
    <row r="353" ht="15.75" customHeight="1">
      <c r="B353" s="30"/>
      <c r="C353" s="10"/>
      <c r="I353" s="30"/>
      <c r="J353" s="10"/>
      <c r="P353" s="30"/>
      <c r="Q353" s="10"/>
      <c r="W353" s="30"/>
      <c r="X353" s="10"/>
      <c r="AD353" s="30"/>
      <c r="AE353" s="35"/>
      <c r="AF353" s="35"/>
      <c r="AG353" s="10"/>
      <c r="AK353" s="30"/>
      <c r="AL353" s="10"/>
      <c r="AT353" s="30"/>
      <c r="AU353" s="10"/>
      <c r="BC353" s="30"/>
      <c r="BD353" s="10"/>
    </row>
    <row r="354" ht="15.75" customHeight="1">
      <c r="B354" s="30"/>
      <c r="C354" s="10"/>
      <c r="I354" s="30"/>
      <c r="J354" s="10"/>
      <c r="P354" s="30"/>
      <c r="Q354" s="10"/>
      <c r="W354" s="30"/>
      <c r="X354" s="10"/>
      <c r="AD354" s="30"/>
      <c r="AE354" s="35"/>
      <c r="AF354" s="35"/>
      <c r="AG354" s="10"/>
      <c r="AK354" s="30"/>
      <c r="AL354" s="10"/>
      <c r="AT354" s="30"/>
      <c r="AU354" s="10"/>
      <c r="BC354" s="30"/>
      <c r="BD354" s="10"/>
    </row>
    <row r="355" ht="15.75" customHeight="1">
      <c r="B355" s="30"/>
      <c r="C355" s="10"/>
      <c r="I355" s="30"/>
      <c r="J355" s="10"/>
      <c r="P355" s="30"/>
      <c r="Q355" s="10"/>
      <c r="W355" s="30"/>
      <c r="X355" s="10"/>
      <c r="AD355" s="30"/>
      <c r="AE355" s="35"/>
      <c r="AF355" s="35"/>
      <c r="AG355" s="10"/>
      <c r="AK355" s="30"/>
      <c r="AL355" s="10"/>
      <c r="AT355" s="30"/>
      <c r="AU355" s="10"/>
      <c r="BC355" s="30"/>
      <c r="BD355" s="10"/>
    </row>
    <row r="356" ht="15.75" customHeight="1">
      <c r="B356" s="30"/>
      <c r="C356" s="10"/>
      <c r="I356" s="30"/>
      <c r="J356" s="10"/>
      <c r="P356" s="30"/>
      <c r="Q356" s="10"/>
      <c r="W356" s="30"/>
      <c r="X356" s="10"/>
      <c r="AD356" s="30"/>
      <c r="AE356" s="35"/>
      <c r="AF356" s="35"/>
      <c r="AG356" s="10"/>
      <c r="AK356" s="30"/>
      <c r="AL356" s="10"/>
      <c r="AT356" s="30"/>
      <c r="AU356" s="10"/>
      <c r="BC356" s="30"/>
      <c r="BD356" s="10"/>
    </row>
    <row r="357" ht="15.75" customHeight="1">
      <c r="B357" s="30"/>
      <c r="C357" s="10"/>
      <c r="I357" s="30"/>
      <c r="J357" s="10"/>
      <c r="P357" s="30"/>
      <c r="Q357" s="10"/>
      <c r="W357" s="30"/>
      <c r="X357" s="10"/>
      <c r="AD357" s="30"/>
      <c r="AE357" s="35"/>
      <c r="AF357" s="35"/>
      <c r="AG357" s="10"/>
      <c r="AK357" s="30"/>
      <c r="AL357" s="10"/>
      <c r="AT357" s="30"/>
      <c r="AU357" s="10"/>
      <c r="BC357" s="30"/>
      <c r="BD357" s="10"/>
    </row>
    <row r="358" ht="15.75" customHeight="1">
      <c r="B358" s="30"/>
      <c r="C358" s="10"/>
      <c r="I358" s="30"/>
      <c r="J358" s="10"/>
      <c r="P358" s="30"/>
      <c r="Q358" s="10"/>
      <c r="W358" s="30"/>
      <c r="X358" s="10"/>
      <c r="AD358" s="30"/>
      <c r="AE358" s="35"/>
      <c r="AF358" s="35"/>
      <c r="AG358" s="10"/>
      <c r="AK358" s="30"/>
      <c r="AL358" s="10"/>
      <c r="AT358" s="30"/>
      <c r="AU358" s="10"/>
      <c r="BC358" s="30"/>
      <c r="BD358" s="10"/>
    </row>
    <row r="359" ht="15.75" customHeight="1">
      <c r="B359" s="30"/>
      <c r="C359" s="10"/>
      <c r="I359" s="30"/>
      <c r="J359" s="10"/>
      <c r="P359" s="30"/>
      <c r="Q359" s="10"/>
      <c r="W359" s="30"/>
      <c r="X359" s="10"/>
      <c r="AD359" s="30"/>
      <c r="AE359" s="35"/>
      <c r="AF359" s="35"/>
      <c r="AG359" s="10"/>
      <c r="AK359" s="30"/>
      <c r="AL359" s="10"/>
      <c r="AT359" s="30"/>
      <c r="AU359" s="10"/>
      <c r="BC359" s="30"/>
      <c r="BD359" s="10"/>
    </row>
    <row r="360" ht="15.75" customHeight="1">
      <c r="B360" s="30"/>
      <c r="C360" s="10"/>
      <c r="I360" s="30"/>
      <c r="J360" s="10"/>
      <c r="P360" s="30"/>
      <c r="Q360" s="10"/>
      <c r="W360" s="30"/>
      <c r="X360" s="10"/>
      <c r="AD360" s="30"/>
      <c r="AE360" s="35"/>
      <c r="AF360" s="35"/>
      <c r="AG360" s="10"/>
      <c r="AK360" s="30"/>
      <c r="AL360" s="10"/>
      <c r="AT360" s="30"/>
      <c r="AU360" s="10"/>
      <c r="BC360" s="30"/>
      <c r="BD360" s="10"/>
    </row>
    <row r="361" ht="15.75" customHeight="1">
      <c r="B361" s="30"/>
      <c r="C361" s="10"/>
      <c r="I361" s="30"/>
      <c r="J361" s="10"/>
      <c r="P361" s="30"/>
      <c r="Q361" s="10"/>
      <c r="W361" s="30"/>
      <c r="X361" s="10"/>
      <c r="AD361" s="30"/>
      <c r="AE361" s="35"/>
      <c r="AF361" s="35"/>
      <c r="AG361" s="10"/>
      <c r="AK361" s="30"/>
      <c r="AL361" s="10"/>
      <c r="AT361" s="30"/>
      <c r="AU361" s="10"/>
      <c r="BC361" s="30"/>
      <c r="BD361" s="10"/>
    </row>
    <row r="362" ht="15.75" customHeight="1">
      <c r="B362" s="30"/>
      <c r="C362" s="10"/>
      <c r="I362" s="30"/>
      <c r="J362" s="10"/>
      <c r="P362" s="30"/>
      <c r="Q362" s="10"/>
      <c r="W362" s="30"/>
      <c r="X362" s="10"/>
      <c r="AD362" s="30"/>
      <c r="AE362" s="35"/>
      <c r="AF362" s="35"/>
      <c r="AG362" s="10"/>
      <c r="AK362" s="30"/>
      <c r="AL362" s="10"/>
      <c r="AT362" s="30"/>
      <c r="AU362" s="10"/>
      <c r="BC362" s="30"/>
      <c r="BD362" s="10"/>
    </row>
    <row r="363" ht="15.75" customHeight="1">
      <c r="B363" s="30"/>
      <c r="C363" s="10"/>
      <c r="I363" s="30"/>
      <c r="J363" s="10"/>
      <c r="P363" s="30"/>
      <c r="Q363" s="10"/>
      <c r="W363" s="30"/>
      <c r="X363" s="10"/>
      <c r="AD363" s="30"/>
      <c r="AE363" s="35"/>
      <c r="AF363" s="35"/>
      <c r="AG363" s="10"/>
      <c r="AK363" s="30"/>
      <c r="AL363" s="10"/>
      <c r="AT363" s="30"/>
      <c r="AU363" s="10"/>
      <c r="BC363" s="30"/>
      <c r="BD363" s="10"/>
    </row>
    <row r="364" ht="15.75" customHeight="1">
      <c r="B364" s="30"/>
      <c r="C364" s="10"/>
      <c r="I364" s="30"/>
      <c r="J364" s="10"/>
      <c r="P364" s="30"/>
      <c r="Q364" s="10"/>
      <c r="W364" s="30"/>
      <c r="X364" s="10"/>
      <c r="AD364" s="30"/>
      <c r="AE364" s="35"/>
      <c r="AF364" s="35"/>
      <c r="AG364" s="10"/>
      <c r="AK364" s="30"/>
      <c r="AL364" s="10"/>
      <c r="AT364" s="30"/>
      <c r="AU364" s="10"/>
      <c r="BC364" s="30"/>
      <c r="BD364" s="10"/>
    </row>
    <row r="365" ht="15.75" customHeight="1">
      <c r="B365" s="30"/>
      <c r="C365" s="10"/>
      <c r="I365" s="30"/>
      <c r="J365" s="10"/>
      <c r="P365" s="30"/>
      <c r="Q365" s="10"/>
      <c r="W365" s="30"/>
      <c r="X365" s="10"/>
      <c r="AD365" s="30"/>
      <c r="AE365" s="35"/>
      <c r="AF365" s="35"/>
      <c r="AG365" s="10"/>
      <c r="AK365" s="30"/>
      <c r="AL365" s="10"/>
      <c r="AT365" s="30"/>
      <c r="AU365" s="10"/>
      <c r="BC365" s="30"/>
      <c r="BD365" s="10"/>
    </row>
    <row r="366" ht="15.75" customHeight="1">
      <c r="B366" s="30"/>
      <c r="C366" s="10"/>
      <c r="I366" s="30"/>
      <c r="J366" s="10"/>
      <c r="P366" s="30"/>
      <c r="Q366" s="10"/>
      <c r="W366" s="30"/>
      <c r="X366" s="10"/>
      <c r="AD366" s="30"/>
      <c r="AE366" s="35"/>
      <c r="AF366" s="35"/>
      <c r="AG366" s="10"/>
      <c r="AK366" s="30"/>
      <c r="AL366" s="10"/>
      <c r="AT366" s="30"/>
      <c r="AU366" s="10"/>
      <c r="BC366" s="30"/>
      <c r="BD366" s="10"/>
    </row>
    <row r="367" ht="15.75" customHeight="1">
      <c r="B367" s="30"/>
      <c r="C367" s="10"/>
      <c r="I367" s="30"/>
      <c r="J367" s="10"/>
      <c r="P367" s="30"/>
      <c r="Q367" s="10"/>
      <c r="W367" s="30"/>
      <c r="X367" s="10"/>
      <c r="AD367" s="30"/>
      <c r="AE367" s="35"/>
      <c r="AF367" s="35"/>
      <c r="AG367" s="10"/>
      <c r="AK367" s="30"/>
      <c r="AL367" s="10"/>
      <c r="AT367" s="30"/>
      <c r="AU367" s="10"/>
      <c r="BC367" s="30"/>
      <c r="BD367" s="10"/>
    </row>
    <row r="368" ht="15.75" customHeight="1">
      <c r="B368" s="30"/>
      <c r="C368" s="10"/>
      <c r="I368" s="30"/>
      <c r="J368" s="10"/>
      <c r="P368" s="30"/>
      <c r="Q368" s="10"/>
      <c r="W368" s="30"/>
      <c r="X368" s="10"/>
      <c r="AD368" s="30"/>
      <c r="AE368" s="35"/>
      <c r="AF368" s="35"/>
      <c r="AG368" s="10"/>
      <c r="AK368" s="30"/>
      <c r="AL368" s="10"/>
      <c r="AT368" s="30"/>
      <c r="AU368" s="10"/>
      <c r="BC368" s="30"/>
      <c r="BD368" s="10"/>
    </row>
    <row r="369" ht="15.75" customHeight="1">
      <c r="B369" s="30"/>
      <c r="C369" s="10"/>
      <c r="I369" s="30"/>
      <c r="J369" s="10"/>
      <c r="P369" s="30"/>
      <c r="Q369" s="10"/>
      <c r="W369" s="30"/>
      <c r="X369" s="10"/>
      <c r="AD369" s="30"/>
      <c r="AE369" s="35"/>
      <c r="AF369" s="35"/>
      <c r="AG369" s="10"/>
      <c r="AK369" s="30"/>
      <c r="AL369" s="10"/>
      <c r="AT369" s="30"/>
      <c r="AU369" s="10"/>
      <c r="BC369" s="30"/>
      <c r="BD369" s="10"/>
    </row>
    <row r="370" ht="15.75" customHeight="1">
      <c r="B370" s="30"/>
      <c r="C370" s="10"/>
      <c r="I370" s="30"/>
      <c r="J370" s="10"/>
      <c r="P370" s="30"/>
      <c r="Q370" s="10"/>
      <c r="W370" s="30"/>
      <c r="X370" s="10"/>
      <c r="AD370" s="30"/>
      <c r="AE370" s="35"/>
      <c r="AF370" s="35"/>
      <c r="AG370" s="10"/>
      <c r="AK370" s="30"/>
      <c r="AL370" s="10"/>
      <c r="AT370" s="30"/>
      <c r="AU370" s="10"/>
      <c r="BC370" s="30"/>
      <c r="BD370" s="10"/>
    </row>
    <row r="371" ht="15.75" customHeight="1">
      <c r="B371" s="30"/>
      <c r="C371" s="10"/>
      <c r="I371" s="30"/>
      <c r="J371" s="10"/>
      <c r="P371" s="30"/>
      <c r="Q371" s="10"/>
      <c r="W371" s="30"/>
      <c r="X371" s="10"/>
      <c r="AD371" s="30"/>
      <c r="AE371" s="35"/>
      <c r="AF371" s="35"/>
      <c r="AG371" s="10"/>
      <c r="AK371" s="30"/>
      <c r="AL371" s="10"/>
      <c r="AT371" s="30"/>
      <c r="AU371" s="10"/>
      <c r="BC371" s="30"/>
      <c r="BD371" s="10"/>
    </row>
    <row r="372" ht="15.75" customHeight="1">
      <c r="B372" s="30"/>
      <c r="C372" s="10"/>
      <c r="I372" s="30"/>
      <c r="J372" s="10"/>
      <c r="P372" s="30"/>
      <c r="Q372" s="10"/>
      <c r="W372" s="30"/>
      <c r="X372" s="10"/>
      <c r="AD372" s="30"/>
      <c r="AE372" s="35"/>
      <c r="AF372" s="35"/>
      <c r="AG372" s="10"/>
      <c r="AK372" s="30"/>
      <c r="AL372" s="10"/>
      <c r="AT372" s="30"/>
      <c r="AU372" s="10"/>
      <c r="BC372" s="30"/>
      <c r="BD372" s="10"/>
    </row>
    <row r="373" ht="15.75" customHeight="1">
      <c r="B373" s="30"/>
      <c r="C373" s="10"/>
      <c r="I373" s="30"/>
      <c r="J373" s="10"/>
      <c r="P373" s="30"/>
      <c r="Q373" s="10"/>
      <c r="W373" s="30"/>
      <c r="X373" s="10"/>
      <c r="AD373" s="30"/>
      <c r="AE373" s="35"/>
      <c r="AF373" s="35"/>
      <c r="AG373" s="10"/>
      <c r="AK373" s="30"/>
      <c r="AL373" s="10"/>
      <c r="AT373" s="30"/>
      <c r="AU373" s="10"/>
      <c r="BC373" s="30"/>
      <c r="BD373" s="10"/>
    </row>
    <row r="374" ht="15.75" customHeight="1">
      <c r="B374" s="30"/>
      <c r="C374" s="10"/>
      <c r="I374" s="30"/>
      <c r="J374" s="10"/>
      <c r="P374" s="30"/>
      <c r="Q374" s="10"/>
      <c r="W374" s="30"/>
      <c r="X374" s="10"/>
      <c r="AD374" s="30"/>
      <c r="AE374" s="35"/>
      <c r="AF374" s="35"/>
      <c r="AG374" s="10"/>
      <c r="AK374" s="30"/>
      <c r="AL374" s="10"/>
      <c r="AT374" s="30"/>
      <c r="AU374" s="10"/>
      <c r="BC374" s="30"/>
      <c r="BD374" s="10"/>
    </row>
    <row r="375" ht="15.75" customHeight="1">
      <c r="B375" s="30"/>
      <c r="C375" s="10"/>
      <c r="I375" s="30"/>
      <c r="J375" s="10"/>
      <c r="P375" s="30"/>
      <c r="Q375" s="10"/>
      <c r="W375" s="30"/>
      <c r="X375" s="10"/>
      <c r="AD375" s="30"/>
      <c r="AE375" s="35"/>
      <c r="AF375" s="35"/>
      <c r="AG375" s="10"/>
      <c r="AK375" s="30"/>
      <c r="AL375" s="10"/>
      <c r="AT375" s="30"/>
      <c r="AU375" s="10"/>
      <c r="BC375" s="30"/>
      <c r="BD375" s="10"/>
    </row>
    <row r="376" ht="15.75" customHeight="1">
      <c r="B376" s="30"/>
      <c r="C376" s="10"/>
      <c r="I376" s="30"/>
      <c r="J376" s="10"/>
      <c r="P376" s="30"/>
      <c r="Q376" s="10"/>
      <c r="W376" s="30"/>
      <c r="X376" s="10"/>
      <c r="AD376" s="30"/>
      <c r="AE376" s="35"/>
      <c r="AF376" s="35"/>
      <c r="AG376" s="10"/>
      <c r="AK376" s="30"/>
      <c r="AL376" s="10"/>
      <c r="AT376" s="30"/>
      <c r="AU376" s="10"/>
      <c r="BC376" s="30"/>
      <c r="BD376" s="10"/>
    </row>
    <row r="377" ht="15.75" customHeight="1">
      <c r="B377" s="30"/>
      <c r="C377" s="10"/>
      <c r="I377" s="30"/>
      <c r="J377" s="10"/>
      <c r="P377" s="30"/>
      <c r="Q377" s="10"/>
      <c r="W377" s="30"/>
      <c r="X377" s="10"/>
      <c r="AD377" s="30"/>
      <c r="AE377" s="35"/>
      <c r="AF377" s="35"/>
      <c r="AG377" s="10"/>
      <c r="AK377" s="30"/>
      <c r="AL377" s="10"/>
      <c r="AT377" s="30"/>
      <c r="AU377" s="10"/>
      <c r="BC377" s="30"/>
      <c r="BD377" s="10"/>
    </row>
    <row r="378" ht="15.75" customHeight="1">
      <c r="B378" s="30"/>
      <c r="C378" s="10"/>
      <c r="I378" s="30"/>
      <c r="J378" s="10"/>
      <c r="P378" s="30"/>
      <c r="Q378" s="10"/>
      <c r="W378" s="30"/>
      <c r="X378" s="10"/>
      <c r="AD378" s="30"/>
      <c r="AE378" s="35"/>
      <c r="AF378" s="35"/>
      <c r="AG378" s="10"/>
      <c r="AK378" s="30"/>
      <c r="AL378" s="10"/>
      <c r="AT378" s="30"/>
      <c r="AU378" s="10"/>
      <c r="BC378" s="30"/>
      <c r="BD378" s="10"/>
    </row>
    <row r="379" ht="15.75" customHeight="1">
      <c r="B379" s="30"/>
      <c r="C379" s="10"/>
      <c r="I379" s="30"/>
      <c r="J379" s="10"/>
      <c r="P379" s="30"/>
      <c r="Q379" s="10"/>
      <c r="W379" s="30"/>
      <c r="X379" s="10"/>
      <c r="AD379" s="30"/>
      <c r="AE379" s="35"/>
      <c r="AF379" s="35"/>
      <c r="AG379" s="10"/>
      <c r="AK379" s="30"/>
      <c r="AL379" s="10"/>
      <c r="AT379" s="30"/>
      <c r="AU379" s="10"/>
      <c r="BC379" s="30"/>
      <c r="BD379" s="10"/>
    </row>
    <row r="380" ht="15.75" customHeight="1">
      <c r="B380" s="30"/>
      <c r="C380" s="10"/>
      <c r="I380" s="30"/>
      <c r="J380" s="10"/>
      <c r="P380" s="30"/>
      <c r="Q380" s="10"/>
      <c r="W380" s="30"/>
      <c r="X380" s="10"/>
      <c r="AD380" s="30"/>
      <c r="AE380" s="35"/>
      <c r="AF380" s="35"/>
      <c r="AG380" s="10"/>
      <c r="AK380" s="30"/>
      <c r="AL380" s="10"/>
      <c r="AT380" s="30"/>
      <c r="AU380" s="10"/>
      <c r="BC380" s="30"/>
      <c r="BD380" s="10"/>
    </row>
    <row r="381" ht="15.75" customHeight="1">
      <c r="B381" s="30"/>
      <c r="C381" s="10"/>
      <c r="I381" s="30"/>
      <c r="J381" s="10"/>
      <c r="P381" s="30"/>
      <c r="Q381" s="10"/>
      <c r="W381" s="30"/>
      <c r="X381" s="10"/>
      <c r="AD381" s="30"/>
      <c r="AE381" s="35"/>
      <c r="AF381" s="35"/>
      <c r="AG381" s="10"/>
      <c r="AK381" s="30"/>
      <c r="AL381" s="10"/>
      <c r="AT381" s="30"/>
      <c r="AU381" s="10"/>
      <c r="BC381" s="30"/>
      <c r="BD381" s="10"/>
    </row>
    <row r="382" ht="15.75" customHeight="1">
      <c r="B382" s="30"/>
      <c r="C382" s="10"/>
      <c r="I382" s="30"/>
      <c r="J382" s="10"/>
      <c r="P382" s="30"/>
      <c r="Q382" s="10"/>
      <c r="W382" s="30"/>
      <c r="X382" s="10"/>
      <c r="AD382" s="30"/>
      <c r="AE382" s="35"/>
      <c r="AF382" s="35"/>
      <c r="AG382" s="10"/>
      <c r="AK382" s="30"/>
      <c r="AL382" s="10"/>
      <c r="AT382" s="30"/>
      <c r="AU382" s="10"/>
      <c r="BC382" s="30"/>
      <c r="BD382" s="10"/>
    </row>
    <row r="383" ht="15.75" customHeight="1">
      <c r="B383" s="30"/>
      <c r="C383" s="10"/>
      <c r="I383" s="30"/>
      <c r="J383" s="10"/>
      <c r="P383" s="30"/>
      <c r="Q383" s="10"/>
      <c r="W383" s="30"/>
      <c r="X383" s="10"/>
      <c r="AD383" s="30"/>
      <c r="AE383" s="35"/>
      <c r="AF383" s="35"/>
      <c r="AG383" s="10"/>
      <c r="AK383" s="30"/>
      <c r="AL383" s="10"/>
      <c r="AT383" s="30"/>
      <c r="AU383" s="10"/>
      <c r="BC383" s="30"/>
      <c r="BD383" s="10"/>
    </row>
    <row r="384" ht="15.75" customHeight="1">
      <c r="B384" s="30"/>
      <c r="C384" s="10"/>
      <c r="I384" s="30"/>
      <c r="J384" s="10"/>
      <c r="P384" s="30"/>
      <c r="Q384" s="10"/>
      <c r="W384" s="30"/>
      <c r="X384" s="10"/>
      <c r="AD384" s="30"/>
      <c r="AE384" s="35"/>
      <c r="AF384" s="35"/>
      <c r="AG384" s="10"/>
      <c r="AK384" s="30"/>
      <c r="AL384" s="10"/>
      <c r="AT384" s="30"/>
      <c r="AU384" s="10"/>
      <c r="BC384" s="30"/>
      <c r="BD384" s="10"/>
    </row>
    <row r="385" ht="15.75" customHeight="1">
      <c r="B385" s="30"/>
      <c r="C385" s="10"/>
      <c r="I385" s="30"/>
      <c r="J385" s="10"/>
      <c r="P385" s="30"/>
      <c r="Q385" s="10"/>
      <c r="W385" s="30"/>
      <c r="X385" s="10"/>
      <c r="AD385" s="30"/>
      <c r="AE385" s="35"/>
      <c r="AF385" s="35"/>
      <c r="AG385" s="10"/>
      <c r="AK385" s="30"/>
      <c r="AL385" s="10"/>
      <c r="AT385" s="30"/>
      <c r="AU385" s="10"/>
      <c r="BC385" s="30"/>
      <c r="BD385" s="10"/>
    </row>
    <row r="386" ht="15.75" customHeight="1">
      <c r="B386" s="30"/>
      <c r="C386" s="10"/>
      <c r="I386" s="30"/>
      <c r="J386" s="10"/>
      <c r="P386" s="30"/>
      <c r="Q386" s="10"/>
      <c r="W386" s="30"/>
      <c r="X386" s="10"/>
      <c r="AD386" s="30"/>
      <c r="AE386" s="35"/>
      <c r="AF386" s="35"/>
      <c r="AG386" s="10"/>
      <c r="AK386" s="30"/>
      <c r="AL386" s="10"/>
      <c r="AT386" s="30"/>
      <c r="AU386" s="10"/>
      <c r="BC386" s="30"/>
      <c r="BD386" s="10"/>
    </row>
    <row r="387" ht="15.75" customHeight="1">
      <c r="B387" s="30"/>
      <c r="C387" s="10"/>
      <c r="I387" s="30"/>
      <c r="J387" s="10"/>
      <c r="P387" s="30"/>
      <c r="Q387" s="10"/>
      <c r="W387" s="30"/>
      <c r="X387" s="10"/>
      <c r="AD387" s="30"/>
      <c r="AE387" s="35"/>
      <c r="AF387" s="35"/>
      <c r="AG387" s="10"/>
      <c r="AK387" s="30"/>
      <c r="AL387" s="10"/>
      <c r="AT387" s="30"/>
      <c r="AU387" s="10"/>
      <c r="BC387" s="30"/>
      <c r="BD387" s="10"/>
    </row>
    <row r="388" ht="15.75" customHeight="1">
      <c r="B388" s="30"/>
      <c r="C388" s="10"/>
      <c r="I388" s="30"/>
      <c r="J388" s="10"/>
      <c r="P388" s="30"/>
      <c r="Q388" s="10"/>
      <c r="W388" s="30"/>
      <c r="X388" s="10"/>
      <c r="AD388" s="30"/>
      <c r="AE388" s="35"/>
      <c r="AF388" s="35"/>
      <c r="AG388" s="10"/>
      <c r="AK388" s="30"/>
      <c r="AL388" s="10"/>
      <c r="AT388" s="30"/>
      <c r="AU388" s="10"/>
      <c r="BC388" s="30"/>
      <c r="BD388" s="10"/>
    </row>
    <row r="389" ht="15.75" customHeight="1">
      <c r="B389" s="30"/>
      <c r="C389" s="10"/>
      <c r="I389" s="30"/>
      <c r="J389" s="10"/>
      <c r="P389" s="30"/>
      <c r="Q389" s="10"/>
      <c r="W389" s="30"/>
      <c r="X389" s="10"/>
      <c r="AD389" s="30"/>
      <c r="AE389" s="35"/>
      <c r="AF389" s="35"/>
      <c r="AG389" s="10"/>
      <c r="AK389" s="30"/>
      <c r="AL389" s="10"/>
      <c r="AT389" s="30"/>
      <c r="AU389" s="10"/>
      <c r="BC389" s="30"/>
      <c r="BD389" s="10"/>
    </row>
    <row r="390" ht="15.75" customHeight="1">
      <c r="B390" s="30"/>
      <c r="C390" s="10"/>
      <c r="I390" s="30"/>
      <c r="J390" s="10"/>
      <c r="P390" s="30"/>
      <c r="Q390" s="10"/>
      <c r="W390" s="30"/>
      <c r="X390" s="10"/>
      <c r="AD390" s="30"/>
      <c r="AE390" s="35"/>
      <c r="AF390" s="35"/>
      <c r="AG390" s="10"/>
      <c r="AK390" s="30"/>
      <c r="AL390" s="10"/>
      <c r="AT390" s="30"/>
      <c r="AU390" s="10"/>
      <c r="BC390" s="30"/>
      <c r="BD390" s="10"/>
    </row>
    <row r="391" ht="15.75" customHeight="1">
      <c r="B391" s="30"/>
      <c r="C391" s="10"/>
      <c r="I391" s="30"/>
      <c r="J391" s="10"/>
      <c r="P391" s="30"/>
      <c r="Q391" s="10"/>
      <c r="W391" s="30"/>
      <c r="X391" s="10"/>
      <c r="AD391" s="30"/>
      <c r="AE391" s="35"/>
      <c r="AF391" s="35"/>
      <c r="AG391" s="10"/>
      <c r="AK391" s="30"/>
      <c r="AL391" s="10"/>
      <c r="AT391" s="30"/>
      <c r="AU391" s="10"/>
      <c r="BC391" s="30"/>
      <c r="BD391" s="10"/>
    </row>
    <row r="392" ht="15.75" customHeight="1">
      <c r="B392" s="30"/>
      <c r="C392" s="10"/>
      <c r="I392" s="30"/>
      <c r="J392" s="10"/>
      <c r="P392" s="30"/>
      <c r="Q392" s="10"/>
      <c r="W392" s="30"/>
      <c r="X392" s="10"/>
      <c r="AD392" s="30"/>
      <c r="AE392" s="35"/>
      <c r="AF392" s="35"/>
      <c r="AG392" s="10"/>
      <c r="AK392" s="30"/>
      <c r="AL392" s="10"/>
      <c r="AT392" s="30"/>
      <c r="AU392" s="10"/>
      <c r="BC392" s="30"/>
      <c r="BD392" s="10"/>
    </row>
    <row r="393" ht="15.75" customHeight="1">
      <c r="B393" s="30"/>
      <c r="C393" s="10"/>
      <c r="I393" s="30"/>
      <c r="J393" s="10"/>
      <c r="P393" s="30"/>
      <c r="Q393" s="10"/>
      <c r="W393" s="30"/>
      <c r="X393" s="10"/>
      <c r="AD393" s="30"/>
      <c r="AE393" s="35"/>
      <c r="AF393" s="35"/>
      <c r="AG393" s="10"/>
      <c r="AK393" s="30"/>
      <c r="AL393" s="10"/>
      <c r="AT393" s="30"/>
      <c r="AU393" s="10"/>
      <c r="BC393" s="30"/>
      <c r="BD393" s="10"/>
    </row>
    <row r="394" ht="15.75" customHeight="1">
      <c r="B394" s="30"/>
      <c r="C394" s="10"/>
      <c r="I394" s="30"/>
      <c r="J394" s="10"/>
      <c r="P394" s="30"/>
      <c r="Q394" s="10"/>
      <c r="W394" s="30"/>
      <c r="X394" s="10"/>
      <c r="AD394" s="30"/>
      <c r="AE394" s="35"/>
      <c r="AF394" s="35"/>
      <c r="AG394" s="10"/>
      <c r="AK394" s="30"/>
      <c r="AL394" s="10"/>
      <c r="AT394" s="30"/>
      <c r="AU394" s="10"/>
      <c r="BC394" s="30"/>
      <c r="BD394" s="10"/>
    </row>
    <row r="395" ht="15.75" customHeight="1">
      <c r="B395" s="30"/>
      <c r="C395" s="10"/>
      <c r="I395" s="30"/>
      <c r="J395" s="10"/>
      <c r="P395" s="30"/>
      <c r="Q395" s="10"/>
      <c r="W395" s="30"/>
      <c r="X395" s="10"/>
      <c r="AD395" s="30"/>
      <c r="AE395" s="35"/>
      <c r="AF395" s="35"/>
      <c r="AG395" s="10"/>
      <c r="AK395" s="30"/>
      <c r="AL395" s="10"/>
      <c r="AT395" s="30"/>
      <c r="AU395" s="10"/>
      <c r="BC395" s="30"/>
      <c r="BD395" s="10"/>
    </row>
    <row r="396" ht="15.75" customHeight="1">
      <c r="B396" s="30"/>
      <c r="C396" s="10"/>
      <c r="I396" s="30"/>
      <c r="J396" s="10"/>
      <c r="P396" s="30"/>
      <c r="Q396" s="10"/>
      <c r="W396" s="30"/>
      <c r="X396" s="10"/>
      <c r="AD396" s="30"/>
      <c r="AE396" s="35"/>
      <c r="AF396" s="35"/>
      <c r="AG396" s="10"/>
      <c r="AK396" s="30"/>
      <c r="AL396" s="10"/>
      <c r="AT396" s="30"/>
      <c r="AU396" s="10"/>
      <c r="BC396" s="30"/>
      <c r="BD396" s="10"/>
    </row>
    <row r="397" ht="15.75" customHeight="1">
      <c r="B397" s="30"/>
      <c r="C397" s="10"/>
      <c r="I397" s="30"/>
      <c r="J397" s="10"/>
      <c r="P397" s="30"/>
      <c r="Q397" s="10"/>
      <c r="W397" s="30"/>
      <c r="X397" s="10"/>
      <c r="AD397" s="30"/>
      <c r="AE397" s="35"/>
      <c r="AF397" s="35"/>
      <c r="AG397" s="10"/>
      <c r="AK397" s="30"/>
      <c r="AL397" s="10"/>
      <c r="AT397" s="30"/>
      <c r="AU397" s="10"/>
      <c r="BC397" s="30"/>
      <c r="BD397" s="10"/>
    </row>
    <row r="398" ht="15.75" customHeight="1">
      <c r="B398" s="30"/>
      <c r="C398" s="10"/>
      <c r="I398" s="30"/>
      <c r="J398" s="10"/>
      <c r="P398" s="30"/>
      <c r="Q398" s="10"/>
      <c r="W398" s="30"/>
      <c r="X398" s="10"/>
      <c r="AD398" s="30"/>
      <c r="AE398" s="35"/>
      <c r="AF398" s="35"/>
      <c r="AG398" s="10"/>
      <c r="AK398" s="30"/>
      <c r="AL398" s="10"/>
      <c r="AT398" s="30"/>
      <c r="AU398" s="10"/>
      <c r="BC398" s="30"/>
      <c r="BD398" s="10"/>
    </row>
    <row r="399" ht="15.75" customHeight="1">
      <c r="B399" s="30"/>
      <c r="C399" s="10"/>
      <c r="I399" s="30"/>
      <c r="J399" s="10"/>
      <c r="P399" s="30"/>
      <c r="Q399" s="10"/>
      <c r="W399" s="30"/>
      <c r="X399" s="10"/>
      <c r="AD399" s="30"/>
      <c r="AE399" s="35"/>
      <c r="AF399" s="35"/>
      <c r="AG399" s="10"/>
      <c r="AK399" s="30"/>
      <c r="AL399" s="10"/>
      <c r="AT399" s="30"/>
      <c r="AU399" s="10"/>
      <c r="BC399" s="30"/>
      <c r="BD399" s="10"/>
    </row>
    <row r="400" ht="15.75" customHeight="1">
      <c r="B400" s="30"/>
      <c r="C400" s="10"/>
      <c r="I400" s="30"/>
      <c r="J400" s="10"/>
      <c r="P400" s="30"/>
      <c r="Q400" s="10"/>
      <c r="W400" s="30"/>
      <c r="X400" s="10"/>
      <c r="AD400" s="30"/>
      <c r="AE400" s="35"/>
      <c r="AF400" s="35"/>
      <c r="AG400" s="10"/>
      <c r="AK400" s="30"/>
      <c r="AL400" s="10"/>
      <c r="AT400" s="30"/>
      <c r="AU400" s="10"/>
      <c r="BC400" s="30"/>
      <c r="BD400" s="10"/>
    </row>
    <row r="401" ht="15.75" customHeight="1">
      <c r="B401" s="30"/>
      <c r="C401" s="10"/>
      <c r="I401" s="30"/>
      <c r="J401" s="10"/>
      <c r="P401" s="30"/>
      <c r="Q401" s="10"/>
      <c r="W401" s="30"/>
      <c r="X401" s="10"/>
      <c r="AD401" s="30"/>
      <c r="AE401" s="35"/>
      <c r="AF401" s="35"/>
      <c r="AG401" s="10"/>
      <c r="AK401" s="30"/>
      <c r="AL401" s="10"/>
      <c r="AT401" s="30"/>
      <c r="AU401" s="10"/>
      <c r="BC401" s="30"/>
      <c r="BD401" s="10"/>
    </row>
    <row r="402" ht="15.75" customHeight="1">
      <c r="B402" s="30"/>
      <c r="C402" s="10"/>
      <c r="I402" s="30"/>
      <c r="J402" s="10"/>
      <c r="P402" s="30"/>
      <c r="Q402" s="10"/>
      <c r="W402" s="30"/>
      <c r="X402" s="10"/>
      <c r="AD402" s="30"/>
      <c r="AE402" s="35"/>
      <c r="AF402" s="35"/>
      <c r="AG402" s="10"/>
      <c r="AK402" s="30"/>
      <c r="AL402" s="10"/>
      <c r="AT402" s="30"/>
      <c r="AU402" s="10"/>
      <c r="BC402" s="30"/>
      <c r="BD402" s="10"/>
    </row>
    <row r="403" ht="15.75" customHeight="1">
      <c r="B403" s="30"/>
      <c r="C403" s="10"/>
      <c r="I403" s="30"/>
      <c r="J403" s="10"/>
      <c r="P403" s="30"/>
      <c r="Q403" s="10"/>
      <c r="W403" s="30"/>
      <c r="X403" s="10"/>
      <c r="AD403" s="30"/>
      <c r="AE403" s="35"/>
      <c r="AF403" s="35"/>
      <c r="AG403" s="10"/>
      <c r="AK403" s="30"/>
      <c r="AL403" s="10"/>
      <c r="AT403" s="30"/>
      <c r="AU403" s="10"/>
      <c r="BC403" s="30"/>
      <c r="BD403" s="10"/>
    </row>
    <row r="404" ht="15.75" customHeight="1">
      <c r="B404" s="30"/>
      <c r="C404" s="10"/>
      <c r="I404" s="30"/>
      <c r="J404" s="10"/>
      <c r="P404" s="30"/>
      <c r="Q404" s="10"/>
      <c r="W404" s="30"/>
      <c r="X404" s="10"/>
      <c r="AD404" s="30"/>
      <c r="AE404" s="35"/>
      <c r="AF404" s="35"/>
      <c r="AG404" s="10"/>
      <c r="AK404" s="30"/>
      <c r="AL404" s="10"/>
      <c r="AT404" s="30"/>
      <c r="AU404" s="10"/>
      <c r="BC404" s="30"/>
      <c r="BD404" s="10"/>
    </row>
    <row r="405" ht="15.75" customHeight="1">
      <c r="B405" s="30"/>
      <c r="C405" s="10"/>
      <c r="I405" s="30"/>
      <c r="J405" s="10"/>
      <c r="P405" s="30"/>
      <c r="Q405" s="10"/>
      <c r="W405" s="30"/>
      <c r="X405" s="10"/>
      <c r="AD405" s="30"/>
      <c r="AE405" s="35"/>
      <c r="AF405" s="35"/>
      <c r="AG405" s="10"/>
      <c r="AK405" s="30"/>
      <c r="AL405" s="10"/>
      <c r="AT405" s="30"/>
      <c r="AU405" s="10"/>
      <c r="BC405" s="30"/>
      <c r="BD405" s="10"/>
    </row>
    <row r="406" ht="15.75" customHeight="1">
      <c r="B406" s="30"/>
      <c r="C406" s="10"/>
      <c r="I406" s="30"/>
      <c r="J406" s="10"/>
      <c r="P406" s="30"/>
      <c r="Q406" s="10"/>
      <c r="W406" s="30"/>
      <c r="X406" s="10"/>
      <c r="AD406" s="30"/>
      <c r="AE406" s="35"/>
      <c r="AF406" s="35"/>
      <c r="AG406" s="10"/>
      <c r="AK406" s="30"/>
      <c r="AL406" s="10"/>
      <c r="AT406" s="30"/>
      <c r="AU406" s="10"/>
      <c r="BC406" s="30"/>
      <c r="BD406" s="10"/>
    </row>
    <row r="407" ht="15.75" customHeight="1">
      <c r="B407" s="30"/>
      <c r="C407" s="10"/>
      <c r="I407" s="30"/>
      <c r="J407" s="10"/>
      <c r="P407" s="30"/>
      <c r="Q407" s="10"/>
      <c r="W407" s="30"/>
      <c r="X407" s="10"/>
      <c r="AD407" s="30"/>
      <c r="AE407" s="35"/>
      <c r="AF407" s="35"/>
      <c r="AG407" s="10"/>
      <c r="AK407" s="30"/>
      <c r="AL407" s="10"/>
      <c r="AT407" s="30"/>
      <c r="AU407" s="10"/>
      <c r="BC407" s="30"/>
      <c r="BD407" s="10"/>
    </row>
    <row r="408" ht="15.75" customHeight="1">
      <c r="B408" s="30"/>
      <c r="C408" s="10"/>
      <c r="I408" s="30"/>
      <c r="J408" s="10"/>
      <c r="P408" s="30"/>
      <c r="Q408" s="10"/>
      <c r="W408" s="30"/>
      <c r="X408" s="10"/>
      <c r="AD408" s="30"/>
      <c r="AE408" s="35"/>
      <c r="AF408" s="35"/>
      <c r="AG408" s="10"/>
      <c r="AK408" s="30"/>
      <c r="AL408" s="10"/>
      <c r="AT408" s="30"/>
      <c r="AU408" s="10"/>
      <c r="BC408" s="30"/>
      <c r="BD408" s="10"/>
    </row>
    <row r="409" ht="15.75" customHeight="1">
      <c r="B409" s="30"/>
      <c r="C409" s="10"/>
      <c r="I409" s="30"/>
      <c r="J409" s="10"/>
      <c r="P409" s="30"/>
      <c r="Q409" s="10"/>
      <c r="W409" s="30"/>
      <c r="X409" s="10"/>
      <c r="AD409" s="30"/>
      <c r="AE409" s="35"/>
      <c r="AF409" s="35"/>
      <c r="AG409" s="10"/>
      <c r="AK409" s="30"/>
      <c r="AL409" s="10"/>
      <c r="AT409" s="30"/>
      <c r="AU409" s="10"/>
      <c r="BC409" s="30"/>
      <c r="BD409" s="10"/>
    </row>
    <row r="410" ht="15.75" customHeight="1">
      <c r="B410" s="30"/>
      <c r="C410" s="10"/>
      <c r="I410" s="30"/>
      <c r="J410" s="10"/>
      <c r="P410" s="30"/>
      <c r="Q410" s="10"/>
      <c r="W410" s="30"/>
      <c r="X410" s="10"/>
      <c r="AD410" s="30"/>
      <c r="AE410" s="35"/>
      <c r="AF410" s="35"/>
      <c r="AG410" s="10"/>
      <c r="AK410" s="30"/>
      <c r="AL410" s="10"/>
      <c r="AT410" s="30"/>
      <c r="AU410" s="10"/>
      <c r="BC410" s="30"/>
      <c r="BD410" s="10"/>
    </row>
    <row r="411" ht="15.75" customHeight="1">
      <c r="B411" s="30"/>
      <c r="C411" s="10"/>
      <c r="I411" s="30"/>
      <c r="J411" s="10"/>
      <c r="P411" s="30"/>
      <c r="Q411" s="10"/>
      <c r="W411" s="30"/>
      <c r="X411" s="10"/>
      <c r="AD411" s="30"/>
      <c r="AE411" s="35"/>
      <c r="AF411" s="35"/>
      <c r="AG411" s="10"/>
      <c r="AK411" s="30"/>
      <c r="AL411" s="10"/>
      <c r="AT411" s="30"/>
      <c r="AU411" s="10"/>
      <c r="BC411" s="30"/>
      <c r="BD411" s="10"/>
    </row>
    <row r="412" ht="15.75" customHeight="1">
      <c r="B412" s="30"/>
      <c r="C412" s="10"/>
      <c r="I412" s="30"/>
      <c r="J412" s="10"/>
      <c r="P412" s="30"/>
      <c r="Q412" s="10"/>
      <c r="W412" s="30"/>
      <c r="X412" s="10"/>
      <c r="AD412" s="30"/>
      <c r="AE412" s="35"/>
      <c r="AF412" s="35"/>
      <c r="AG412" s="10"/>
      <c r="AK412" s="30"/>
      <c r="AL412" s="10"/>
      <c r="AT412" s="30"/>
      <c r="AU412" s="10"/>
      <c r="BC412" s="30"/>
      <c r="BD412" s="10"/>
    </row>
    <row r="413" ht="15.75" customHeight="1">
      <c r="B413" s="30"/>
      <c r="C413" s="10"/>
      <c r="I413" s="30"/>
      <c r="J413" s="10"/>
      <c r="P413" s="30"/>
      <c r="Q413" s="10"/>
      <c r="W413" s="30"/>
      <c r="X413" s="10"/>
      <c r="AD413" s="30"/>
      <c r="AE413" s="35"/>
      <c r="AF413" s="35"/>
      <c r="AG413" s="10"/>
      <c r="AK413" s="30"/>
      <c r="AL413" s="10"/>
      <c r="AT413" s="30"/>
      <c r="AU413" s="10"/>
      <c r="BC413" s="30"/>
      <c r="BD413" s="10"/>
    </row>
    <row r="414" ht="15.75" customHeight="1">
      <c r="B414" s="30"/>
      <c r="C414" s="10"/>
      <c r="I414" s="30"/>
      <c r="J414" s="10"/>
      <c r="P414" s="30"/>
      <c r="Q414" s="10"/>
      <c r="W414" s="30"/>
      <c r="X414" s="10"/>
      <c r="AD414" s="30"/>
      <c r="AE414" s="35"/>
      <c r="AF414" s="35"/>
      <c r="AG414" s="10"/>
      <c r="AK414" s="30"/>
      <c r="AL414" s="10"/>
      <c r="AT414" s="30"/>
      <c r="AU414" s="10"/>
      <c r="BC414" s="30"/>
      <c r="BD414" s="10"/>
    </row>
    <row r="415" ht="15.75" customHeight="1">
      <c r="B415" s="30"/>
      <c r="C415" s="10"/>
      <c r="I415" s="30"/>
      <c r="J415" s="10"/>
      <c r="P415" s="30"/>
      <c r="Q415" s="10"/>
      <c r="W415" s="30"/>
      <c r="X415" s="10"/>
      <c r="AD415" s="30"/>
      <c r="AE415" s="35"/>
      <c r="AF415" s="35"/>
      <c r="AG415" s="10"/>
      <c r="AK415" s="30"/>
      <c r="AL415" s="10"/>
      <c r="AT415" s="30"/>
      <c r="AU415" s="10"/>
      <c r="BC415" s="30"/>
      <c r="BD415" s="10"/>
    </row>
    <row r="416" ht="15.75" customHeight="1">
      <c r="B416" s="30"/>
      <c r="C416" s="10"/>
      <c r="I416" s="30"/>
      <c r="J416" s="10"/>
      <c r="P416" s="30"/>
      <c r="Q416" s="10"/>
      <c r="W416" s="30"/>
      <c r="X416" s="10"/>
      <c r="AD416" s="30"/>
      <c r="AE416" s="35"/>
      <c r="AF416" s="35"/>
      <c r="AG416" s="10"/>
      <c r="AK416" s="30"/>
      <c r="AL416" s="10"/>
      <c r="AT416" s="30"/>
      <c r="AU416" s="10"/>
      <c r="BC416" s="30"/>
      <c r="BD416" s="10"/>
    </row>
    <row r="417" ht="15.75" customHeight="1">
      <c r="B417" s="30"/>
      <c r="C417" s="10"/>
      <c r="I417" s="30"/>
      <c r="J417" s="10"/>
      <c r="P417" s="30"/>
      <c r="Q417" s="10"/>
      <c r="W417" s="30"/>
      <c r="X417" s="10"/>
      <c r="AD417" s="30"/>
      <c r="AE417" s="35"/>
      <c r="AF417" s="35"/>
      <c r="AG417" s="10"/>
      <c r="AK417" s="30"/>
      <c r="AL417" s="10"/>
      <c r="AT417" s="30"/>
      <c r="AU417" s="10"/>
      <c r="BC417" s="30"/>
      <c r="BD417" s="10"/>
    </row>
    <row r="418" ht="15.75" customHeight="1">
      <c r="B418" s="30"/>
      <c r="C418" s="10"/>
      <c r="I418" s="30"/>
      <c r="J418" s="10"/>
      <c r="P418" s="30"/>
      <c r="Q418" s="10"/>
      <c r="W418" s="30"/>
      <c r="X418" s="10"/>
      <c r="AD418" s="30"/>
      <c r="AE418" s="35"/>
      <c r="AF418" s="35"/>
      <c r="AG418" s="10"/>
      <c r="AK418" s="30"/>
      <c r="AL418" s="10"/>
      <c r="AT418" s="30"/>
      <c r="AU418" s="10"/>
      <c r="BC418" s="30"/>
      <c r="BD418" s="10"/>
    </row>
    <row r="419" ht="15.75" customHeight="1">
      <c r="B419" s="30"/>
      <c r="C419" s="10"/>
      <c r="I419" s="30"/>
      <c r="J419" s="10"/>
      <c r="P419" s="30"/>
      <c r="Q419" s="10"/>
      <c r="W419" s="30"/>
      <c r="X419" s="10"/>
      <c r="AD419" s="30"/>
      <c r="AE419" s="35"/>
      <c r="AF419" s="35"/>
      <c r="AG419" s="10"/>
      <c r="AK419" s="30"/>
      <c r="AL419" s="10"/>
      <c r="AT419" s="30"/>
      <c r="AU419" s="10"/>
      <c r="BC419" s="30"/>
      <c r="BD419" s="10"/>
    </row>
    <row r="420" ht="15.75" customHeight="1">
      <c r="B420" s="30"/>
      <c r="C420" s="10"/>
      <c r="I420" s="30"/>
      <c r="J420" s="10"/>
      <c r="P420" s="30"/>
      <c r="Q420" s="10"/>
      <c r="W420" s="30"/>
      <c r="X420" s="10"/>
      <c r="AD420" s="30"/>
      <c r="AE420" s="35"/>
      <c r="AF420" s="35"/>
      <c r="AG420" s="10"/>
      <c r="AK420" s="30"/>
      <c r="AL420" s="10"/>
      <c r="AT420" s="30"/>
      <c r="AU420" s="10"/>
      <c r="BC420" s="30"/>
      <c r="BD420" s="10"/>
    </row>
    <row r="421" ht="15.75" customHeight="1">
      <c r="B421" s="30"/>
      <c r="C421" s="10"/>
      <c r="I421" s="30"/>
      <c r="J421" s="10"/>
      <c r="P421" s="30"/>
      <c r="Q421" s="10"/>
      <c r="W421" s="30"/>
      <c r="X421" s="10"/>
      <c r="AD421" s="30"/>
      <c r="AE421" s="35"/>
      <c r="AF421" s="35"/>
      <c r="AG421" s="10"/>
      <c r="AK421" s="30"/>
      <c r="AL421" s="10"/>
      <c r="AT421" s="30"/>
      <c r="AU421" s="10"/>
      <c r="BC421" s="30"/>
      <c r="BD421" s="10"/>
    </row>
    <row r="422" ht="15.75" customHeight="1">
      <c r="B422" s="30"/>
      <c r="C422" s="10"/>
      <c r="I422" s="30"/>
      <c r="J422" s="10"/>
      <c r="P422" s="30"/>
      <c r="Q422" s="10"/>
      <c r="W422" s="30"/>
      <c r="X422" s="10"/>
      <c r="AD422" s="30"/>
      <c r="AE422" s="35"/>
      <c r="AF422" s="35"/>
      <c r="AG422" s="10"/>
      <c r="AK422" s="30"/>
      <c r="AL422" s="10"/>
      <c r="AT422" s="30"/>
      <c r="AU422" s="10"/>
      <c r="BC422" s="30"/>
      <c r="BD422" s="10"/>
    </row>
    <row r="423" ht="15.75" customHeight="1">
      <c r="B423" s="30"/>
      <c r="C423" s="10"/>
      <c r="I423" s="30"/>
      <c r="J423" s="10"/>
      <c r="P423" s="30"/>
      <c r="Q423" s="10"/>
      <c r="W423" s="30"/>
      <c r="X423" s="10"/>
      <c r="AD423" s="30"/>
      <c r="AE423" s="35"/>
      <c r="AF423" s="35"/>
      <c r="AG423" s="10"/>
      <c r="AK423" s="30"/>
      <c r="AL423" s="10"/>
      <c r="AT423" s="30"/>
      <c r="AU423" s="10"/>
      <c r="BC423" s="30"/>
      <c r="BD423" s="10"/>
    </row>
    <row r="424" ht="15.75" customHeight="1">
      <c r="B424" s="30"/>
      <c r="C424" s="10"/>
      <c r="I424" s="30"/>
      <c r="J424" s="10"/>
      <c r="P424" s="30"/>
      <c r="Q424" s="10"/>
      <c r="W424" s="30"/>
      <c r="X424" s="10"/>
      <c r="AD424" s="30"/>
      <c r="AE424" s="35"/>
      <c r="AF424" s="35"/>
      <c r="AG424" s="10"/>
      <c r="AK424" s="30"/>
      <c r="AL424" s="10"/>
      <c r="AT424" s="30"/>
      <c r="AU424" s="10"/>
      <c r="BC424" s="30"/>
      <c r="BD424" s="10"/>
    </row>
    <row r="425" ht="15.75" customHeight="1">
      <c r="B425" s="30"/>
      <c r="C425" s="10"/>
      <c r="I425" s="30"/>
      <c r="J425" s="10"/>
      <c r="P425" s="30"/>
      <c r="Q425" s="10"/>
      <c r="W425" s="30"/>
      <c r="X425" s="10"/>
      <c r="AD425" s="30"/>
      <c r="AE425" s="35"/>
      <c r="AF425" s="35"/>
      <c r="AG425" s="10"/>
      <c r="AK425" s="30"/>
      <c r="AL425" s="10"/>
      <c r="AT425" s="30"/>
      <c r="AU425" s="10"/>
      <c r="BC425" s="30"/>
      <c r="BD425" s="10"/>
    </row>
    <row r="426" ht="15.75" customHeight="1">
      <c r="B426" s="30"/>
      <c r="C426" s="10"/>
      <c r="I426" s="30"/>
      <c r="J426" s="10"/>
      <c r="P426" s="30"/>
      <c r="Q426" s="10"/>
      <c r="W426" s="30"/>
      <c r="X426" s="10"/>
      <c r="AD426" s="30"/>
      <c r="AE426" s="35"/>
      <c r="AF426" s="35"/>
      <c r="AG426" s="10"/>
      <c r="AK426" s="30"/>
      <c r="AL426" s="10"/>
      <c r="AT426" s="30"/>
      <c r="AU426" s="10"/>
      <c r="BC426" s="30"/>
      <c r="BD426" s="10"/>
    </row>
    <row r="427" ht="15.75" customHeight="1">
      <c r="B427" s="30"/>
      <c r="C427" s="10"/>
      <c r="I427" s="30"/>
      <c r="J427" s="10"/>
      <c r="P427" s="30"/>
      <c r="Q427" s="10"/>
      <c r="W427" s="30"/>
      <c r="X427" s="10"/>
      <c r="AD427" s="30"/>
      <c r="AE427" s="35"/>
      <c r="AF427" s="35"/>
      <c r="AG427" s="10"/>
      <c r="AK427" s="30"/>
      <c r="AL427" s="10"/>
      <c r="AT427" s="30"/>
      <c r="AU427" s="10"/>
      <c r="BC427" s="30"/>
      <c r="BD427" s="10"/>
    </row>
    <row r="428" ht="15.75" customHeight="1">
      <c r="B428" s="30"/>
      <c r="C428" s="10"/>
      <c r="I428" s="30"/>
      <c r="J428" s="10"/>
      <c r="P428" s="30"/>
      <c r="Q428" s="10"/>
      <c r="W428" s="30"/>
      <c r="X428" s="10"/>
      <c r="AD428" s="30"/>
      <c r="AE428" s="35"/>
      <c r="AF428" s="35"/>
      <c r="AG428" s="10"/>
      <c r="AK428" s="30"/>
      <c r="AL428" s="10"/>
      <c r="AT428" s="30"/>
      <c r="AU428" s="10"/>
      <c r="BC428" s="30"/>
      <c r="BD428" s="10"/>
    </row>
    <row r="429" ht="15.75" customHeight="1">
      <c r="B429" s="30"/>
      <c r="C429" s="10"/>
      <c r="I429" s="30"/>
      <c r="J429" s="10"/>
      <c r="P429" s="30"/>
      <c r="Q429" s="10"/>
      <c r="W429" s="30"/>
      <c r="X429" s="10"/>
      <c r="AD429" s="30"/>
      <c r="AE429" s="35"/>
      <c r="AF429" s="35"/>
      <c r="AG429" s="10"/>
      <c r="AK429" s="30"/>
      <c r="AL429" s="10"/>
      <c r="AT429" s="30"/>
      <c r="AU429" s="10"/>
      <c r="BC429" s="30"/>
      <c r="BD429" s="10"/>
    </row>
    <row r="430" ht="15.75" customHeight="1">
      <c r="B430" s="30"/>
      <c r="C430" s="10"/>
      <c r="I430" s="30"/>
      <c r="J430" s="10"/>
      <c r="P430" s="30"/>
      <c r="Q430" s="10"/>
      <c r="W430" s="30"/>
      <c r="X430" s="10"/>
      <c r="AD430" s="30"/>
      <c r="AE430" s="35"/>
      <c r="AF430" s="35"/>
      <c r="AG430" s="10"/>
      <c r="AK430" s="30"/>
      <c r="AL430" s="10"/>
      <c r="AT430" s="30"/>
      <c r="AU430" s="10"/>
      <c r="BC430" s="30"/>
      <c r="BD430" s="10"/>
    </row>
    <row r="431" ht="15.75" customHeight="1">
      <c r="B431" s="30"/>
      <c r="C431" s="10"/>
      <c r="I431" s="30"/>
      <c r="J431" s="10"/>
      <c r="P431" s="30"/>
      <c r="Q431" s="10"/>
      <c r="W431" s="30"/>
      <c r="X431" s="10"/>
      <c r="AD431" s="30"/>
      <c r="AE431" s="35"/>
      <c r="AF431" s="35"/>
      <c r="AG431" s="10"/>
      <c r="AK431" s="30"/>
      <c r="AL431" s="10"/>
      <c r="AT431" s="30"/>
      <c r="AU431" s="10"/>
      <c r="BC431" s="30"/>
      <c r="BD431" s="10"/>
    </row>
    <row r="432" ht="15.75" customHeight="1">
      <c r="B432" s="30"/>
      <c r="C432" s="10"/>
      <c r="I432" s="30"/>
      <c r="J432" s="10"/>
      <c r="P432" s="30"/>
      <c r="Q432" s="10"/>
      <c r="W432" s="30"/>
      <c r="X432" s="10"/>
      <c r="AD432" s="30"/>
      <c r="AE432" s="35"/>
      <c r="AF432" s="35"/>
      <c r="AG432" s="10"/>
      <c r="AK432" s="30"/>
      <c r="AL432" s="10"/>
      <c r="AT432" s="30"/>
      <c r="AU432" s="10"/>
      <c r="BC432" s="30"/>
      <c r="BD432" s="10"/>
    </row>
    <row r="433" ht="15.75" customHeight="1">
      <c r="B433" s="30"/>
      <c r="C433" s="10"/>
      <c r="I433" s="30"/>
      <c r="J433" s="10"/>
      <c r="P433" s="30"/>
      <c r="Q433" s="10"/>
      <c r="W433" s="30"/>
      <c r="X433" s="10"/>
      <c r="AD433" s="30"/>
      <c r="AE433" s="35"/>
      <c r="AF433" s="35"/>
      <c r="AG433" s="10"/>
      <c r="AK433" s="30"/>
      <c r="AL433" s="10"/>
      <c r="AT433" s="30"/>
      <c r="AU433" s="10"/>
      <c r="BC433" s="30"/>
      <c r="BD433" s="10"/>
    </row>
    <row r="434" ht="15.75" customHeight="1">
      <c r="B434" s="30"/>
      <c r="C434" s="10"/>
      <c r="I434" s="30"/>
      <c r="J434" s="10"/>
      <c r="P434" s="30"/>
      <c r="Q434" s="10"/>
      <c r="W434" s="30"/>
      <c r="X434" s="10"/>
      <c r="AD434" s="30"/>
      <c r="AE434" s="35"/>
      <c r="AF434" s="35"/>
      <c r="AG434" s="10"/>
      <c r="AK434" s="30"/>
      <c r="AL434" s="10"/>
      <c r="AT434" s="30"/>
      <c r="AU434" s="10"/>
      <c r="BC434" s="30"/>
      <c r="BD434" s="10"/>
    </row>
    <row r="435" ht="15.75" customHeight="1">
      <c r="B435" s="30"/>
      <c r="C435" s="10"/>
      <c r="I435" s="30"/>
      <c r="J435" s="10"/>
      <c r="P435" s="30"/>
      <c r="Q435" s="10"/>
      <c r="W435" s="30"/>
      <c r="X435" s="10"/>
      <c r="AD435" s="30"/>
      <c r="AE435" s="35"/>
      <c r="AF435" s="35"/>
      <c r="AG435" s="10"/>
      <c r="AK435" s="30"/>
      <c r="AL435" s="10"/>
      <c r="AT435" s="30"/>
      <c r="AU435" s="10"/>
      <c r="BC435" s="30"/>
      <c r="BD435" s="10"/>
    </row>
    <row r="436" ht="15.75" customHeight="1">
      <c r="B436" s="30"/>
      <c r="C436" s="10"/>
      <c r="I436" s="30"/>
      <c r="J436" s="10"/>
      <c r="P436" s="30"/>
      <c r="Q436" s="10"/>
      <c r="W436" s="30"/>
      <c r="X436" s="10"/>
      <c r="AD436" s="30"/>
      <c r="AE436" s="35"/>
      <c r="AF436" s="35"/>
      <c r="AG436" s="10"/>
      <c r="AK436" s="30"/>
      <c r="AL436" s="10"/>
      <c r="AT436" s="30"/>
      <c r="AU436" s="10"/>
      <c r="BC436" s="30"/>
      <c r="BD436" s="10"/>
    </row>
    <row r="437" ht="15.75" customHeight="1">
      <c r="B437" s="30"/>
      <c r="C437" s="10"/>
      <c r="I437" s="30"/>
      <c r="J437" s="10"/>
      <c r="P437" s="30"/>
      <c r="Q437" s="10"/>
      <c r="W437" s="30"/>
      <c r="X437" s="10"/>
      <c r="AD437" s="30"/>
      <c r="AE437" s="35"/>
      <c r="AF437" s="35"/>
      <c r="AG437" s="10"/>
      <c r="AK437" s="30"/>
      <c r="AL437" s="10"/>
      <c r="AT437" s="30"/>
      <c r="AU437" s="10"/>
      <c r="BC437" s="30"/>
      <c r="BD437" s="10"/>
    </row>
    <row r="438" ht="15.75" customHeight="1">
      <c r="B438" s="30"/>
      <c r="C438" s="10"/>
      <c r="I438" s="30"/>
      <c r="J438" s="10"/>
      <c r="P438" s="30"/>
      <c r="Q438" s="10"/>
      <c r="W438" s="30"/>
      <c r="X438" s="10"/>
      <c r="AD438" s="30"/>
      <c r="AE438" s="35"/>
      <c r="AF438" s="35"/>
      <c r="AG438" s="10"/>
      <c r="AK438" s="30"/>
      <c r="AL438" s="10"/>
      <c r="AT438" s="30"/>
      <c r="AU438" s="10"/>
      <c r="BC438" s="30"/>
      <c r="BD438" s="10"/>
    </row>
    <row r="439" ht="15.75" customHeight="1">
      <c r="B439" s="30"/>
      <c r="C439" s="10"/>
      <c r="I439" s="30"/>
      <c r="J439" s="10"/>
      <c r="P439" s="30"/>
      <c r="Q439" s="10"/>
      <c r="W439" s="30"/>
      <c r="X439" s="10"/>
      <c r="AD439" s="30"/>
      <c r="AE439" s="35"/>
      <c r="AF439" s="35"/>
      <c r="AG439" s="10"/>
      <c r="AK439" s="30"/>
      <c r="AL439" s="10"/>
      <c r="AT439" s="30"/>
      <c r="AU439" s="10"/>
      <c r="BC439" s="30"/>
      <c r="BD439" s="10"/>
    </row>
    <row r="440" ht="15.75" customHeight="1">
      <c r="B440" s="30"/>
      <c r="C440" s="10"/>
      <c r="I440" s="30"/>
      <c r="J440" s="10"/>
      <c r="P440" s="30"/>
      <c r="Q440" s="10"/>
      <c r="W440" s="30"/>
      <c r="X440" s="10"/>
      <c r="AD440" s="30"/>
      <c r="AE440" s="35"/>
      <c r="AF440" s="35"/>
      <c r="AG440" s="10"/>
      <c r="AK440" s="30"/>
      <c r="AL440" s="10"/>
      <c r="AT440" s="30"/>
      <c r="AU440" s="10"/>
      <c r="BC440" s="30"/>
      <c r="BD440" s="10"/>
    </row>
    <row r="441" ht="15.75" customHeight="1">
      <c r="B441" s="30"/>
      <c r="C441" s="10"/>
      <c r="I441" s="30"/>
      <c r="J441" s="10"/>
      <c r="P441" s="30"/>
      <c r="Q441" s="10"/>
      <c r="W441" s="30"/>
      <c r="X441" s="10"/>
      <c r="AD441" s="30"/>
      <c r="AE441" s="35"/>
      <c r="AF441" s="35"/>
      <c r="AG441" s="10"/>
      <c r="AK441" s="30"/>
      <c r="AL441" s="10"/>
      <c r="AT441" s="30"/>
      <c r="AU441" s="10"/>
      <c r="BC441" s="30"/>
      <c r="BD441" s="10"/>
    </row>
    <row r="442" ht="15.75" customHeight="1">
      <c r="B442" s="30"/>
      <c r="C442" s="10"/>
      <c r="I442" s="30"/>
      <c r="J442" s="10"/>
      <c r="P442" s="30"/>
      <c r="Q442" s="10"/>
      <c r="W442" s="30"/>
      <c r="X442" s="10"/>
      <c r="AD442" s="30"/>
      <c r="AE442" s="35"/>
      <c r="AF442" s="35"/>
      <c r="AG442" s="10"/>
      <c r="AK442" s="30"/>
      <c r="AL442" s="10"/>
      <c r="AT442" s="30"/>
      <c r="AU442" s="10"/>
      <c r="BC442" s="30"/>
      <c r="BD442" s="10"/>
    </row>
    <row r="443" ht="15.75" customHeight="1">
      <c r="B443" s="30"/>
      <c r="C443" s="10"/>
      <c r="I443" s="30"/>
      <c r="J443" s="10"/>
      <c r="P443" s="30"/>
      <c r="Q443" s="10"/>
      <c r="W443" s="30"/>
      <c r="X443" s="10"/>
      <c r="AD443" s="30"/>
      <c r="AE443" s="35"/>
      <c r="AF443" s="35"/>
      <c r="AG443" s="10"/>
      <c r="AK443" s="30"/>
      <c r="AL443" s="10"/>
      <c r="AT443" s="30"/>
      <c r="AU443" s="10"/>
      <c r="BC443" s="30"/>
      <c r="BD443" s="10"/>
    </row>
    <row r="444" ht="15.75" customHeight="1">
      <c r="B444" s="30"/>
      <c r="C444" s="10"/>
      <c r="I444" s="30"/>
      <c r="J444" s="10"/>
      <c r="P444" s="30"/>
      <c r="Q444" s="10"/>
      <c r="W444" s="30"/>
      <c r="X444" s="10"/>
      <c r="AD444" s="30"/>
      <c r="AE444" s="35"/>
      <c r="AF444" s="35"/>
      <c r="AG444" s="10"/>
      <c r="AK444" s="30"/>
      <c r="AL444" s="10"/>
      <c r="AT444" s="30"/>
      <c r="AU444" s="10"/>
      <c r="BC444" s="30"/>
      <c r="BD444" s="10"/>
    </row>
    <row r="445" ht="15.75" customHeight="1">
      <c r="B445" s="30"/>
      <c r="C445" s="10"/>
      <c r="I445" s="30"/>
      <c r="J445" s="10"/>
      <c r="P445" s="30"/>
      <c r="Q445" s="10"/>
      <c r="W445" s="30"/>
      <c r="X445" s="10"/>
      <c r="AD445" s="30"/>
      <c r="AE445" s="35"/>
      <c r="AF445" s="35"/>
      <c r="AG445" s="10"/>
      <c r="AK445" s="30"/>
      <c r="AL445" s="10"/>
      <c r="AT445" s="30"/>
      <c r="AU445" s="10"/>
      <c r="BC445" s="30"/>
      <c r="BD445" s="10"/>
    </row>
    <row r="446" ht="15.75" customHeight="1">
      <c r="B446" s="30"/>
      <c r="C446" s="10"/>
      <c r="I446" s="30"/>
      <c r="J446" s="10"/>
      <c r="P446" s="30"/>
      <c r="Q446" s="10"/>
      <c r="W446" s="30"/>
      <c r="X446" s="10"/>
      <c r="AD446" s="30"/>
      <c r="AE446" s="35"/>
      <c r="AF446" s="35"/>
      <c r="AG446" s="10"/>
      <c r="AK446" s="30"/>
      <c r="AL446" s="10"/>
      <c r="AT446" s="30"/>
      <c r="AU446" s="10"/>
      <c r="BC446" s="30"/>
      <c r="BD446" s="10"/>
    </row>
    <row r="447" ht="15.75" customHeight="1">
      <c r="B447" s="30"/>
      <c r="C447" s="10"/>
      <c r="I447" s="30"/>
      <c r="J447" s="10"/>
      <c r="P447" s="30"/>
      <c r="Q447" s="10"/>
      <c r="W447" s="30"/>
      <c r="X447" s="10"/>
      <c r="AD447" s="30"/>
      <c r="AE447" s="35"/>
      <c r="AF447" s="35"/>
      <c r="AG447" s="10"/>
      <c r="AK447" s="30"/>
      <c r="AL447" s="10"/>
      <c r="AT447" s="30"/>
      <c r="AU447" s="10"/>
      <c r="BC447" s="30"/>
      <c r="BD447" s="10"/>
    </row>
    <row r="448" ht="15.75" customHeight="1">
      <c r="B448" s="30"/>
      <c r="C448" s="10"/>
      <c r="I448" s="30"/>
      <c r="J448" s="10"/>
      <c r="P448" s="30"/>
      <c r="Q448" s="10"/>
      <c r="W448" s="30"/>
      <c r="X448" s="10"/>
      <c r="AD448" s="30"/>
      <c r="AE448" s="35"/>
      <c r="AF448" s="35"/>
      <c r="AG448" s="10"/>
      <c r="AK448" s="30"/>
      <c r="AL448" s="10"/>
      <c r="AT448" s="30"/>
      <c r="AU448" s="10"/>
      <c r="BC448" s="30"/>
      <c r="BD448" s="10"/>
    </row>
    <row r="449" ht="15.75" customHeight="1">
      <c r="B449" s="30"/>
      <c r="C449" s="10"/>
      <c r="I449" s="30"/>
      <c r="J449" s="10"/>
      <c r="P449" s="30"/>
      <c r="Q449" s="10"/>
      <c r="W449" s="30"/>
      <c r="X449" s="10"/>
      <c r="AD449" s="30"/>
      <c r="AE449" s="35"/>
      <c r="AF449" s="35"/>
      <c r="AG449" s="10"/>
      <c r="AK449" s="30"/>
      <c r="AL449" s="10"/>
      <c r="AT449" s="30"/>
      <c r="AU449" s="10"/>
      <c r="BC449" s="30"/>
      <c r="BD449" s="10"/>
    </row>
    <row r="450" ht="15.75" customHeight="1">
      <c r="B450" s="30"/>
      <c r="C450" s="10"/>
      <c r="I450" s="30"/>
      <c r="J450" s="10"/>
      <c r="P450" s="30"/>
      <c r="Q450" s="10"/>
      <c r="W450" s="30"/>
      <c r="X450" s="10"/>
      <c r="AD450" s="30"/>
      <c r="AE450" s="35"/>
      <c r="AF450" s="35"/>
      <c r="AG450" s="10"/>
      <c r="AK450" s="30"/>
      <c r="AL450" s="10"/>
      <c r="AT450" s="30"/>
      <c r="AU450" s="10"/>
      <c r="BC450" s="30"/>
      <c r="BD450" s="10"/>
    </row>
    <row r="451" ht="15.75" customHeight="1">
      <c r="B451" s="30"/>
      <c r="C451" s="10"/>
      <c r="I451" s="30"/>
      <c r="J451" s="10"/>
      <c r="P451" s="30"/>
      <c r="Q451" s="10"/>
      <c r="W451" s="30"/>
      <c r="X451" s="10"/>
      <c r="AD451" s="30"/>
      <c r="AE451" s="35"/>
      <c r="AF451" s="35"/>
      <c r="AG451" s="10"/>
      <c r="AK451" s="30"/>
      <c r="AL451" s="10"/>
      <c r="AT451" s="30"/>
      <c r="AU451" s="10"/>
      <c r="BC451" s="30"/>
      <c r="BD451" s="10"/>
    </row>
    <row r="452" ht="15.75" customHeight="1">
      <c r="B452" s="30"/>
      <c r="C452" s="10"/>
      <c r="I452" s="30"/>
      <c r="J452" s="10"/>
      <c r="P452" s="30"/>
      <c r="Q452" s="10"/>
      <c r="W452" s="30"/>
      <c r="X452" s="10"/>
      <c r="AD452" s="30"/>
      <c r="AE452" s="35"/>
      <c r="AF452" s="35"/>
      <c r="AG452" s="10"/>
      <c r="AK452" s="30"/>
      <c r="AL452" s="10"/>
      <c r="AT452" s="30"/>
      <c r="AU452" s="10"/>
      <c r="BC452" s="30"/>
      <c r="BD452" s="10"/>
    </row>
    <row r="453" ht="15.75" customHeight="1">
      <c r="B453" s="30"/>
      <c r="C453" s="10"/>
      <c r="I453" s="30"/>
      <c r="J453" s="10"/>
      <c r="P453" s="30"/>
      <c r="Q453" s="10"/>
      <c r="W453" s="30"/>
      <c r="X453" s="10"/>
      <c r="AD453" s="30"/>
      <c r="AE453" s="35"/>
      <c r="AF453" s="35"/>
      <c r="AG453" s="10"/>
      <c r="AK453" s="30"/>
      <c r="AL453" s="10"/>
      <c r="AT453" s="30"/>
      <c r="AU453" s="10"/>
      <c r="BC453" s="30"/>
      <c r="BD453" s="10"/>
    </row>
    <row r="454" ht="15.75" customHeight="1">
      <c r="B454" s="30"/>
      <c r="C454" s="10"/>
      <c r="I454" s="30"/>
      <c r="J454" s="10"/>
      <c r="P454" s="30"/>
      <c r="Q454" s="10"/>
      <c r="W454" s="30"/>
      <c r="X454" s="10"/>
      <c r="AD454" s="30"/>
      <c r="AE454" s="35"/>
      <c r="AF454" s="35"/>
      <c r="AG454" s="10"/>
      <c r="AK454" s="30"/>
      <c r="AL454" s="10"/>
      <c r="AT454" s="30"/>
      <c r="AU454" s="10"/>
      <c r="BC454" s="30"/>
      <c r="BD454" s="10"/>
    </row>
    <row r="455" ht="15.75" customHeight="1">
      <c r="B455" s="30"/>
      <c r="C455" s="10"/>
      <c r="I455" s="30"/>
      <c r="J455" s="10"/>
      <c r="P455" s="30"/>
      <c r="Q455" s="10"/>
      <c r="W455" s="30"/>
      <c r="X455" s="10"/>
      <c r="AD455" s="30"/>
      <c r="AE455" s="35"/>
      <c r="AF455" s="35"/>
      <c r="AG455" s="10"/>
      <c r="AK455" s="30"/>
      <c r="AL455" s="10"/>
      <c r="AT455" s="30"/>
      <c r="AU455" s="10"/>
      <c r="BC455" s="30"/>
      <c r="BD455" s="10"/>
    </row>
    <row r="456" ht="15.75" customHeight="1">
      <c r="B456" s="30"/>
      <c r="C456" s="10"/>
      <c r="I456" s="30"/>
      <c r="J456" s="10"/>
      <c r="P456" s="30"/>
      <c r="Q456" s="10"/>
      <c r="W456" s="30"/>
      <c r="X456" s="10"/>
      <c r="AD456" s="30"/>
      <c r="AE456" s="35"/>
      <c r="AF456" s="35"/>
      <c r="AG456" s="10"/>
      <c r="AK456" s="30"/>
      <c r="AL456" s="10"/>
      <c r="AT456" s="30"/>
      <c r="AU456" s="10"/>
      <c r="BC456" s="30"/>
      <c r="BD456" s="10"/>
    </row>
    <row r="457" ht="15.75" customHeight="1">
      <c r="B457" s="30"/>
      <c r="C457" s="10"/>
      <c r="I457" s="30"/>
      <c r="J457" s="10"/>
      <c r="P457" s="30"/>
      <c r="Q457" s="10"/>
      <c r="W457" s="30"/>
      <c r="X457" s="10"/>
      <c r="AD457" s="30"/>
      <c r="AE457" s="35"/>
      <c r="AF457" s="35"/>
      <c r="AG457" s="10"/>
      <c r="AK457" s="30"/>
      <c r="AL457" s="10"/>
      <c r="AT457" s="30"/>
      <c r="AU457" s="10"/>
      <c r="BC457" s="30"/>
      <c r="BD457" s="10"/>
    </row>
    <row r="458" ht="15.75" customHeight="1">
      <c r="B458" s="30"/>
      <c r="C458" s="10"/>
      <c r="I458" s="30"/>
      <c r="J458" s="10"/>
      <c r="P458" s="30"/>
      <c r="Q458" s="10"/>
      <c r="W458" s="30"/>
      <c r="X458" s="10"/>
      <c r="AD458" s="30"/>
      <c r="AE458" s="35"/>
      <c r="AF458" s="35"/>
      <c r="AG458" s="10"/>
      <c r="AK458" s="30"/>
      <c r="AL458" s="10"/>
      <c r="AT458" s="30"/>
      <c r="AU458" s="10"/>
      <c r="BC458" s="30"/>
      <c r="BD458" s="10"/>
    </row>
    <row r="459" ht="15.75" customHeight="1">
      <c r="B459" s="30"/>
      <c r="C459" s="10"/>
      <c r="I459" s="30"/>
      <c r="J459" s="10"/>
      <c r="P459" s="30"/>
      <c r="Q459" s="10"/>
      <c r="W459" s="30"/>
      <c r="X459" s="10"/>
      <c r="AD459" s="30"/>
      <c r="AE459" s="35"/>
      <c r="AF459" s="35"/>
      <c r="AG459" s="10"/>
      <c r="AK459" s="30"/>
      <c r="AL459" s="10"/>
      <c r="AT459" s="30"/>
      <c r="AU459" s="10"/>
      <c r="BC459" s="30"/>
      <c r="BD459" s="10"/>
    </row>
    <row r="460" ht="15.75" customHeight="1">
      <c r="B460" s="30"/>
      <c r="C460" s="10"/>
      <c r="I460" s="30"/>
      <c r="J460" s="10"/>
      <c r="P460" s="30"/>
      <c r="Q460" s="10"/>
      <c r="W460" s="30"/>
      <c r="X460" s="10"/>
      <c r="AD460" s="30"/>
      <c r="AE460" s="35"/>
      <c r="AF460" s="35"/>
      <c r="AG460" s="10"/>
      <c r="AK460" s="30"/>
      <c r="AL460" s="10"/>
      <c r="AT460" s="30"/>
      <c r="AU460" s="10"/>
      <c r="BC460" s="30"/>
      <c r="BD460" s="10"/>
    </row>
    <row r="461" ht="15.75" customHeight="1">
      <c r="B461" s="30"/>
      <c r="C461" s="10"/>
      <c r="I461" s="30"/>
      <c r="J461" s="10"/>
      <c r="P461" s="30"/>
      <c r="Q461" s="10"/>
      <c r="W461" s="30"/>
      <c r="X461" s="10"/>
      <c r="AD461" s="30"/>
      <c r="AE461" s="35"/>
      <c r="AF461" s="35"/>
      <c r="AG461" s="10"/>
      <c r="AK461" s="30"/>
      <c r="AL461" s="10"/>
      <c r="AT461" s="30"/>
      <c r="AU461" s="10"/>
      <c r="BC461" s="30"/>
      <c r="BD461" s="10"/>
    </row>
    <row r="462" ht="15.75" customHeight="1">
      <c r="B462" s="30"/>
      <c r="C462" s="10"/>
      <c r="I462" s="30"/>
      <c r="J462" s="10"/>
      <c r="P462" s="30"/>
      <c r="Q462" s="10"/>
      <c r="W462" s="30"/>
      <c r="X462" s="10"/>
      <c r="AD462" s="30"/>
      <c r="AE462" s="35"/>
      <c r="AF462" s="35"/>
      <c r="AG462" s="10"/>
      <c r="AK462" s="30"/>
      <c r="AL462" s="10"/>
      <c r="AT462" s="30"/>
      <c r="AU462" s="10"/>
      <c r="BC462" s="30"/>
      <c r="BD462" s="10"/>
    </row>
    <row r="463" ht="15.75" customHeight="1">
      <c r="B463" s="30"/>
      <c r="C463" s="10"/>
      <c r="I463" s="30"/>
      <c r="J463" s="10"/>
      <c r="P463" s="30"/>
      <c r="Q463" s="10"/>
      <c r="W463" s="30"/>
      <c r="X463" s="10"/>
      <c r="AD463" s="30"/>
      <c r="AE463" s="35"/>
      <c r="AF463" s="35"/>
      <c r="AG463" s="10"/>
      <c r="AK463" s="30"/>
      <c r="AL463" s="10"/>
      <c r="AT463" s="30"/>
      <c r="AU463" s="10"/>
      <c r="BC463" s="30"/>
      <c r="BD463" s="10"/>
    </row>
    <row r="464" ht="15.75" customHeight="1">
      <c r="B464" s="30"/>
      <c r="C464" s="10"/>
      <c r="I464" s="30"/>
      <c r="J464" s="10"/>
      <c r="P464" s="30"/>
      <c r="Q464" s="10"/>
      <c r="W464" s="30"/>
      <c r="X464" s="10"/>
      <c r="AD464" s="30"/>
      <c r="AE464" s="35"/>
      <c r="AF464" s="35"/>
      <c r="AG464" s="10"/>
      <c r="AK464" s="30"/>
      <c r="AL464" s="10"/>
      <c r="AT464" s="30"/>
      <c r="AU464" s="10"/>
      <c r="BC464" s="30"/>
      <c r="BD464" s="10"/>
    </row>
    <row r="465" ht="15.75" customHeight="1">
      <c r="B465" s="30"/>
      <c r="C465" s="10"/>
      <c r="I465" s="30"/>
      <c r="J465" s="10"/>
      <c r="P465" s="30"/>
      <c r="Q465" s="10"/>
      <c r="W465" s="30"/>
      <c r="X465" s="10"/>
      <c r="AD465" s="30"/>
      <c r="AE465" s="35"/>
      <c r="AF465" s="35"/>
      <c r="AG465" s="10"/>
      <c r="AK465" s="30"/>
      <c r="AL465" s="10"/>
      <c r="AT465" s="30"/>
      <c r="AU465" s="10"/>
      <c r="BC465" s="30"/>
      <c r="BD465" s="10"/>
    </row>
    <row r="466" ht="15.75" customHeight="1">
      <c r="B466" s="30"/>
      <c r="C466" s="10"/>
      <c r="I466" s="30"/>
      <c r="J466" s="10"/>
      <c r="P466" s="30"/>
      <c r="Q466" s="10"/>
      <c r="W466" s="30"/>
      <c r="X466" s="10"/>
      <c r="AD466" s="30"/>
      <c r="AE466" s="35"/>
      <c r="AF466" s="35"/>
      <c r="AG466" s="10"/>
      <c r="AK466" s="30"/>
      <c r="AL466" s="10"/>
      <c r="AT466" s="30"/>
      <c r="AU466" s="10"/>
      <c r="BC466" s="30"/>
      <c r="BD466" s="10"/>
    </row>
    <row r="467" ht="15.75" customHeight="1">
      <c r="B467" s="30"/>
      <c r="C467" s="10"/>
      <c r="I467" s="30"/>
      <c r="J467" s="10"/>
      <c r="P467" s="30"/>
      <c r="Q467" s="10"/>
      <c r="W467" s="30"/>
      <c r="X467" s="10"/>
      <c r="AD467" s="30"/>
      <c r="AE467" s="35"/>
      <c r="AF467" s="35"/>
      <c r="AG467" s="10"/>
      <c r="AK467" s="30"/>
      <c r="AL467" s="10"/>
      <c r="AT467" s="30"/>
      <c r="AU467" s="10"/>
      <c r="BC467" s="30"/>
      <c r="BD467" s="10"/>
    </row>
    <row r="468" ht="15.75" customHeight="1">
      <c r="B468" s="30"/>
      <c r="C468" s="10"/>
      <c r="I468" s="30"/>
      <c r="J468" s="10"/>
      <c r="P468" s="30"/>
      <c r="Q468" s="10"/>
      <c r="W468" s="30"/>
      <c r="X468" s="10"/>
      <c r="AD468" s="30"/>
      <c r="AE468" s="35"/>
      <c r="AF468" s="35"/>
      <c r="AG468" s="10"/>
      <c r="AK468" s="30"/>
      <c r="AL468" s="10"/>
      <c r="AT468" s="30"/>
      <c r="AU468" s="10"/>
      <c r="BC468" s="30"/>
      <c r="BD468" s="10"/>
    </row>
    <row r="469" ht="15.75" customHeight="1">
      <c r="B469" s="30"/>
      <c r="C469" s="10"/>
      <c r="I469" s="30"/>
      <c r="J469" s="10"/>
      <c r="P469" s="30"/>
      <c r="Q469" s="10"/>
      <c r="W469" s="30"/>
      <c r="X469" s="10"/>
      <c r="AD469" s="30"/>
      <c r="AE469" s="35"/>
      <c r="AF469" s="35"/>
      <c r="AG469" s="10"/>
      <c r="AK469" s="30"/>
      <c r="AL469" s="10"/>
      <c r="AT469" s="30"/>
      <c r="AU469" s="10"/>
      <c r="BC469" s="30"/>
      <c r="BD469" s="10"/>
    </row>
    <row r="470" ht="15.75" customHeight="1">
      <c r="B470" s="30"/>
      <c r="C470" s="10"/>
      <c r="I470" s="30"/>
      <c r="J470" s="10"/>
      <c r="P470" s="30"/>
      <c r="Q470" s="10"/>
      <c r="W470" s="30"/>
      <c r="X470" s="10"/>
      <c r="AD470" s="30"/>
      <c r="AE470" s="35"/>
      <c r="AF470" s="35"/>
      <c r="AG470" s="10"/>
      <c r="AK470" s="30"/>
      <c r="AL470" s="10"/>
      <c r="AT470" s="30"/>
      <c r="AU470" s="10"/>
      <c r="BC470" s="30"/>
      <c r="BD470" s="10"/>
    </row>
    <row r="471" ht="15.75" customHeight="1">
      <c r="B471" s="30"/>
      <c r="C471" s="10"/>
      <c r="I471" s="30"/>
      <c r="J471" s="10"/>
      <c r="P471" s="30"/>
      <c r="Q471" s="10"/>
      <c r="W471" s="30"/>
      <c r="X471" s="10"/>
      <c r="AD471" s="30"/>
      <c r="AE471" s="35"/>
      <c r="AF471" s="35"/>
      <c r="AG471" s="10"/>
      <c r="AK471" s="30"/>
      <c r="AL471" s="10"/>
      <c r="AT471" s="30"/>
      <c r="AU471" s="10"/>
      <c r="BC471" s="30"/>
      <c r="BD471" s="10"/>
    </row>
    <row r="472" ht="15.75" customHeight="1">
      <c r="B472" s="30"/>
      <c r="C472" s="10"/>
      <c r="I472" s="30"/>
      <c r="J472" s="10"/>
      <c r="P472" s="30"/>
      <c r="Q472" s="10"/>
      <c r="W472" s="30"/>
      <c r="X472" s="10"/>
      <c r="AD472" s="30"/>
      <c r="AE472" s="35"/>
      <c r="AF472" s="35"/>
      <c r="AG472" s="10"/>
      <c r="AK472" s="30"/>
      <c r="AL472" s="10"/>
      <c r="AT472" s="30"/>
      <c r="AU472" s="10"/>
      <c r="BC472" s="30"/>
      <c r="BD472" s="10"/>
    </row>
    <row r="473" ht="15.75" customHeight="1">
      <c r="B473" s="30"/>
      <c r="C473" s="10"/>
      <c r="I473" s="30"/>
      <c r="J473" s="10"/>
      <c r="P473" s="30"/>
      <c r="Q473" s="10"/>
      <c r="W473" s="30"/>
      <c r="X473" s="10"/>
      <c r="AD473" s="30"/>
      <c r="AE473" s="35"/>
      <c r="AF473" s="35"/>
      <c r="AG473" s="10"/>
      <c r="AK473" s="30"/>
      <c r="AL473" s="10"/>
      <c r="AT473" s="30"/>
      <c r="AU473" s="10"/>
      <c r="BC473" s="30"/>
      <c r="BD473" s="10"/>
    </row>
    <row r="474" ht="15.75" customHeight="1">
      <c r="B474" s="30"/>
      <c r="C474" s="10"/>
      <c r="I474" s="30"/>
      <c r="J474" s="10"/>
      <c r="P474" s="30"/>
      <c r="Q474" s="10"/>
      <c r="W474" s="30"/>
      <c r="X474" s="10"/>
      <c r="AD474" s="30"/>
      <c r="AE474" s="35"/>
      <c r="AF474" s="35"/>
      <c r="AG474" s="10"/>
      <c r="AK474" s="30"/>
      <c r="AL474" s="10"/>
      <c r="AT474" s="30"/>
      <c r="AU474" s="10"/>
      <c r="BC474" s="30"/>
      <c r="BD474" s="10"/>
    </row>
    <row r="475" ht="15.75" customHeight="1">
      <c r="B475" s="30"/>
      <c r="C475" s="10"/>
      <c r="I475" s="30"/>
      <c r="J475" s="10"/>
      <c r="P475" s="30"/>
      <c r="Q475" s="10"/>
      <c r="W475" s="30"/>
      <c r="X475" s="10"/>
      <c r="AD475" s="30"/>
      <c r="AE475" s="35"/>
      <c r="AF475" s="35"/>
      <c r="AG475" s="10"/>
      <c r="AK475" s="30"/>
      <c r="AL475" s="10"/>
      <c r="AT475" s="30"/>
      <c r="AU475" s="10"/>
      <c r="BC475" s="30"/>
      <c r="BD475" s="10"/>
    </row>
    <row r="476" ht="15.75" customHeight="1">
      <c r="B476" s="30"/>
      <c r="C476" s="10"/>
      <c r="I476" s="30"/>
      <c r="J476" s="10"/>
      <c r="P476" s="30"/>
      <c r="Q476" s="10"/>
      <c r="W476" s="30"/>
      <c r="X476" s="10"/>
      <c r="AD476" s="30"/>
      <c r="AE476" s="35"/>
      <c r="AF476" s="35"/>
      <c r="AG476" s="10"/>
      <c r="AK476" s="30"/>
      <c r="AL476" s="10"/>
      <c r="AT476" s="30"/>
      <c r="AU476" s="10"/>
      <c r="BC476" s="30"/>
      <c r="BD476" s="10"/>
    </row>
    <row r="477" ht="15.75" customHeight="1">
      <c r="B477" s="30"/>
      <c r="C477" s="10"/>
      <c r="I477" s="30"/>
      <c r="J477" s="10"/>
      <c r="P477" s="30"/>
      <c r="Q477" s="10"/>
      <c r="W477" s="30"/>
      <c r="X477" s="10"/>
      <c r="AD477" s="30"/>
      <c r="AE477" s="35"/>
      <c r="AF477" s="35"/>
      <c r="AG477" s="10"/>
      <c r="AK477" s="30"/>
      <c r="AL477" s="10"/>
      <c r="AT477" s="30"/>
      <c r="AU477" s="10"/>
      <c r="BC477" s="30"/>
      <c r="BD477" s="10"/>
    </row>
    <row r="478" ht="15.75" customHeight="1">
      <c r="B478" s="30"/>
      <c r="C478" s="10"/>
      <c r="I478" s="30"/>
      <c r="J478" s="10"/>
      <c r="P478" s="30"/>
      <c r="Q478" s="10"/>
      <c r="W478" s="30"/>
      <c r="X478" s="10"/>
      <c r="AD478" s="30"/>
      <c r="AE478" s="35"/>
      <c r="AF478" s="35"/>
      <c r="AG478" s="10"/>
      <c r="AK478" s="30"/>
      <c r="AL478" s="10"/>
      <c r="AT478" s="30"/>
      <c r="AU478" s="10"/>
      <c r="BC478" s="30"/>
      <c r="BD478" s="10"/>
    </row>
    <row r="479" ht="15.75" customHeight="1">
      <c r="B479" s="30"/>
      <c r="C479" s="10"/>
      <c r="I479" s="30"/>
      <c r="J479" s="10"/>
      <c r="P479" s="30"/>
      <c r="Q479" s="10"/>
      <c r="W479" s="30"/>
      <c r="X479" s="10"/>
      <c r="AD479" s="30"/>
      <c r="AE479" s="35"/>
      <c r="AF479" s="35"/>
      <c r="AG479" s="10"/>
      <c r="AK479" s="30"/>
      <c r="AL479" s="10"/>
      <c r="AT479" s="30"/>
      <c r="AU479" s="10"/>
      <c r="BC479" s="30"/>
      <c r="BD479" s="10"/>
    </row>
    <row r="480" ht="15.75" customHeight="1">
      <c r="B480" s="30"/>
      <c r="C480" s="10"/>
      <c r="I480" s="30"/>
      <c r="J480" s="10"/>
      <c r="P480" s="30"/>
      <c r="Q480" s="10"/>
      <c r="W480" s="30"/>
      <c r="X480" s="10"/>
      <c r="AD480" s="30"/>
      <c r="AE480" s="35"/>
      <c r="AF480" s="35"/>
      <c r="AG480" s="10"/>
      <c r="AK480" s="30"/>
      <c r="AL480" s="10"/>
      <c r="AT480" s="30"/>
      <c r="AU480" s="10"/>
      <c r="BC480" s="30"/>
      <c r="BD480" s="10"/>
    </row>
    <row r="481" ht="15.75" customHeight="1">
      <c r="B481" s="30"/>
      <c r="C481" s="10"/>
      <c r="I481" s="30"/>
      <c r="J481" s="10"/>
      <c r="P481" s="30"/>
      <c r="Q481" s="10"/>
      <c r="W481" s="30"/>
      <c r="X481" s="10"/>
      <c r="AD481" s="30"/>
      <c r="AE481" s="35"/>
      <c r="AF481" s="35"/>
      <c r="AG481" s="10"/>
      <c r="AK481" s="30"/>
      <c r="AL481" s="10"/>
      <c r="AT481" s="30"/>
      <c r="AU481" s="10"/>
      <c r="BC481" s="30"/>
      <c r="BD481" s="10"/>
    </row>
    <row r="482" ht="15.75" customHeight="1">
      <c r="B482" s="30"/>
      <c r="C482" s="10"/>
      <c r="I482" s="30"/>
      <c r="J482" s="10"/>
      <c r="P482" s="30"/>
      <c r="Q482" s="10"/>
      <c r="W482" s="30"/>
      <c r="X482" s="10"/>
      <c r="AD482" s="30"/>
      <c r="AE482" s="35"/>
      <c r="AF482" s="35"/>
      <c r="AG482" s="10"/>
      <c r="AK482" s="30"/>
      <c r="AL482" s="10"/>
      <c r="AT482" s="30"/>
      <c r="AU482" s="10"/>
      <c r="BC482" s="30"/>
      <c r="BD482" s="10"/>
    </row>
    <row r="483" ht="15.75" customHeight="1">
      <c r="B483" s="30"/>
      <c r="C483" s="10"/>
      <c r="I483" s="30"/>
      <c r="J483" s="10"/>
      <c r="P483" s="30"/>
      <c r="Q483" s="10"/>
      <c r="W483" s="30"/>
      <c r="X483" s="10"/>
      <c r="AD483" s="30"/>
      <c r="AE483" s="35"/>
      <c r="AF483" s="35"/>
      <c r="AG483" s="10"/>
      <c r="AK483" s="30"/>
      <c r="AL483" s="10"/>
      <c r="AT483" s="30"/>
      <c r="AU483" s="10"/>
      <c r="BC483" s="30"/>
      <c r="BD483" s="10"/>
    </row>
    <row r="484" ht="15.75" customHeight="1">
      <c r="B484" s="30"/>
      <c r="C484" s="10"/>
      <c r="I484" s="30"/>
      <c r="J484" s="10"/>
      <c r="P484" s="30"/>
      <c r="Q484" s="10"/>
      <c r="W484" s="30"/>
      <c r="X484" s="10"/>
      <c r="AD484" s="30"/>
      <c r="AE484" s="35"/>
      <c r="AF484" s="35"/>
      <c r="AG484" s="10"/>
      <c r="AK484" s="30"/>
      <c r="AL484" s="10"/>
      <c r="AT484" s="30"/>
      <c r="AU484" s="10"/>
      <c r="BC484" s="30"/>
      <c r="BD484" s="10"/>
    </row>
    <row r="485" ht="15.75" customHeight="1">
      <c r="B485" s="30"/>
      <c r="C485" s="10"/>
      <c r="I485" s="30"/>
      <c r="J485" s="10"/>
      <c r="P485" s="30"/>
      <c r="Q485" s="10"/>
      <c r="W485" s="30"/>
      <c r="X485" s="10"/>
      <c r="AD485" s="30"/>
      <c r="AE485" s="35"/>
      <c r="AF485" s="35"/>
      <c r="AG485" s="10"/>
      <c r="AK485" s="30"/>
      <c r="AL485" s="10"/>
      <c r="AT485" s="30"/>
      <c r="AU485" s="10"/>
      <c r="BC485" s="30"/>
      <c r="BD485" s="10"/>
    </row>
    <row r="486" ht="15.75" customHeight="1">
      <c r="B486" s="30"/>
      <c r="C486" s="10"/>
      <c r="I486" s="30"/>
      <c r="J486" s="10"/>
      <c r="P486" s="30"/>
      <c r="Q486" s="10"/>
      <c r="W486" s="30"/>
      <c r="X486" s="10"/>
      <c r="AD486" s="30"/>
      <c r="AE486" s="35"/>
      <c r="AF486" s="35"/>
      <c r="AG486" s="10"/>
      <c r="AK486" s="30"/>
      <c r="AL486" s="10"/>
      <c r="AT486" s="30"/>
      <c r="AU486" s="10"/>
      <c r="BC486" s="30"/>
      <c r="BD486" s="10"/>
    </row>
    <row r="487" ht="15.75" customHeight="1">
      <c r="B487" s="30"/>
      <c r="C487" s="10"/>
      <c r="I487" s="30"/>
      <c r="J487" s="10"/>
      <c r="P487" s="30"/>
      <c r="Q487" s="10"/>
      <c r="W487" s="30"/>
      <c r="X487" s="10"/>
      <c r="AD487" s="30"/>
      <c r="AE487" s="35"/>
      <c r="AF487" s="35"/>
      <c r="AG487" s="10"/>
      <c r="AK487" s="30"/>
      <c r="AL487" s="10"/>
      <c r="AT487" s="30"/>
      <c r="AU487" s="10"/>
      <c r="BC487" s="30"/>
      <c r="BD487" s="10"/>
    </row>
    <row r="488" ht="15.75" customHeight="1">
      <c r="B488" s="30"/>
      <c r="C488" s="10"/>
      <c r="I488" s="30"/>
      <c r="J488" s="10"/>
      <c r="P488" s="30"/>
      <c r="Q488" s="10"/>
      <c r="W488" s="30"/>
      <c r="X488" s="10"/>
      <c r="AD488" s="30"/>
      <c r="AE488" s="35"/>
      <c r="AF488" s="35"/>
      <c r="AG488" s="10"/>
      <c r="AK488" s="30"/>
      <c r="AL488" s="10"/>
      <c r="AT488" s="30"/>
      <c r="AU488" s="10"/>
      <c r="BC488" s="30"/>
      <c r="BD488" s="10"/>
    </row>
    <row r="489" ht="15.75" customHeight="1">
      <c r="B489" s="30"/>
      <c r="C489" s="10"/>
      <c r="I489" s="30"/>
      <c r="J489" s="10"/>
      <c r="P489" s="30"/>
      <c r="Q489" s="10"/>
      <c r="W489" s="30"/>
      <c r="X489" s="10"/>
      <c r="AD489" s="30"/>
      <c r="AE489" s="35"/>
      <c r="AF489" s="35"/>
      <c r="AG489" s="10"/>
      <c r="AK489" s="30"/>
      <c r="AL489" s="10"/>
      <c r="AT489" s="30"/>
      <c r="AU489" s="10"/>
      <c r="BC489" s="30"/>
      <c r="BD489" s="10"/>
    </row>
    <row r="490" ht="15.75" customHeight="1">
      <c r="B490" s="30"/>
      <c r="C490" s="10"/>
      <c r="I490" s="30"/>
      <c r="J490" s="10"/>
      <c r="P490" s="30"/>
      <c r="Q490" s="10"/>
      <c r="W490" s="30"/>
      <c r="X490" s="10"/>
      <c r="AD490" s="30"/>
      <c r="AE490" s="35"/>
      <c r="AF490" s="35"/>
      <c r="AG490" s="10"/>
      <c r="AK490" s="30"/>
      <c r="AL490" s="10"/>
      <c r="AT490" s="30"/>
      <c r="AU490" s="10"/>
      <c r="BC490" s="30"/>
      <c r="BD490" s="10"/>
    </row>
    <row r="491" ht="15.75" customHeight="1">
      <c r="B491" s="30"/>
      <c r="C491" s="10"/>
      <c r="I491" s="30"/>
      <c r="J491" s="10"/>
      <c r="P491" s="30"/>
      <c r="Q491" s="10"/>
      <c r="W491" s="30"/>
      <c r="X491" s="10"/>
      <c r="AD491" s="30"/>
      <c r="AE491" s="35"/>
      <c r="AF491" s="35"/>
      <c r="AG491" s="10"/>
      <c r="AK491" s="30"/>
      <c r="AL491" s="10"/>
      <c r="AT491" s="30"/>
      <c r="AU491" s="10"/>
      <c r="BC491" s="30"/>
      <c r="BD491" s="10"/>
    </row>
    <row r="492" ht="15.75" customHeight="1">
      <c r="B492" s="30"/>
      <c r="C492" s="10"/>
      <c r="I492" s="30"/>
      <c r="J492" s="10"/>
      <c r="P492" s="30"/>
      <c r="Q492" s="10"/>
      <c r="W492" s="30"/>
      <c r="X492" s="10"/>
      <c r="AD492" s="30"/>
      <c r="AE492" s="35"/>
      <c r="AF492" s="35"/>
      <c r="AG492" s="10"/>
      <c r="AK492" s="30"/>
      <c r="AL492" s="10"/>
      <c r="AT492" s="30"/>
      <c r="AU492" s="10"/>
      <c r="BC492" s="30"/>
      <c r="BD492" s="10"/>
    </row>
    <row r="493" ht="15.75" customHeight="1">
      <c r="B493" s="30"/>
      <c r="C493" s="10"/>
      <c r="I493" s="30"/>
      <c r="J493" s="10"/>
      <c r="P493" s="30"/>
      <c r="Q493" s="10"/>
      <c r="W493" s="30"/>
      <c r="X493" s="10"/>
      <c r="AD493" s="30"/>
      <c r="AE493" s="35"/>
      <c r="AF493" s="35"/>
      <c r="AG493" s="10"/>
      <c r="AK493" s="30"/>
      <c r="AL493" s="10"/>
      <c r="AT493" s="30"/>
      <c r="AU493" s="10"/>
      <c r="BC493" s="30"/>
      <c r="BD493" s="10"/>
    </row>
    <row r="494" ht="15.75" customHeight="1">
      <c r="B494" s="30"/>
      <c r="C494" s="10"/>
      <c r="I494" s="30"/>
      <c r="J494" s="10"/>
      <c r="P494" s="30"/>
      <c r="Q494" s="10"/>
      <c r="W494" s="30"/>
      <c r="X494" s="10"/>
      <c r="AD494" s="30"/>
      <c r="AE494" s="35"/>
      <c r="AF494" s="35"/>
      <c r="AG494" s="10"/>
      <c r="AK494" s="30"/>
      <c r="AL494" s="10"/>
      <c r="AT494" s="30"/>
      <c r="AU494" s="10"/>
      <c r="BC494" s="30"/>
      <c r="BD494" s="10"/>
    </row>
    <row r="495" ht="15.75" customHeight="1">
      <c r="B495" s="30"/>
      <c r="C495" s="10"/>
      <c r="I495" s="30"/>
      <c r="J495" s="10"/>
      <c r="P495" s="30"/>
      <c r="Q495" s="10"/>
      <c r="W495" s="30"/>
      <c r="X495" s="10"/>
      <c r="AD495" s="30"/>
      <c r="AE495" s="35"/>
      <c r="AF495" s="35"/>
      <c r="AG495" s="10"/>
      <c r="AK495" s="30"/>
      <c r="AL495" s="10"/>
      <c r="AT495" s="30"/>
      <c r="AU495" s="10"/>
      <c r="BC495" s="30"/>
      <c r="BD495" s="10"/>
    </row>
    <row r="496" ht="15.75" customHeight="1">
      <c r="B496" s="30"/>
      <c r="C496" s="10"/>
      <c r="I496" s="30"/>
      <c r="J496" s="10"/>
      <c r="P496" s="30"/>
      <c r="Q496" s="10"/>
      <c r="W496" s="30"/>
      <c r="X496" s="10"/>
      <c r="AD496" s="30"/>
      <c r="AE496" s="35"/>
      <c r="AF496" s="35"/>
      <c r="AG496" s="10"/>
      <c r="AK496" s="30"/>
      <c r="AL496" s="10"/>
      <c r="AT496" s="30"/>
      <c r="AU496" s="10"/>
      <c r="BC496" s="30"/>
      <c r="BD496" s="10"/>
    </row>
    <row r="497" ht="15.75" customHeight="1">
      <c r="B497" s="30"/>
      <c r="C497" s="10"/>
      <c r="I497" s="30"/>
      <c r="J497" s="10"/>
      <c r="P497" s="30"/>
      <c r="Q497" s="10"/>
      <c r="W497" s="30"/>
      <c r="X497" s="10"/>
      <c r="AD497" s="30"/>
      <c r="AE497" s="35"/>
      <c r="AF497" s="35"/>
      <c r="AG497" s="10"/>
      <c r="AK497" s="30"/>
      <c r="AL497" s="10"/>
      <c r="AT497" s="30"/>
      <c r="AU497" s="10"/>
      <c r="BC497" s="30"/>
      <c r="BD497" s="10"/>
    </row>
    <row r="498" ht="15.75" customHeight="1">
      <c r="B498" s="30"/>
      <c r="C498" s="10"/>
      <c r="I498" s="30"/>
      <c r="J498" s="10"/>
      <c r="P498" s="30"/>
      <c r="Q498" s="10"/>
      <c r="W498" s="30"/>
      <c r="X498" s="10"/>
      <c r="AD498" s="30"/>
      <c r="AE498" s="35"/>
      <c r="AF498" s="35"/>
      <c r="AG498" s="10"/>
      <c r="AK498" s="30"/>
      <c r="AL498" s="10"/>
      <c r="AT498" s="30"/>
      <c r="AU498" s="10"/>
      <c r="BC498" s="30"/>
      <c r="BD498" s="10"/>
    </row>
    <row r="499" ht="15.75" customHeight="1">
      <c r="B499" s="30"/>
      <c r="C499" s="10"/>
      <c r="I499" s="30"/>
      <c r="J499" s="10"/>
      <c r="P499" s="30"/>
      <c r="Q499" s="10"/>
      <c r="W499" s="30"/>
      <c r="X499" s="10"/>
      <c r="AD499" s="30"/>
      <c r="AE499" s="35"/>
      <c r="AF499" s="35"/>
      <c r="AG499" s="10"/>
      <c r="AK499" s="30"/>
      <c r="AL499" s="10"/>
      <c r="AT499" s="30"/>
      <c r="AU499" s="10"/>
      <c r="BC499" s="30"/>
      <c r="BD499" s="10"/>
    </row>
    <row r="500" ht="15.75" customHeight="1">
      <c r="B500" s="30"/>
      <c r="C500" s="10"/>
      <c r="I500" s="30"/>
      <c r="J500" s="10"/>
      <c r="P500" s="30"/>
      <c r="Q500" s="10"/>
      <c r="W500" s="30"/>
      <c r="X500" s="10"/>
      <c r="AD500" s="30"/>
      <c r="AE500" s="35"/>
      <c r="AF500" s="35"/>
      <c r="AG500" s="10"/>
      <c r="AK500" s="30"/>
      <c r="AL500" s="10"/>
      <c r="AT500" s="30"/>
      <c r="AU500" s="10"/>
      <c r="BC500" s="30"/>
      <c r="BD500" s="10"/>
    </row>
    <row r="501" ht="15.75" customHeight="1">
      <c r="B501" s="30"/>
      <c r="C501" s="10"/>
      <c r="I501" s="30"/>
      <c r="J501" s="10"/>
      <c r="P501" s="30"/>
      <c r="Q501" s="10"/>
      <c r="W501" s="30"/>
      <c r="X501" s="10"/>
      <c r="AD501" s="30"/>
      <c r="AE501" s="35"/>
      <c r="AF501" s="35"/>
      <c r="AG501" s="10"/>
      <c r="AK501" s="30"/>
      <c r="AL501" s="10"/>
      <c r="AT501" s="30"/>
      <c r="AU501" s="10"/>
      <c r="BC501" s="30"/>
      <c r="BD501" s="10"/>
    </row>
    <row r="502" ht="15.75" customHeight="1">
      <c r="B502" s="30"/>
      <c r="C502" s="10"/>
      <c r="I502" s="30"/>
      <c r="J502" s="10"/>
      <c r="P502" s="30"/>
      <c r="Q502" s="10"/>
      <c r="W502" s="30"/>
      <c r="X502" s="10"/>
      <c r="AD502" s="30"/>
      <c r="AE502" s="35"/>
      <c r="AF502" s="35"/>
      <c r="AG502" s="10"/>
      <c r="AK502" s="30"/>
      <c r="AL502" s="10"/>
      <c r="AT502" s="30"/>
      <c r="AU502" s="10"/>
      <c r="BC502" s="30"/>
      <c r="BD502" s="10"/>
    </row>
    <row r="503" ht="15.75" customHeight="1">
      <c r="B503" s="30"/>
      <c r="C503" s="10"/>
      <c r="I503" s="30"/>
      <c r="J503" s="10"/>
      <c r="P503" s="30"/>
      <c r="Q503" s="10"/>
      <c r="W503" s="30"/>
      <c r="X503" s="10"/>
      <c r="AD503" s="30"/>
      <c r="AE503" s="35"/>
      <c r="AF503" s="35"/>
      <c r="AG503" s="10"/>
      <c r="AK503" s="30"/>
      <c r="AL503" s="10"/>
      <c r="AT503" s="30"/>
      <c r="AU503" s="10"/>
      <c r="BC503" s="30"/>
      <c r="BD503" s="10"/>
    </row>
    <row r="504" ht="15.75" customHeight="1">
      <c r="B504" s="30"/>
      <c r="C504" s="10"/>
      <c r="I504" s="30"/>
      <c r="J504" s="10"/>
      <c r="P504" s="30"/>
      <c r="Q504" s="10"/>
      <c r="W504" s="30"/>
      <c r="X504" s="10"/>
      <c r="AD504" s="30"/>
      <c r="AE504" s="35"/>
      <c r="AF504" s="35"/>
      <c r="AG504" s="10"/>
      <c r="AK504" s="30"/>
      <c r="AL504" s="10"/>
      <c r="AT504" s="30"/>
      <c r="AU504" s="10"/>
      <c r="BC504" s="30"/>
      <c r="BD504" s="10"/>
    </row>
    <row r="505" ht="15.75" customHeight="1">
      <c r="B505" s="30"/>
      <c r="C505" s="10"/>
      <c r="I505" s="30"/>
      <c r="J505" s="10"/>
      <c r="P505" s="30"/>
      <c r="Q505" s="10"/>
      <c r="W505" s="30"/>
      <c r="X505" s="10"/>
      <c r="AD505" s="30"/>
      <c r="AE505" s="35"/>
      <c r="AF505" s="35"/>
      <c r="AG505" s="10"/>
      <c r="AK505" s="30"/>
      <c r="AL505" s="10"/>
      <c r="AT505" s="30"/>
      <c r="AU505" s="10"/>
      <c r="BC505" s="30"/>
      <c r="BD505" s="10"/>
    </row>
    <row r="506" ht="15.75" customHeight="1">
      <c r="B506" s="30"/>
      <c r="C506" s="10"/>
      <c r="I506" s="30"/>
      <c r="J506" s="10"/>
      <c r="P506" s="30"/>
      <c r="Q506" s="10"/>
      <c r="W506" s="30"/>
      <c r="X506" s="10"/>
      <c r="AD506" s="30"/>
      <c r="AE506" s="35"/>
      <c r="AF506" s="35"/>
      <c r="AG506" s="10"/>
      <c r="AK506" s="30"/>
      <c r="AL506" s="10"/>
      <c r="AT506" s="30"/>
      <c r="AU506" s="10"/>
      <c r="BC506" s="30"/>
      <c r="BD506" s="10"/>
    </row>
    <row r="507" ht="15.75" customHeight="1">
      <c r="B507" s="30"/>
      <c r="C507" s="10"/>
      <c r="I507" s="30"/>
      <c r="J507" s="10"/>
      <c r="P507" s="30"/>
      <c r="Q507" s="10"/>
      <c r="W507" s="30"/>
      <c r="X507" s="10"/>
      <c r="AD507" s="30"/>
      <c r="AE507" s="35"/>
      <c r="AF507" s="35"/>
      <c r="AG507" s="10"/>
      <c r="AK507" s="30"/>
      <c r="AL507" s="10"/>
      <c r="AT507" s="30"/>
      <c r="AU507" s="10"/>
      <c r="BC507" s="30"/>
      <c r="BD507" s="10"/>
    </row>
    <row r="508" ht="15.75" customHeight="1">
      <c r="B508" s="30"/>
      <c r="C508" s="10"/>
      <c r="I508" s="30"/>
      <c r="J508" s="10"/>
      <c r="P508" s="30"/>
      <c r="Q508" s="10"/>
      <c r="W508" s="30"/>
      <c r="X508" s="10"/>
      <c r="AD508" s="30"/>
      <c r="AE508" s="35"/>
      <c r="AF508" s="35"/>
      <c r="AG508" s="10"/>
      <c r="AK508" s="30"/>
      <c r="AL508" s="10"/>
      <c r="AT508" s="30"/>
      <c r="AU508" s="10"/>
      <c r="BC508" s="30"/>
      <c r="BD508" s="10"/>
    </row>
    <row r="509" ht="15.75" customHeight="1">
      <c r="B509" s="30"/>
      <c r="C509" s="10"/>
      <c r="I509" s="30"/>
      <c r="J509" s="10"/>
      <c r="P509" s="30"/>
      <c r="Q509" s="10"/>
      <c r="W509" s="30"/>
      <c r="X509" s="10"/>
      <c r="AD509" s="30"/>
      <c r="AE509" s="35"/>
      <c r="AF509" s="35"/>
      <c r="AG509" s="10"/>
      <c r="AK509" s="30"/>
      <c r="AL509" s="10"/>
      <c r="AT509" s="30"/>
      <c r="AU509" s="10"/>
      <c r="BC509" s="30"/>
      <c r="BD509" s="10"/>
    </row>
    <row r="510" ht="15.75" customHeight="1">
      <c r="B510" s="30"/>
      <c r="C510" s="10"/>
      <c r="I510" s="30"/>
      <c r="J510" s="10"/>
      <c r="P510" s="30"/>
      <c r="Q510" s="10"/>
      <c r="W510" s="30"/>
      <c r="X510" s="10"/>
      <c r="AD510" s="30"/>
      <c r="AE510" s="35"/>
      <c r="AF510" s="35"/>
      <c r="AG510" s="10"/>
      <c r="AK510" s="30"/>
      <c r="AL510" s="10"/>
      <c r="AT510" s="30"/>
      <c r="AU510" s="10"/>
      <c r="BC510" s="30"/>
      <c r="BD510" s="10"/>
    </row>
    <row r="511" ht="15.75" customHeight="1">
      <c r="B511" s="30"/>
      <c r="C511" s="10"/>
      <c r="I511" s="30"/>
      <c r="J511" s="10"/>
      <c r="P511" s="30"/>
      <c r="Q511" s="10"/>
      <c r="W511" s="30"/>
      <c r="X511" s="10"/>
      <c r="AD511" s="30"/>
      <c r="AE511" s="35"/>
      <c r="AF511" s="35"/>
      <c r="AG511" s="10"/>
      <c r="AK511" s="30"/>
      <c r="AL511" s="10"/>
      <c r="AT511" s="30"/>
      <c r="AU511" s="10"/>
      <c r="BC511" s="30"/>
      <c r="BD511" s="10"/>
    </row>
    <row r="512" ht="15.75" customHeight="1">
      <c r="B512" s="30"/>
      <c r="C512" s="10"/>
      <c r="I512" s="30"/>
      <c r="J512" s="10"/>
      <c r="P512" s="30"/>
      <c r="Q512" s="10"/>
      <c r="W512" s="30"/>
      <c r="X512" s="10"/>
      <c r="AD512" s="30"/>
      <c r="AE512" s="35"/>
      <c r="AF512" s="35"/>
      <c r="AG512" s="10"/>
      <c r="AK512" s="30"/>
      <c r="AL512" s="10"/>
      <c r="AT512" s="30"/>
      <c r="AU512" s="10"/>
      <c r="BC512" s="30"/>
      <c r="BD512" s="10"/>
    </row>
    <row r="513" ht="15.75" customHeight="1">
      <c r="B513" s="30"/>
      <c r="C513" s="10"/>
      <c r="I513" s="30"/>
      <c r="J513" s="10"/>
      <c r="P513" s="30"/>
      <c r="Q513" s="10"/>
      <c r="W513" s="30"/>
      <c r="X513" s="10"/>
      <c r="AD513" s="30"/>
      <c r="AE513" s="35"/>
      <c r="AF513" s="35"/>
      <c r="AG513" s="10"/>
      <c r="AK513" s="30"/>
      <c r="AL513" s="10"/>
      <c r="AT513" s="30"/>
      <c r="AU513" s="10"/>
      <c r="BC513" s="30"/>
      <c r="BD513" s="10"/>
    </row>
    <row r="514" ht="15.75" customHeight="1">
      <c r="B514" s="30"/>
      <c r="C514" s="10"/>
      <c r="I514" s="30"/>
      <c r="J514" s="10"/>
      <c r="P514" s="30"/>
      <c r="Q514" s="10"/>
      <c r="W514" s="30"/>
      <c r="X514" s="10"/>
      <c r="AD514" s="30"/>
      <c r="AE514" s="35"/>
      <c r="AF514" s="35"/>
      <c r="AG514" s="10"/>
      <c r="AK514" s="30"/>
      <c r="AL514" s="10"/>
      <c r="AT514" s="30"/>
      <c r="AU514" s="10"/>
      <c r="BC514" s="30"/>
      <c r="BD514" s="10"/>
    </row>
    <row r="515" ht="15.75" customHeight="1">
      <c r="B515" s="30"/>
      <c r="C515" s="10"/>
      <c r="I515" s="30"/>
      <c r="J515" s="10"/>
      <c r="P515" s="30"/>
      <c r="Q515" s="10"/>
      <c r="W515" s="30"/>
      <c r="X515" s="10"/>
      <c r="AD515" s="30"/>
      <c r="AE515" s="35"/>
      <c r="AF515" s="35"/>
      <c r="AG515" s="10"/>
      <c r="AK515" s="30"/>
      <c r="AL515" s="10"/>
      <c r="AT515" s="30"/>
      <c r="AU515" s="10"/>
      <c r="BC515" s="30"/>
      <c r="BD515" s="10"/>
    </row>
    <row r="516" ht="15.75" customHeight="1">
      <c r="B516" s="30"/>
      <c r="C516" s="10"/>
      <c r="I516" s="30"/>
      <c r="J516" s="10"/>
      <c r="P516" s="30"/>
      <c r="Q516" s="10"/>
      <c r="W516" s="30"/>
      <c r="X516" s="10"/>
      <c r="AD516" s="30"/>
      <c r="AE516" s="35"/>
      <c r="AF516" s="35"/>
      <c r="AG516" s="10"/>
      <c r="AK516" s="30"/>
      <c r="AL516" s="10"/>
      <c r="AT516" s="30"/>
      <c r="AU516" s="10"/>
      <c r="BC516" s="30"/>
      <c r="BD516" s="10"/>
    </row>
    <row r="517" ht="15.75" customHeight="1">
      <c r="B517" s="30"/>
      <c r="C517" s="10"/>
      <c r="I517" s="30"/>
      <c r="J517" s="10"/>
      <c r="P517" s="30"/>
      <c r="Q517" s="10"/>
      <c r="W517" s="30"/>
      <c r="X517" s="10"/>
      <c r="AD517" s="30"/>
      <c r="AE517" s="35"/>
      <c r="AF517" s="35"/>
      <c r="AG517" s="10"/>
      <c r="AK517" s="30"/>
      <c r="AL517" s="10"/>
      <c r="AT517" s="30"/>
      <c r="AU517" s="10"/>
      <c r="BC517" s="30"/>
      <c r="BD517" s="10"/>
    </row>
    <row r="518" ht="15.75" customHeight="1">
      <c r="B518" s="30"/>
      <c r="C518" s="10"/>
      <c r="I518" s="30"/>
      <c r="J518" s="10"/>
      <c r="P518" s="30"/>
      <c r="Q518" s="10"/>
      <c r="W518" s="30"/>
      <c r="X518" s="10"/>
      <c r="AD518" s="30"/>
      <c r="AE518" s="35"/>
      <c r="AF518" s="35"/>
      <c r="AG518" s="10"/>
      <c r="AK518" s="30"/>
      <c r="AL518" s="10"/>
      <c r="AT518" s="30"/>
      <c r="AU518" s="10"/>
      <c r="BC518" s="30"/>
      <c r="BD518" s="10"/>
    </row>
    <row r="519" ht="15.75" customHeight="1">
      <c r="B519" s="30"/>
      <c r="C519" s="10"/>
      <c r="I519" s="30"/>
      <c r="J519" s="10"/>
      <c r="P519" s="30"/>
      <c r="Q519" s="10"/>
      <c r="W519" s="30"/>
      <c r="X519" s="10"/>
      <c r="AD519" s="30"/>
      <c r="AE519" s="35"/>
      <c r="AF519" s="35"/>
      <c r="AG519" s="10"/>
      <c r="AK519" s="30"/>
      <c r="AL519" s="10"/>
      <c r="AT519" s="30"/>
      <c r="AU519" s="10"/>
      <c r="BC519" s="30"/>
      <c r="BD519" s="10"/>
    </row>
    <row r="520" ht="15.75" customHeight="1">
      <c r="B520" s="30"/>
      <c r="C520" s="10"/>
      <c r="I520" s="30"/>
      <c r="J520" s="10"/>
      <c r="P520" s="30"/>
      <c r="Q520" s="10"/>
      <c r="W520" s="30"/>
      <c r="X520" s="10"/>
      <c r="AD520" s="30"/>
      <c r="AE520" s="35"/>
      <c r="AF520" s="35"/>
      <c r="AG520" s="10"/>
      <c r="AK520" s="30"/>
      <c r="AL520" s="10"/>
      <c r="AT520" s="30"/>
      <c r="AU520" s="10"/>
      <c r="BC520" s="30"/>
      <c r="BD520" s="10"/>
    </row>
    <row r="521" ht="15.75" customHeight="1">
      <c r="B521" s="30"/>
      <c r="C521" s="10"/>
      <c r="I521" s="30"/>
      <c r="J521" s="10"/>
      <c r="P521" s="30"/>
      <c r="Q521" s="10"/>
      <c r="W521" s="30"/>
      <c r="X521" s="10"/>
      <c r="AD521" s="30"/>
      <c r="AE521" s="35"/>
      <c r="AF521" s="35"/>
      <c r="AG521" s="10"/>
      <c r="AK521" s="30"/>
      <c r="AL521" s="10"/>
      <c r="AT521" s="30"/>
      <c r="AU521" s="10"/>
      <c r="BC521" s="30"/>
      <c r="BD521" s="10"/>
    </row>
    <row r="522" ht="15.75" customHeight="1">
      <c r="B522" s="30"/>
      <c r="C522" s="10"/>
      <c r="I522" s="30"/>
      <c r="J522" s="10"/>
      <c r="P522" s="30"/>
      <c r="Q522" s="10"/>
      <c r="W522" s="30"/>
      <c r="X522" s="10"/>
      <c r="AD522" s="30"/>
      <c r="AE522" s="35"/>
      <c r="AF522" s="35"/>
      <c r="AG522" s="10"/>
      <c r="AK522" s="30"/>
      <c r="AL522" s="10"/>
      <c r="AT522" s="30"/>
      <c r="AU522" s="10"/>
      <c r="BC522" s="30"/>
      <c r="BD522" s="10"/>
    </row>
    <row r="523" ht="15.75" customHeight="1">
      <c r="B523" s="30"/>
      <c r="C523" s="10"/>
      <c r="I523" s="30"/>
      <c r="J523" s="10"/>
      <c r="P523" s="30"/>
      <c r="Q523" s="10"/>
      <c r="W523" s="30"/>
      <c r="X523" s="10"/>
      <c r="AD523" s="30"/>
      <c r="AE523" s="35"/>
      <c r="AF523" s="35"/>
      <c r="AG523" s="10"/>
      <c r="AK523" s="30"/>
      <c r="AL523" s="10"/>
      <c r="AT523" s="30"/>
      <c r="AU523" s="10"/>
      <c r="BC523" s="30"/>
      <c r="BD523" s="10"/>
    </row>
    <row r="524" ht="15.75" customHeight="1">
      <c r="B524" s="30"/>
      <c r="C524" s="10"/>
      <c r="I524" s="30"/>
      <c r="J524" s="10"/>
      <c r="P524" s="30"/>
      <c r="Q524" s="10"/>
      <c r="W524" s="30"/>
      <c r="X524" s="10"/>
      <c r="AD524" s="30"/>
      <c r="AE524" s="35"/>
      <c r="AF524" s="35"/>
      <c r="AG524" s="10"/>
      <c r="AK524" s="30"/>
      <c r="AL524" s="10"/>
      <c r="AT524" s="30"/>
      <c r="AU524" s="10"/>
      <c r="BC524" s="30"/>
      <c r="BD524" s="10"/>
    </row>
    <row r="525" ht="15.75" customHeight="1">
      <c r="B525" s="30"/>
      <c r="C525" s="10"/>
      <c r="I525" s="30"/>
      <c r="J525" s="10"/>
      <c r="P525" s="30"/>
      <c r="Q525" s="10"/>
      <c r="W525" s="30"/>
      <c r="X525" s="10"/>
      <c r="AD525" s="30"/>
      <c r="AE525" s="35"/>
      <c r="AF525" s="35"/>
      <c r="AG525" s="10"/>
      <c r="AK525" s="30"/>
      <c r="AL525" s="10"/>
      <c r="AT525" s="30"/>
      <c r="AU525" s="10"/>
      <c r="BC525" s="30"/>
      <c r="BD525" s="10"/>
    </row>
    <row r="526" ht="15.75" customHeight="1">
      <c r="B526" s="30"/>
      <c r="C526" s="10"/>
      <c r="I526" s="30"/>
      <c r="J526" s="10"/>
      <c r="P526" s="30"/>
      <c r="Q526" s="10"/>
      <c r="W526" s="30"/>
      <c r="X526" s="10"/>
      <c r="AD526" s="30"/>
      <c r="AE526" s="35"/>
      <c r="AF526" s="35"/>
      <c r="AG526" s="10"/>
      <c r="AK526" s="30"/>
      <c r="AL526" s="10"/>
      <c r="AT526" s="30"/>
      <c r="AU526" s="10"/>
      <c r="BC526" s="30"/>
      <c r="BD526" s="10"/>
    </row>
    <row r="527" ht="15.75" customHeight="1">
      <c r="B527" s="30"/>
      <c r="C527" s="10"/>
      <c r="I527" s="30"/>
      <c r="J527" s="10"/>
      <c r="P527" s="30"/>
      <c r="Q527" s="10"/>
      <c r="W527" s="30"/>
      <c r="X527" s="10"/>
      <c r="AD527" s="30"/>
      <c r="AE527" s="35"/>
      <c r="AF527" s="35"/>
      <c r="AG527" s="10"/>
      <c r="AK527" s="30"/>
      <c r="AL527" s="10"/>
      <c r="AT527" s="30"/>
      <c r="AU527" s="10"/>
      <c r="BC527" s="30"/>
      <c r="BD527" s="10"/>
    </row>
    <row r="528" ht="15.75" customHeight="1">
      <c r="B528" s="30"/>
      <c r="C528" s="10"/>
      <c r="I528" s="30"/>
      <c r="J528" s="10"/>
      <c r="P528" s="30"/>
      <c r="Q528" s="10"/>
      <c r="W528" s="30"/>
      <c r="X528" s="10"/>
      <c r="AD528" s="30"/>
      <c r="AE528" s="35"/>
      <c r="AF528" s="35"/>
      <c r="AG528" s="10"/>
      <c r="AK528" s="30"/>
      <c r="AL528" s="10"/>
      <c r="AT528" s="30"/>
      <c r="AU528" s="10"/>
      <c r="BC528" s="30"/>
      <c r="BD528" s="10"/>
    </row>
    <row r="529" ht="15.75" customHeight="1">
      <c r="B529" s="30"/>
      <c r="C529" s="10"/>
      <c r="I529" s="30"/>
      <c r="J529" s="10"/>
      <c r="P529" s="30"/>
      <c r="Q529" s="10"/>
      <c r="W529" s="30"/>
      <c r="X529" s="10"/>
      <c r="AD529" s="30"/>
      <c r="AE529" s="35"/>
      <c r="AF529" s="35"/>
      <c r="AG529" s="10"/>
      <c r="AK529" s="30"/>
      <c r="AL529" s="10"/>
      <c r="AT529" s="30"/>
      <c r="AU529" s="10"/>
      <c r="BC529" s="30"/>
      <c r="BD529" s="10"/>
    </row>
    <row r="530" ht="15.75" customHeight="1">
      <c r="B530" s="30"/>
      <c r="C530" s="10"/>
      <c r="I530" s="30"/>
      <c r="J530" s="10"/>
      <c r="P530" s="30"/>
      <c r="Q530" s="10"/>
      <c r="W530" s="30"/>
      <c r="X530" s="10"/>
      <c r="AD530" s="30"/>
      <c r="AE530" s="35"/>
      <c r="AF530" s="35"/>
      <c r="AG530" s="10"/>
      <c r="AK530" s="30"/>
      <c r="AL530" s="10"/>
      <c r="AT530" s="30"/>
      <c r="AU530" s="10"/>
      <c r="BC530" s="30"/>
      <c r="BD530" s="10"/>
    </row>
    <row r="531" ht="15.75" customHeight="1">
      <c r="B531" s="30"/>
      <c r="C531" s="10"/>
      <c r="I531" s="30"/>
      <c r="J531" s="10"/>
      <c r="P531" s="30"/>
      <c r="Q531" s="10"/>
      <c r="W531" s="30"/>
      <c r="X531" s="10"/>
      <c r="AD531" s="30"/>
      <c r="AE531" s="35"/>
      <c r="AF531" s="35"/>
      <c r="AG531" s="10"/>
      <c r="AK531" s="30"/>
      <c r="AL531" s="10"/>
      <c r="AT531" s="30"/>
      <c r="AU531" s="10"/>
      <c r="BC531" s="30"/>
      <c r="BD531" s="10"/>
    </row>
    <row r="532" ht="15.75" customHeight="1">
      <c r="B532" s="30"/>
      <c r="C532" s="10"/>
      <c r="I532" s="30"/>
      <c r="J532" s="10"/>
      <c r="P532" s="30"/>
      <c r="Q532" s="10"/>
      <c r="W532" s="30"/>
      <c r="X532" s="10"/>
      <c r="AD532" s="30"/>
      <c r="AE532" s="35"/>
      <c r="AF532" s="35"/>
      <c r="AG532" s="10"/>
      <c r="AK532" s="30"/>
      <c r="AL532" s="10"/>
      <c r="AT532" s="30"/>
      <c r="AU532" s="10"/>
      <c r="BC532" s="30"/>
      <c r="BD532" s="10"/>
    </row>
    <row r="533" ht="15.75" customHeight="1">
      <c r="B533" s="30"/>
      <c r="C533" s="10"/>
      <c r="I533" s="30"/>
      <c r="J533" s="10"/>
      <c r="P533" s="30"/>
      <c r="Q533" s="10"/>
      <c r="W533" s="30"/>
      <c r="X533" s="10"/>
      <c r="AD533" s="30"/>
      <c r="AE533" s="35"/>
      <c r="AF533" s="35"/>
      <c r="AG533" s="10"/>
      <c r="AK533" s="30"/>
      <c r="AL533" s="10"/>
      <c r="AT533" s="30"/>
      <c r="AU533" s="10"/>
      <c r="BC533" s="30"/>
      <c r="BD533" s="10"/>
    </row>
    <row r="534" ht="15.75" customHeight="1">
      <c r="B534" s="30"/>
      <c r="C534" s="10"/>
      <c r="I534" s="30"/>
      <c r="J534" s="10"/>
      <c r="P534" s="30"/>
      <c r="Q534" s="10"/>
      <c r="W534" s="30"/>
      <c r="X534" s="10"/>
      <c r="AD534" s="30"/>
      <c r="AE534" s="35"/>
      <c r="AF534" s="35"/>
      <c r="AG534" s="10"/>
      <c r="AK534" s="30"/>
      <c r="AL534" s="10"/>
      <c r="AT534" s="30"/>
      <c r="AU534" s="10"/>
      <c r="BC534" s="30"/>
      <c r="BD534" s="10"/>
    </row>
    <row r="535" ht="15.75" customHeight="1">
      <c r="B535" s="30"/>
      <c r="C535" s="10"/>
      <c r="I535" s="30"/>
      <c r="J535" s="10"/>
      <c r="P535" s="30"/>
      <c r="Q535" s="10"/>
      <c r="W535" s="30"/>
      <c r="X535" s="10"/>
      <c r="AD535" s="30"/>
      <c r="AE535" s="35"/>
      <c r="AF535" s="35"/>
      <c r="AG535" s="10"/>
      <c r="AK535" s="30"/>
      <c r="AL535" s="10"/>
      <c r="AT535" s="30"/>
      <c r="AU535" s="10"/>
      <c r="BC535" s="30"/>
      <c r="BD535" s="10"/>
    </row>
    <row r="536" ht="15.75" customHeight="1">
      <c r="B536" s="30"/>
      <c r="C536" s="10"/>
      <c r="I536" s="30"/>
      <c r="J536" s="10"/>
      <c r="P536" s="30"/>
      <c r="Q536" s="10"/>
      <c r="W536" s="30"/>
      <c r="X536" s="10"/>
      <c r="AD536" s="30"/>
      <c r="AE536" s="35"/>
      <c r="AF536" s="35"/>
      <c r="AG536" s="10"/>
      <c r="AK536" s="30"/>
      <c r="AL536" s="10"/>
      <c r="AT536" s="30"/>
      <c r="AU536" s="10"/>
      <c r="BC536" s="30"/>
      <c r="BD536" s="10"/>
    </row>
    <row r="537" ht="15.75" customHeight="1">
      <c r="B537" s="30"/>
      <c r="C537" s="10"/>
      <c r="I537" s="30"/>
      <c r="J537" s="10"/>
      <c r="P537" s="30"/>
      <c r="Q537" s="10"/>
      <c r="W537" s="30"/>
      <c r="X537" s="10"/>
      <c r="AD537" s="30"/>
      <c r="AE537" s="35"/>
      <c r="AF537" s="35"/>
      <c r="AG537" s="10"/>
      <c r="AK537" s="30"/>
      <c r="AL537" s="10"/>
      <c r="AT537" s="30"/>
      <c r="AU537" s="10"/>
      <c r="BC537" s="30"/>
      <c r="BD537" s="10"/>
    </row>
    <row r="538" ht="15.75" customHeight="1">
      <c r="B538" s="30"/>
      <c r="C538" s="10"/>
      <c r="I538" s="30"/>
      <c r="J538" s="10"/>
      <c r="P538" s="30"/>
      <c r="Q538" s="10"/>
      <c r="W538" s="30"/>
      <c r="X538" s="10"/>
      <c r="AD538" s="30"/>
      <c r="AE538" s="35"/>
      <c r="AF538" s="35"/>
      <c r="AG538" s="10"/>
      <c r="AK538" s="30"/>
      <c r="AL538" s="10"/>
      <c r="AT538" s="30"/>
      <c r="AU538" s="10"/>
      <c r="BC538" s="30"/>
      <c r="BD538" s="10"/>
    </row>
    <row r="539" ht="15.75" customHeight="1">
      <c r="B539" s="30"/>
      <c r="C539" s="10"/>
      <c r="I539" s="30"/>
      <c r="J539" s="10"/>
      <c r="P539" s="30"/>
      <c r="Q539" s="10"/>
      <c r="W539" s="30"/>
      <c r="X539" s="10"/>
      <c r="AD539" s="30"/>
      <c r="AE539" s="35"/>
      <c r="AF539" s="35"/>
      <c r="AG539" s="10"/>
      <c r="AK539" s="30"/>
      <c r="AL539" s="10"/>
      <c r="AT539" s="30"/>
      <c r="AU539" s="10"/>
      <c r="BC539" s="30"/>
      <c r="BD539" s="10"/>
    </row>
    <row r="540" ht="15.75" customHeight="1">
      <c r="B540" s="30"/>
      <c r="C540" s="10"/>
      <c r="I540" s="30"/>
      <c r="J540" s="10"/>
      <c r="P540" s="30"/>
      <c r="Q540" s="10"/>
      <c r="W540" s="30"/>
      <c r="X540" s="10"/>
      <c r="AD540" s="30"/>
      <c r="AE540" s="35"/>
      <c r="AF540" s="35"/>
      <c r="AG540" s="10"/>
      <c r="AK540" s="30"/>
      <c r="AL540" s="10"/>
      <c r="AT540" s="30"/>
      <c r="AU540" s="10"/>
      <c r="BC540" s="30"/>
      <c r="BD540" s="10"/>
    </row>
    <row r="541" ht="15.75" customHeight="1">
      <c r="B541" s="30"/>
      <c r="C541" s="10"/>
      <c r="I541" s="30"/>
      <c r="J541" s="10"/>
      <c r="P541" s="30"/>
      <c r="Q541" s="10"/>
      <c r="W541" s="30"/>
      <c r="X541" s="10"/>
      <c r="AD541" s="30"/>
      <c r="AE541" s="35"/>
      <c r="AF541" s="35"/>
      <c r="AG541" s="10"/>
      <c r="AK541" s="30"/>
      <c r="AL541" s="10"/>
      <c r="AT541" s="30"/>
      <c r="AU541" s="10"/>
      <c r="BC541" s="30"/>
      <c r="BD541" s="10"/>
    </row>
    <row r="542" ht="15.75" customHeight="1">
      <c r="B542" s="30"/>
      <c r="C542" s="10"/>
      <c r="I542" s="30"/>
      <c r="J542" s="10"/>
      <c r="P542" s="30"/>
      <c r="Q542" s="10"/>
      <c r="W542" s="30"/>
      <c r="X542" s="10"/>
      <c r="AD542" s="30"/>
      <c r="AE542" s="35"/>
      <c r="AF542" s="35"/>
      <c r="AG542" s="10"/>
      <c r="AK542" s="30"/>
      <c r="AL542" s="10"/>
      <c r="AT542" s="30"/>
      <c r="AU542" s="10"/>
      <c r="BC542" s="30"/>
      <c r="BD542" s="10"/>
    </row>
    <row r="543" ht="15.75" customHeight="1">
      <c r="B543" s="30"/>
      <c r="C543" s="10"/>
      <c r="I543" s="30"/>
      <c r="J543" s="10"/>
      <c r="P543" s="30"/>
      <c r="Q543" s="10"/>
      <c r="W543" s="30"/>
      <c r="X543" s="10"/>
      <c r="AD543" s="30"/>
      <c r="AE543" s="35"/>
      <c r="AF543" s="35"/>
      <c r="AG543" s="10"/>
      <c r="AK543" s="30"/>
      <c r="AL543" s="10"/>
      <c r="AT543" s="30"/>
      <c r="AU543" s="10"/>
      <c r="BC543" s="30"/>
      <c r="BD543" s="10"/>
    </row>
    <row r="544" ht="15.75" customHeight="1">
      <c r="B544" s="30"/>
      <c r="C544" s="10"/>
      <c r="I544" s="30"/>
      <c r="J544" s="10"/>
      <c r="P544" s="30"/>
      <c r="Q544" s="10"/>
      <c r="W544" s="30"/>
      <c r="X544" s="10"/>
      <c r="AD544" s="30"/>
      <c r="AE544" s="35"/>
      <c r="AF544" s="35"/>
      <c r="AG544" s="10"/>
      <c r="AK544" s="30"/>
      <c r="AL544" s="10"/>
      <c r="AT544" s="30"/>
      <c r="AU544" s="10"/>
      <c r="BC544" s="30"/>
      <c r="BD544" s="10"/>
    </row>
    <row r="545" ht="15.75" customHeight="1">
      <c r="B545" s="30"/>
      <c r="C545" s="10"/>
      <c r="I545" s="30"/>
      <c r="J545" s="10"/>
      <c r="P545" s="30"/>
      <c r="Q545" s="10"/>
      <c r="W545" s="30"/>
      <c r="X545" s="10"/>
      <c r="AD545" s="30"/>
      <c r="AE545" s="35"/>
      <c r="AF545" s="35"/>
      <c r="AG545" s="10"/>
      <c r="AK545" s="30"/>
      <c r="AL545" s="10"/>
      <c r="AT545" s="30"/>
      <c r="AU545" s="10"/>
      <c r="BC545" s="30"/>
      <c r="BD545" s="10"/>
    </row>
    <row r="546" ht="15.75" customHeight="1">
      <c r="B546" s="30"/>
      <c r="C546" s="10"/>
      <c r="I546" s="30"/>
      <c r="J546" s="10"/>
      <c r="P546" s="30"/>
      <c r="Q546" s="10"/>
      <c r="W546" s="30"/>
      <c r="X546" s="10"/>
      <c r="AD546" s="30"/>
      <c r="AE546" s="35"/>
      <c r="AF546" s="35"/>
      <c r="AG546" s="10"/>
      <c r="AK546" s="30"/>
      <c r="AL546" s="10"/>
      <c r="AT546" s="30"/>
      <c r="AU546" s="10"/>
      <c r="BC546" s="30"/>
      <c r="BD546" s="10"/>
    </row>
    <row r="547" ht="15.75" customHeight="1">
      <c r="B547" s="30"/>
      <c r="C547" s="10"/>
      <c r="I547" s="30"/>
      <c r="J547" s="10"/>
      <c r="P547" s="30"/>
      <c r="Q547" s="10"/>
      <c r="W547" s="30"/>
      <c r="X547" s="10"/>
      <c r="AD547" s="30"/>
      <c r="AE547" s="35"/>
      <c r="AF547" s="35"/>
      <c r="AG547" s="10"/>
      <c r="AK547" s="30"/>
      <c r="AL547" s="10"/>
      <c r="AT547" s="30"/>
      <c r="AU547" s="10"/>
      <c r="BC547" s="30"/>
      <c r="BD547" s="10"/>
    </row>
    <row r="548" ht="15.75" customHeight="1">
      <c r="B548" s="30"/>
      <c r="C548" s="10"/>
      <c r="I548" s="30"/>
      <c r="J548" s="10"/>
      <c r="P548" s="30"/>
      <c r="Q548" s="10"/>
      <c r="W548" s="30"/>
      <c r="X548" s="10"/>
      <c r="AD548" s="30"/>
      <c r="AE548" s="35"/>
      <c r="AF548" s="35"/>
      <c r="AG548" s="10"/>
      <c r="AK548" s="30"/>
      <c r="AL548" s="10"/>
      <c r="AT548" s="30"/>
      <c r="AU548" s="10"/>
      <c r="BC548" s="30"/>
      <c r="BD548" s="10"/>
    </row>
    <row r="549" ht="15.75" customHeight="1">
      <c r="B549" s="30"/>
      <c r="C549" s="10"/>
      <c r="I549" s="30"/>
      <c r="J549" s="10"/>
      <c r="P549" s="30"/>
      <c r="Q549" s="10"/>
      <c r="W549" s="30"/>
      <c r="X549" s="10"/>
      <c r="AD549" s="30"/>
      <c r="AE549" s="35"/>
      <c r="AF549" s="35"/>
      <c r="AG549" s="10"/>
      <c r="AK549" s="30"/>
      <c r="AL549" s="10"/>
      <c r="AT549" s="30"/>
      <c r="AU549" s="10"/>
      <c r="BC549" s="30"/>
      <c r="BD549" s="10"/>
    </row>
    <row r="550" ht="15.75" customHeight="1">
      <c r="B550" s="30"/>
      <c r="C550" s="10"/>
      <c r="I550" s="30"/>
      <c r="J550" s="10"/>
      <c r="P550" s="30"/>
      <c r="Q550" s="10"/>
      <c r="W550" s="30"/>
      <c r="X550" s="10"/>
      <c r="AD550" s="30"/>
      <c r="AE550" s="35"/>
      <c r="AF550" s="35"/>
      <c r="AG550" s="10"/>
      <c r="AK550" s="30"/>
      <c r="AL550" s="10"/>
      <c r="AT550" s="30"/>
      <c r="AU550" s="10"/>
      <c r="BC550" s="30"/>
      <c r="BD550" s="10"/>
    </row>
    <row r="551" ht="15.75" customHeight="1">
      <c r="B551" s="30"/>
      <c r="C551" s="10"/>
      <c r="I551" s="30"/>
      <c r="J551" s="10"/>
      <c r="P551" s="30"/>
      <c r="Q551" s="10"/>
      <c r="W551" s="30"/>
      <c r="X551" s="10"/>
      <c r="AD551" s="30"/>
      <c r="AE551" s="35"/>
      <c r="AF551" s="35"/>
      <c r="AG551" s="10"/>
      <c r="AK551" s="30"/>
      <c r="AL551" s="10"/>
      <c r="AT551" s="30"/>
      <c r="AU551" s="10"/>
      <c r="BC551" s="30"/>
      <c r="BD551" s="10"/>
    </row>
    <row r="552" ht="15.75" customHeight="1">
      <c r="B552" s="30"/>
      <c r="C552" s="10"/>
      <c r="I552" s="30"/>
      <c r="J552" s="10"/>
      <c r="P552" s="30"/>
      <c r="Q552" s="10"/>
      <c r="W552" s="30"/>
      <c r="X552" s="10"/>
      <c r="AD552" s="30"/>
      <c r="AE552" s="35"/>
      <c r="AF552" s="35"/>
      <c r="AG552" s="10"/>
      <c r="AK552" s="30"/>
      <c r="AL552" s="10"/>
      <c r="AT552" s="30"/>
      <c r="AU552" s="10"/>
      <c r="BC552" s="30"/>
      <c r="BD552" s="10"/>
    </row>
    <row r="553" ht="15.75" customHeight="1">
      <c r="B553" s="30"/>
      <c r="C553" s="10"/>
      <c r="I553" s="30"/>
      <c r="J553" s="10"/>
      <c r="P553" s="30"/>
      <c r="Q553" s="10"/>
      <c r="W553" s="30"/>
      <c r="X553" s="10"/>
      <c r="AD553" s="30"/>
      <c r="AE553" s="35"/>
      <c r="AF553" s="35"/>
      <c r="AG553" s="10"/>
      <c r="AK553" s="30"/>
      <c r="AL553" s="10"/>
      <c r="AT553" s="30"/>
      <c r="AU553" s="10"/>
      <c r="BC553" s="30"/>
      <c r="BD553" s="10"/>
    </row>
    <row r="554" ht="15.75" customHeight="1">
      <c r="B554" s="30"/>
      <c r="C554" s="10"/>
      <c r="I554" s="30"/>
      <c r="J554" s="10"/>
      <c r="P554" s="30"/>
      <c r="Q554" s="10"/>
      <c r="W554" s="30"/>
      <c r="X554" s="10"/>
      <c r="AD554" s="30"/>
      <c r="AE554" s="35"/>
      <c r="AF554" s="35"/>
      <c r="AG554" s="10"/>
      <c r="AK554" s="30"/>
      <c r="AL554" s="10"/>
      <c r="AT554" s="30"/>
      <c r="AU554" s="10"/>
      <c r="BC554" s="30"/>
      <c r="BD554" s="10"/>
    </row>
    <row r="555" ht="15.75" customHeight="1">
      <c r="B555" s="30"/>
      <c r="C555" s="10"/>
      <c r="I555" s="30"/>
      <c r="J555" s="10"/>
      <c r="P555" s="30"/>
      <c r="Q555" s="10"/>
      <c r="W555" s="30"/>
      <c r="X555" s="10"/>
      <c r="AD555" s="30"/>
      <c r="AE555" s="35"/>
      <c r="AF555" s="35"/>
      <c r="AG555" s="10"/>
      <c r="AK555" s="30"/>
      <c r="AL555" s="10"/>
      <c r="AT555" s="30"/>
      <c r="AU555" s="10"/>
      <c r="BC555" s="30"/>
      <c r="BD555" s="10"/>
    </row>
    <row r="556" ht="15.75" customHeight="1">
      <c r="B556" s="30"/>
      <c r="C556" s="10"/>
      <c r="I556" s="30"/>
      <c r="J556" s="10"/>
      <c r="P556" s="30"/>
      <c r="Q556" s="10"/>
      <c r="W556" s="30"/>
      <c r="X556" s="10"/>
      <c r="AD556" s="30"/>
      <c r="AE556" s="35"/>
      <c r="AF556" s="35"/>
      <c r="AG556" s="10"/>
      <c r="AK556" s="30"/>
      <c r="AL556" s="10"/>
      <c r="AT556" s="30"/>
      <c r="AU556" s="10"/>
      <c r="BC556" s="30"/>
      <c r="BD556" s="10"/>
    </row>
    <row r="557" ht="15.75" customHeight="1">
      <c r="B557" s="30"/>
      <c r="C557" s="10"/>
      <c r="I557" s="30"/>
      <c r="J557" s="10"/>
      <c r="P557" s="30"/>
      <c r="Q557" s="10"/>
      <c r="W557" s="30"/>
      <c r="X557" s="10"/>
      <c r="AD557" s="30"/>
      <c r="AE557" s="35"/>
      <c r="AF557" s="35"/>
      <c r="AG557" s="10"/>
      <c r="AK557" s="30"/>
      <c r="AL557" s="10"/>
      <c r="AT557" s="30"/>
      <c r="AU557" s="10"/>
      <c r="BC557" s="30"/>
      <c r="BD557" s="10"/>
    </row>
    <row r="558" ht="15.75" customHeight="1">
      <c r="B558" s="30"/>
      <c r="C558" s="10"/>
      <c r="I558" s="30"/>
      <c r="J558" s="10"/>
      <c r="P558" s="30"/>
      <c r="Q558" s="10"/>
      <c r="W558" s="30"/>
      <c r="X558" s="10"/>
      <c r="AD558" s="30"/>
      <c r="AE558" s="35"/>
      <c r="AF558" s="35"/>
      <c r="AG558" s="10"/>
      <c r="AK558" s="30"/>
      <c r="AL558" s="10"/>
      <c r="AT558" s="30"/>
      <c r="AU558" s="10"/>
      <c r="BC558" s="30"/>
      <c r="BD558" s="10"/>
    </row>
    <row r="559" ht="15.75" customHeight="1">
      <c r="B559" s="30"/>
      <c r="C559" s="10"/>
      <c r="I559" s="30"/>
      <c r="J559" s="10"/>
      <c r="P559" s="30"/>
      <c r="Q559" s="10"/>
      <c r="W559" s="30"/>
      <c r="X559" s="10"/>
      <c r="AD559" s="30"/>
      <c r="AE559" s="35"/>
      <c r="AF559" s="35"/>
      <c r="AG559" s="10"/>
      <c r="AK559" s="30"/>
      <c r="AL559" s="10"/>
      <c r="AT559" s="30"/>
      <c r="AU559" s="10"/>
      <c r="BC559" s="30"/>
      <c r="BD559" s="10"/>
    </row>
    <row r="560" ht="15.75" customHeight="1">
      <c r="B560" s="30"/>
      <c r="C560" s="10"/>
      <c r="I560" s="30"/>
      <c r="J560" s="10"/>
      <c r="P560" s="30"/>
      <c r="Q560" s="10"/>
      <c r="W560" s="30"/>
      <c r="X560" s="10"/>
      <c r="AD560" s="30"/>
      <c r="AE560" s="35"/>
      <c r="AF560" s="35"/>
      <c r="AG560" s="10"/>
      <c r="AK560" s="30"/>
      <c r="AL560" s="10"/>
      <c r="AT560" s="30"/>
      <c r="AU560" s="10"/>
      <c r="BC560" s="30"/>
      <c r="BD560" s="10"/>
    </row>
    <row r="561" ht="15.75" customHeight="1">
      <c r="B561" s="30"/>
      <c r="C561" s="10"/>
      <c r="I561" s="30"/>
      <c r="J561" s="10"/>
      <c r="P561" s="30"/>
      <c r="Q561" s="10"/>
      <c r="W561" s="30"/>
      <c r="X561" s="10"/>
      <c r="AD561" s="30"/>
      <c r="AE561" s="35"/>
      <c r="AF561" s="35"/>
      <c r="AG561" s="10"/>
      <c r="AK561" s="30"/>
      <c r="AL561" s="10"/>
      <c r="AT561" s="30"/>
      <c r="AU561" s="10"/>
      <c r="BC561" s="30"/>
      <c r="BD561" s="10"/>
    </row>
    <row r="562" ht="15.75" customHeight="1">
      <c r="B562" s="30"/>
      <c r="C562" s="10"/>
      <c r="I562" s="30"/>
      <c r="J562" s="10"/>
      <c r="P562" s="30"/>
      <c r="Q562" s="10"/>
      <c r="W562" s="30"/>
      <c r="X562" s="10"/>
      <c r="AD562" s="30"/>
      <c r="AE562" s="35"/>
      <c r="AF562" s="35"/>
      <c r="AG562" s="10"/>
      <c r="AK562" s="30"/>
      <c r="AL562" s="10"/>
      <c r="AT562" s="30"/>
      <c r="AU562" s="10"/>
      <c r="BC562" s="30"/>
      <c r="BD562" s="10"/>
    </row>
    <row r="563" ht="15.75" customHeight="1">
      <c r="B563" s="30"/>
      <c r="C563" s="10"/>
      <c r="I563" s="30"/>
      <c r="J563" s="10"/>
      <c r="P563" s="30"/>
      <c r="Q563" s="10"/>
      <c r="W563" s="30"/>
      <c r="X563" s="10"/>
      <c r="AD563" s="30"/>
      <c r="AE563" s="35"/>
      <c r="AF563" s="35"/>
      <c r="AG563" s="10"/>
      <c r="AK563" s="30"/>
      <c r="AL563" s="10"/>
      <c r="AT563" s="30"/>
      <c r="AU563" s="10"/>
      <c r="BC563" s="30"/>
      <c r="BD563" s="10"/>
    </row>
    <row r="564" ht="15.75" customHeight="1">
      <c r="B564" s="30"/>
      <c r="C564" s="10"/>
      <c r="I564" s="30"/>
      <c r="J564" s="10"/>
      <c r="P564" s="30"/>
      <c r="Q564" s="10"/>
      <c r="W564" s="30"/>
      <c r="X564" s="10"/>
      <c r="AD564" s="30"/>
      <c r="AE564" s="35"/>
      <c r="AF564" s="35"/>
      <c r="AG564" s="10"/>
      <c r="AK564" s="30"/>
      <c r="AL564" s="10"/>
      <c r="AT564" s="30"/>
      <c r="AU564" s="10"/>
      <c r="BC564" s="30"/>
      <c r="BD564" s="10"/>
    </row>
    <row r="565" ht="15.75" customHeight="1">
      <c r="B565" s="30"/>
      <c r="C565" s="10"/>
      <c r="I565" s="30"/>
      <c r="J565" s="10"/>
      <c r="P565" s="30"/>
      <c r="Q565" s="10"/>
      <c r="W565" s="30"/>
      <c r="X565" s="10"/>
      <c r="AD565" s="30"/>
      <c r="AE565" s="35"/>
      <c r="AF565" s="35"/>
      <c r="AG565" s="10"/>
      <c r="AK565" s="30"/>
      <c r="AL565" s="10"/>
      <c r="AT565" s="30"/>
      <c r="AU565" s="10"/>
      <c r="BC565" s="30"/>
      <c r="BD565" s="10"/>
    </row>
    <row r="566" ht="15.75" customHeight="1">
      <c r="B566" s="30"/>
      <c r="C566" s="10"/>
      <c r="I566" s="30"/>
      <c r="J566" s="10"/>
      <c r="P566" s="30"/>
      <c r="Q566" s="10"/>
      <c r="W566" s="30"/>
      <c r="X566" s="10"/>
      <c r="AD566" s="30"/>
      <c r="AE566" s="35"/>
      <c r="AF566" s="35"/>
      <c r="AG566" s="10"/>
      <c r="AK566" s="30"/>
      <c r="AL566" s="10"/>
      <c r="AT566" s="30"/>
      <c r="AU566" s="10"/>
      <c r="BC566" s="30"/>
      <c r="BD566" s="10"/>
    </row>
    <row r="567" ht="15.75" customHeight="1">
      <c r="B567" s="30"/>
      <c r="C567" s="10"/>
      <c r="I567" s="30"/>
      <c r="J567" s="10"/>
      <c r="P567" s="30"/>
      <c r="Q567" s="10"/>
      <c r="W567" s="30"/>
      <c r="X567" s="10"/>
      <c r="AD567" s="30"/>
      <c r="AE567" s="35"/>
      <c r="AF567" s="35"/>
      <c r="AG567" s="10"/>
      <c r="AK567" s="30"/>
      <c r="AL567" s="10"/>
      <c r="AT567" s="30"/>
      <c r="AU567" s="10"/>
      <c r="BC567" s="30"/>
      <c r="BD567" s="10"/>
    </row>
    <row r="568" ht="15.75" customHeight="1">
      <c r="B568" s="30"/>
      <c r="C568" s="10"/>
      <c r="I568" s="30"/>
      <c r="J568" s="10"/>
      <c r="P568" s="30"/>
      <c r="Q568" s="10"/>
      <c r="W568" s="30"/>
      <c r="X568" s="10"/>
      <c r="AD568" s="30"/>
      <c r="AE568" s="35"/>
      <c r="AF568" s="35"/>
      <c r="AG568" s="10"/>
      <c r="AK568" s="30"/>
      <c r="AL568" s="10"/>
      <c r="AT568" s="30"/>
      <c r="AU568" s="10"/>
      <c r="BC568" s="30"/>
      <c r="BD568" s="10"/>
    </row>
    <row r="569" ht="15.75" customHeight="1">
      <c r="B569" s="30"/>
      <c r="C569" s="10"/>
      <c r="I569" s="30"/>
      <c r="J569" s="10"/>
      <c r="P569" s="30"/>
      <c r="Q569" s="10"/>
      <c r="W569" s="30"/>
      <c r="X569" s="10"/>
      <c r="AD569" s="30"/>
      <c r="AE569" s="35"/>
      <c r="AF569" s="35"/>
      <c r="AG569" s="10"/>
      <c r="AK569" s="30"/>
      <c r="AL569" s="10"/>
      <c r="AT569" s="30"/>
      <c r="AU569" s="10"/>
      <c r="BC569" s="30"/>
      <c r="BD569" s="10"/>
    </row>
    <row r="570" ht="15.75" customHeight="1">
      <c r="B570" s="30"/>
      <c r="C570" s="10"/>
      <c r="I570" s="30"/>
      <c r="J570" s="10"/>
      <c r="P570" s="30"/>
      <c r="Q570" s="10"/>
      <c r="W570" s="30"/>
      <c r="X570" s="10"/>
      <c r="AD570" s="30"/>
      <c r="AE570" s="35"/>
      <c r="AF570" s="35"/>
      <c r="AG570" s="10"/>
      <c r="AK570" s="30"/>
      <c r="AL570" s="10"/>
      <c r="AT570" s="30"/>
      <c r="AU570" s="10"/>
      <c r="BC570" s="30"/>
      <c r="BD570" s="10"/>
    </row>
    <row r="571" ht="15.75" customHeight="1">
      <c r="B571" s="30"/>
      <c r="C571" s="10"/>
      <c r="I571" s="30"/>
      <c r="J571" s="10"/>
      <c r="P571" s="30"/>
      <c r="Q571" s="10"/>
      <c r="W571" s="30"/>
      <c r="X571" s="10"/>
      <c r="AD571" s="30"/>
      <c r="AE571" s="35"/>
      <c r="AF571" s="35"/>
      <c r="AG571" s="10"/>
      <c r="AK571" s="30"/>
      <c r="AL571" s="10"/>
      <c r="AT571" s="30"/>
      <c r="AU571" s="10"/>
      <c r="BC571" s="30"/>
      <c r="BD571" s="10"/>
    </row>
    <row r="572" ht="15.75" customHeight="1">
      <c r="B572" s="30"/>
      <c r="C572" s="10"/>
      <c r="I572" s="30"/>
      <c r="J572" s="10"/>
      <c r="P572" s="30"/>
      <c r="Q572" s="10"/>
      <c r="W572" s="30"/>
      <c r="X572" s="10"/>
      <c r="AD572" s="30"/>
      <c r="AE572" s="35"/>
      <c r="AF572" s="35"/>
      <c r="AG572" s="10"/>
      <c r="AK572" s="30"/>
      <c r="AL572" s="10"/>
      <c r="AT572" s="30"/>
      <c r="AU572" s="10"/>
      <c r="BC572" s="30"/>
      <c r="BD572" s="10"/>
    </row>
    <row r="573" ht="15.75" customHeight="1">
      <c r="B573" s="30"/>
      <c r="C573" s="10"/>
      <c r="I573" s="30"/>
      <c r="J573" s="10"/>
      <c r="P573" s="30"/>
      <c r="Q573" s="10"/>
      <c r="W573" s="30"/>
      <c r="X573" s="10"/>
      <c r="AD573" s="30"/>
      <c r="AE573" s="35"/>
      <c r="AF573" s="35"/>
      <c r="AG573" s="10"/>
      <c r="AK573" s="30"/>
      <c r="AL573" s="10"/>
      <c r="AT573" s="30"/>
      <c r="AU573" s="10"/>
      <c r="BC573" s="30"/>
      <c r="BD573" s="10"/>
    </row>
    <row r="574" ht="15.75" customHeight="1">
      <c r="B574" s="30"/>
      <c r="C574" s="10"/>
      <c r="I574" s="30"/>
      <c r="J574" s="10"/>
      <c r="P574" s="30"/>
      <c r="Q574" s="10"/>
      <c r="W574" s="30"/>
      <c r="X574" s="10"/>
      <c r="AD574" s="30"/>
      <c r="AE574" s="35"/>
      <c r="AF574" s="35"/>
      <c r="AG574" s="10"/>
      <c r="AK574" s="30"/>
      <c r="AL574" s="10"/>
      <c r="AT574" s="30"/>
      <c r="AU574" s="10"/>
      <c r="BC574" s="30"/>
      <c r="BD574" s="10"/>
    </row>
    <row r="575" ht="15.75" customHeight="1">
      <c r="B575" s="30"/>
      <c r="C575" s="10"/>
      <c r="I575" s="30"/>
      <c r="J575" s="10"/>
      <c r="P575" s="30"/>
      <c r="Q575" s="10"/>
      <c r="W575" s="30"/>
      <c r="X575" s="10"/>
      <c r="AD575" s="30"/>
      <c r="AE575" s="35"/>
      <c r="AF575" s="35"/>
      <c r="AG575" s="10"/>
      <c r="AK575" s="30"/>
      <c r="AL575" s="10"/>
      <c r="AT575" s="30"/>
      <c r="AU575" s="10"/>
      <c r="BC575" s="30"/>
      <c r="BD575" s="10"/>
    </row>
    <row r="576" ht="15.75" customHeight="1">
      <c r="B576" s="30"/>
      <c r="C576" s="10"/>
      <c r="I576" s="30"/>
      <c r="J576" s="10"/>
      <c r="P576" s="30"/>
      <c r="Q576" s="10"/>
      <c r="W576" s="30"/>
      <c r="X576" s="10"/>
      <c r="AD576" s="30"/>
      <c r="AE576" s="35"/>
      <c r="AF576" s="35"/>
      <c r="AG576" s="10"/>
      <c r="AK576" s="30"/>
      <c r="AL576" s="10"/>
      <c r="AT576" s="30"/>
      <c r="AU576" s="10"/>
      <c r="BC576" s="30"/>
      <c r="BD576" s="10"/>
    </row>
    <row r="577" ht="15.75" customHeight="1">
      <c r="B577" s="30"/>
      <c r="C577" s="10"/>
      <c r="I577" s="30"/>
      <c r="J577" s="10"/>
      <c r="P577" s="30"/>
      <c r="Q577" s="10"/>
      <c r="W577" s="30"/>
      <c r="X577" s="10"/>
      <c r="AD577" s="30"/>
      <c r="AE577" s="35"/>
      <c r="AF577" s="35"/>
      <c r="AG577" s="10"/>
      <c r="AK577" s="30"/>
      <c r="AL577" s="10"/>
      <c r="AT577" s="30"/>
      <c r="AU577" s="10"/>
      <c r="BC577" s="30"/>
      <c r="BD577" s="10"/>
    </row>
    <row r="578" ht="15.75" customHeight="1">
      <c r="B578" s="30"/>
      <c r="C578" s="10"/>
      <c r="I578" s="30"/>
      <c r="J578" s="10"/>
      <c r="P578" s="30"/>
      <c r="Q578" s="10"/>
      <c r="W578" s="30"/>
      <c r="X578" s="10"/>
      <c r="AD578" s="30"/>
      <c r="AE578" s="35"/>
      <c r="AF578" s="35"/>
      <c r="AG578" s="10"/>
      <c r="AK578" s="30"/>
      <c r="AL578" s="10"/>
      <c r="AT578" s="30"/>
      <c r="AU578" s="10"/>
      <c r="BC578" s="30"/>
      <c r="BD578" s="10"/>
    </row>
    <row r="579" ht="15.75" customHeight="1">
      <c r="B579" s="30"/>
      <c r="C579" s="10"/>
      <c r="I579" s="30"/>
      <c r="J579" s="10"/>
      <c r="P579" s="30"/>
      <c r="Q579" s="10"/>
      <c r="W579" s="30"/>
      <c r="X579" s="10"/>
      <c r="AD579" s="30"/>
      <c r="AE579" s="35"/>
      <c r="AF579" s="35"/>
      <c r="AG579" s="10"/>
      <c r="AK579" s="30"/>
      <c r="AL579" s="10"/>
      <c r="AT579" s="30"/>
      <c r="AU579" s="10"/>
      <c r="BC579" s="30"/>
      <c r="BD579" s="10"/>
    </row>
    <row r="580" ht="15.75" customHeight="1">
      <c r="B580" s="30"/>
      <c r="C580" s="10"/>
      <c r="I580" s="30"/>
      <c r="J580" s="10"/>
      <c r="P580" s="30"/>
      <c r="Q580" s="10"/>
      <c r="W580" s="30"/>
      <c r="X580" s="10"/>
      <c r="AD580" s="30"/>
      <c r="AE580" s="35"/>
      <c r="AF580" s="35"/>
      <c r="AG580" s="10"/>
      <c r="AK580" s="30"/>
      <c r="AL580" s="10"/>
      <c r="AT580" s="30"/>
      <c r="AU580" s="10"/>
      <c r="BC580" s="30"/>
      <c r="BD580" s="10"/>
    </row>
    <row r="581" ht="15.75" customHeight="1">
      <c r="B581" s="30"/>
      <c r="C581" s="10"/>
      <c r="I581" s="30"/>
      <c r="J581" s="10"/>
      <c r="P581" s="30"/>
      <c r="Q581" s="10"/>
      <c r="W581" s="30"/>
      <c r="X581" s="10"/>
      <c r="AD581" s="30"/>
      <c r="AE581" s="35"/>
      <c r="AF581" s="35"/>
      <c r="AG581" s="10"/>
      <c r="AK581" s="30"/>
      <c r="AL581" s="10"/>
      <c r="AT581" s="30"/>
      <c r="AU581" s="10"/>
      <c r="BC581" s="30"/>
      <c r="BD581" s="10"/>
    </row>
    <row r="582" ht="15.75" customHeight="1">
      <c r="B582" s="30"/>
      <c r="C582" s="10"/>
      <c r="I582" s="30"/>
      <c r="J582" s="10"/>
      <c r="P582" s="30"/>
      <c r="Q582" s="10"/>
      <c r="W582" s="30"/>
      <c r="X582" s="10"/>
      <c r="AD582" s="30"/>
      <c r="AE582" s="35"/>
      <c r="AF582" s="35"/>
      <c r="AG582" s="10"/>
      <c r="AK582" s="30"/>
      <c r="AL582" s="10"/>
      <c r="AT582" s="30"/>
      <c r="AU582" s="10"/>
      <c r="BC582" s="30"/>
      <c r="BD582" s="10"/>
    </row>
    <row r="583" ht="15.75" customHeight="1">
      <c r="B583" s="30"/>
      <c r="C583" s="10"/>
      <c r="I583" s="30"/>
      <c r="J583" s="10"/>
      <c r="P583" s="30"/>
      <c r="Q583" s="10"/>
      <c r="W583" s="30"/>
      <c r="X583" s="10"/>
      <c r="AD583" s="30"/>
      <c r="AE583" s="35"/>
      <c r="AF583" s="35"/>
      <c r="AG583" s="10"/>
      <c r="AK583" s="30"/>
      <c r="AL583" s="10"/>
      <c r="AT583" s="30"/>
      <c r="AU583" s="10"/>
      <c r="BC583" s="30"/>
      <c r="BD583" s="10"/>
    </row>
    <row r="584" ht="15.75" customHeight="1">
      <c r="B584" s="30"/>
      <c r="C584" s="10"/>
      <c r="I584" s="30"/>
      <c r="J584" s="10"/>
      <c r="P584" s="30"/>
      <c r="Q584" s="10"/>
      <c r="W584" s="30"/>
      <c r="X584" s="10"/>
      <c r="AD584" s="30"/>
      <c r="AE584" s="35"/>
      <c r="AF584" s="35"/>
      <c r="AG584" s="10"/>
      <c r="AK584" s="30"/>
      <c r="AL584" s="10"/>
      <c r="AT584" s="30"/>
      <c r="AU584" s="10"/>
      <c r="BC584" s="30"/>
      <c r="BD584" s="10"/>
    </row>
    <row r="585" ht="15.75" customHeight="1">
      <c r="B585" s="30"/>
      <c r="C585" s="10"/>
      <c r="I585" s="30"/>
      <c r="J585" s="10"/>
      <c r="P585" s="30"/>
      <c r="Q585" s="10"/>
      <c r="W585" s="30"/>
      <c r="X585" s="10"/>
      <c r="AD585" s="30"/>
      <c r="AE585" s="35"/>
      <c r="AF585" s="35"/>
      <c r="AG585" s="10"/>
      <c r="AK585" s="30"/>
      <c r="AL585" s="10"/>
      <c r="AT585" s="30"/>
      <c r="AU585" s="10"/>
      <c r="BC585" s="30"/>
      <c r="BD585" s="10"/>
    </row>
    <row r="586" ht="15.75" customHeight="1">
      <c r="B586" s="30"/>
      <c r="C586" s="10"/>
      <c r="I586" s="30"/>
      <c r="J586" s="10"/>
      <c r="P586" s="30"/>
      <c r="Q586" s="10"/>
      <c r="W586" s="30"/>
      <c r="X586" s="10"/>
      <c r="AD586" s="30"/>
      <c r="AE586" s="35"/>
      <c r="AF586" s="35"/>
      <c r="AG586" s="10"/>
      <c r="AK586" s="30"/>
      <c r="AL586" s="10"/>
      <c r="AT586" s="30"/>
      <c r="AU586" s="10"/>
      <c r="BC586" s="30"/>
      <c r="BD586" s="10"/>
    </row>
    <row r="587" ht="15.75" customHeight="1">
      <c r="B587" s="30"/>
      <c r="C587" s="10"/>
      <c r="I587" s="30"/>
      <c r="J587" s="10"/>
      <c r="P587" s="30"/>
      <c r="Q587" s="10"/>
      <c r="W587" s="30"/>
      <c r="X587" s="10"/>
      <c r="AD587" s="30"/>
      <c r="AE587" s="35"/>
      <c r="AF587" s="35"/>
      <c r="AG587" s="10"/>
      <c r="AK587" s="30"/>
      <c r="AL587" s="10"/>
      <c r="AT587" s="30"/>
      <c r="AU587" s="10"/>
      <c r="BC587" s="30"/>
      <c r="BD587" s="10"/>
    </row>
    <row r="588" ht="15.75" customHeight="1">
      <c r="B588" s="30"/>
      <c r="C588" s="10"/>
      <c r="I588" s="30"/>
      <c r="J588" s="10"/>
      <c r="P588" s="30"/>
      <c r="Q588" s="10"/>
      <c r="W588" s="30"/>
      <c r="X588" s="10"/>
      <c r="AD588" s="30"/>
      <c r="AE588" s="35"/>
      <c r="AF588" s="35"/>
      <c r="AG588" s="10"/>
      <c r="AK588" s="30"/>
      <c r="AL588" s="10"/>
      <c r="AT588" s="30"/>
      <c r="AU588" s="10"/>
      <c r="BC588" s="30"/>
      <c r="BD588" s="10"/>
    </row>
    <row r="589" ht="15.75" customHeight="1">
      <c r="B589" s="30"/>
      <c r="C589" s="10"/>
      <c r="I589" s="30"/>
      <c r="J589" s="10"/>
      <c r="P589" s="30"/>
      <c r="Q589" s="10"/>
      <c r="W589" s="30"/>
      <c r="X589" s="10"/>
      <c r="AD589" s="30"/>
      <c r="AE589" s="35"/>
      <c r="AF589" s="35"/>
      <c r="AG589" s="10"/>
      <c r="AK589" s="30"/>
      <c r="AL589" s="10"/>
      <c r="AT589" s="30"/>
      <c r="AU589" s="10"/>
      <c r="BC589" s="30"/>
      <c r="BD589" s="10"/>
    </row>
    <row r="590" ht="15.75" customHeight="1">
      <c r="B590" s="30"/>
      <c r="C590" s="10"/>
      <c r="I590" s="30"/>
      <c r="J590" s="10"/>
      <c r="P590" s="30"/>
      <c r="Q590" s="10"/>
      <c r="W590" s="30"/>
      <c r="X590" s="10"/>
      <c r="AD590" s="30"/>
      <c r="AE590" s="35"/>
      <c r="AF590" s="35"/>
      <c r="AG590" s="10"/>
      <c r="AK590" s="30"/>
      <c r="AL590" s="10"/>
      <c r="AT590" s="30"/>
      <c r="AU590" s="10"/>
      <c r="BC590" s="30"/>
      <c r="BD590" s="10"/>
    </row>
    <row r="591" ht="15.75" customHeight="1">
      <c r="B591" s="30"/>
      <c r="C591" s="10"/>
      <c r="I591" s="30"/>
      <c r="J591" s="10"/>
      <c r="P591" s="30"/>
      <c r="Q591" s="10"/>
      <c r="W591" s="30"/>
      <c r="X591" s="10"/>
      <c r="AD591" s="30"/>
      <c r="AE591" s="35"/>
      <c r="AF591" s="35"/>
      <c r="AG591" s="10"/>
      <c r="AK591" s="30"/>
      <c r="AL591" s="10"/>
      <c r="AT591" s="30"/>
      <c r="AU591" s="10"/>
      <c r="BC591" s="30"/>
      <c r="BD591" s="10"/>
    </row>
    <row r="592" ht="15.75" customHeight="1">
      <c r="B592" s="30"/>
      <c r="C592" s="10"/>
      <c r="I592" s="30"/>
      <c r="J592" s="10"/>
      <c r="P592" s="30"/>
      <c r="Q592" s="10"/>
      <c r="W592" s="30"/>
      <c r="X592" s="10"/>
      <c r="AD592" s="30"/>
      <c r="AE592" s="35"/>
      <c r="AF592" s="35"/>
      <c r="AG592" s="10"/>
      <c r="AK592" s="30"/>
      <c r="AL592" s="10"/>
      <c r="AT592" s="30"/>
      <c r="AU592" s="10"/>
      <c r="BC592" s="30"/>
      <c r="BD592" s="10"/>
    </row>
    <row r="593" ht="15.75" customHeight="1">
      <c r="B593" s="30"/>
      <c r="C593" s="10"/>
      <c r="I593" s="30"/>
      <c r="J593" s="10"/>
      <c r="P593" s="30"/>
      <c r="Q593" s="10"/>
      <c r="W593" s="30"/>
      <c r="X593" s="10"/>
      <c r="AD593" s="30"/>
      <c r="AE593" s="35"/>
      <c r="AF593" s="35"/>
      <c r="AG593" s="10"/>
      <c r="AK593" s="30"/>
      <c r="AL593" s="10"/>
      <c r="AT593" s="30"/>
      <c r="AU593" s="10"/>
      <c r="BC593" s="30"/>
      <c r="BD593" s="10"/>
    </row>
    <row r="594" ht="15.75" customHeight="1">
      <c r="B594" s="30"/>
      <c r="C594" s="10"/>
      <c r="I594" s="30"/>
      <c r="J594" s="10"/>
      <c r="P594" s="30"/>
      <c r="Q594" s="10"/>
      <c r="W594" s="30"/>
      <c r="X594" s="10"/>
      <c r="AD594" s="30"/>
      <c r="AE594" s="35"/>
      <c r="AF594" s="35"/>
      <c r="AG594" s="10"/>
      <c r="AK594" s="30"/>
      <c r="AL594" s="10"/>
      <c r="AT594" s="30"/>
      <c r="AU594" s="10"/>
      <c r="BC594" s="30"/>
      <c r="BD594" s="10"/>
    </row>
    <row r="595" ht="15.75" customHeight="1">
      <c r="B595" s="30"/>
      <c r="C595" s="10"/>
      <c r="I595" s="30"/>
      <c r="J595" s="10"/>
      <c r="P595" s="30"/>
      <c r="Q595" s="10"/>
      <c r="W595" s="30"/>
      <c r="X595" s="10"/>
      <c r="AD595" s="30"/>
      <c r="AE595" s="35"/>
      <c r="AF595" s="35"/>
      <c r="AG595" s="10"/>
      <c r="AK595" s="30"/>
      <c r="AL595" s="10"/>
      <c r="AT595" s="30"/>
      <c r="AU595" s="10"/>
      <c r="BC595" s="30"/>
      <c r="BD595" s="10"/>
    </row>
    <row r="596" ht="15.75" customHeight="1">
      <c r="B596" s="30"/>
      <c r="C596" s="10"/>
      <c r="I596" s="30"/>
      <c r="J596" s="10"/>
      <c r="P596" s="30"/>
      <c r="Q596" s="10"/>
      <c r="W596" s="30"/>
      <c r="X596" s="10"/>
      <c r="AD596" s="30"/>
      <c r="AE596" s="35"/>
      <c r="AF596" s="35"/>
      <c r="AG596" s="10"/>
      <c r="AK596" s="30"/>
      <c r="AL596" s="10"/>
      <c r="AT596" s="30"/>
      <c r="AU596" s="10"/>
      <c r="BC596" s="30"/>
      <c r="BD596" s="10"/>
    </row>
    <row r="597" ht="15.75" customHeight="1">
      <c r="B597" s="30"/>
      <c r="C597" s="10"/>
      <c r="I597" s="30"/>
      <c r="J597" s="10"/>
      <c r="P597" s="30"/>
      <c r="Q597" s="10"/>
      <c r="W597" s="30"/>
      <c r="X597" s="10"/>
      <c r="AD597" s="30"/>
      <c r="AE597" s="35"/>
      <c r="AF597" s="35"/>
      <c r="AG597" s="10"/>
      <c r="AK597" s="30"/>
      <c r="AL597" s="10"/>
      <c r="AT597" s="30"/>
      <c r="AU597" s="10"/>
      <c r="BC597" s="30"/>
      <c r="BD597" s="10"/>
    </row>
    <row r="598" ht="15.75" customHeight="1">
      <c r="B598" s="30"/>
      <c r="C598" s="10"/>
      <c r="I598" s="30"/>
      <c r="J598" s="10"/>
      <c r="P598" s="30"/>
      <c r="Q598" s="10"/>
      <c r="W598" s="30"/>
      <c r="X598" s="10"/>
      <c r="AD598" s="30"/>
      <c r="AE598" s="35"/>
      <c r="AF598" s="35"/>
      <c r="AG598" s="10"/>
      <c r="AK598" s="30"/>
      <c r="AL598" s="10"/>
      <c r="AT598" s="30"/>
      <c r="AU598" s="10"/>
      <c r="BC598" s="30"/>
      <c r="BD598" s="10"/>
    </row>
    <row r="599" ht="15.75" customHeight="1">
      <c r="B599" s="30"/>
      <c r="C599" s="10"/>
      <c r="I599" s="30"/>
      <c r="J599" s="10"/>
      <c r="P599" s="30"/>
      <c r="Q599" s="10"/>
      <c r="W599" s="30"/>
      <c r="X599" s="10"/>
      <c r="AD599" s="30"/>
      <c r="AE599" s="35"/>
      <c r="AF599" s="35"/>
      <c r="AG599" s="10"/>
      <c r="AK599" s="30"/>
      <c r="AL599" s="10"/>
      <c r="AT599" s="30"/>
      <c r="AU599" s="10"/>
      <c r="BC599" s="30"/>
      <c r="BD599" s="10"/>
    </row>
    <row r="600" ht="15.75" customHeight="1">
      <c r="B600" s="30"/>
      <c r="C600" s="10"/>
      <c r="I600" s="30"/>
      <c r="J600" s="10"/>
      <c r="P600" s="30"/>
      <c r="Q600" s="10"/>
      <c r="W600" s="30"/>
      <c r="X600" s="10"/>
      <c r="AD600" s="30"/>
      <c r="AE600" s="35"/>
      <c r="AF600" s="35"/>
      <c r="AG600" s="10"/>
      <c r="AK600" s="30"/>
      <c r="AL600" s="10"/>
      <c r="AT600" s="30"/>
      <c r="AU600" s="10"/>
      <c r="BC600" s="30"/>
      <c r="BD600" s="10"/>
    </row>
    <row r="601" ht="15.75" customHeight="1">
      <c r="B601" s="30"/>
      <c r="C601" s="10"/>
      <c r="I601" s="30"/>
      <c r="J601" s="10"/>
      <c r="P601" s="30"/>
      <c r="Q601" s="10"/>
      <c r="W601" s="30"/>
      <c r="X601" s="10"/>
      <c r="AD601" s="30"/>
      <c r="AE601" s="35"/>
      <c r="AF601" s="35"/>
      <c r="AG601" s="10"/>
      <c r="AK601" s="30"/>
      <c r="AL601" s="10"/>
      <c r="AT601" s="30"/>
      <c r="AU601" s="10"/>
      <c r="BC601" s="30"/>
      <c r="BD601" s="10"/>
    </row>
    <row r="602" ht="15.75" customHeight="1">
      <c r="B602" s="30"/>
      <c r="C602" s="10"/>
      <c r="I602" s="30"/>
      <c r="J602" s="10"/>
      <c r="P602" s="30"/>
      <c r="Q602" s="10"/>
      <c r="W602" s="30"/>
      <c r="X602" s="10"/>
      <c r="AD602" s="30"/>
      <c r="AE602" s="35"/>
      <c r="AF602" s="35"/>
      <c r="AG602" s="10"/>
      <c r="AK602" s="30"/>
      <c r="AL602" s="10"/>
      <c r="AT602" s="30"/>
      <c r="AU602" s="10"/>
      <c r="BC602" s="30"/>
      <c r="BD602" s="10"/>
    </row>
    <row r="603" ht="15.75" customHeight="1">
      <c r="B603" s="30"/>
      <c r="C603" s="10"/>
      <c r="I603" s="30"/>
      <c r="J603" s="10"/>
      <c r="P603" s="30"/>
      <c r="Q603" s="10"/>
      <c r="W603" s="30"/>
      <c r="X603" s="10"/>
      <c r="AD603" s="30"/>
      <c r="AE603" s="35"/>
      <c r="AF603" s="35"/>
      <c r="AG603" s="10"/>
      <c r="AK603" s="30"/>
      <c r="AL603" s="10"/>
      <c r="AT603" s="30"/>
      <c r="AU603" s="10"/>
      <c r="BC603" s="30"/>
      <c r="BD603" s="10"/>
    </row>
    <row r="604" ht="15.75" customHeight="1">
      <c r="B604" s="30"/>
      <c r="C604" s="10"/>
      <c r="I604" s="30"/>
      <c r="J604" s="10"/>
      <c r="P604" s="30"/>
      <c r="Q604" s="10"/>
      <c r="W604" s="30"/>
      <c r="X604" s="10"/>
      <c r="AD604" s="30"/>
      <c r="AE604" s="35"/>
      <c r="AF604" s="35"/>
      <c r="AG604" s="10"/>
      <c r="AK604" s="30"/>
      <c r="AL604" s="10"/>
      <c r="AT604" s="30"/>
      <c r="AU604" s="10"/>
      <c r="BC604" s="30"/>
      <c r="BD604" s="10"/>
    </row>
    <row r="605" ht="15.75" customHeight="1">
      <c r="B605" s="30"/>
      <c r="C605" s="10"/>
      <c r="I605" s="30"/>
      <c r="J605" s="10"/>
      <c r="P605" s="30"/>
      <c r="Q605" s="10"/>
      <c r="W605" s="30"/>
      <c r="X605" s="10"/>
      <c r="AD605" s="30"/>
      <c r="AE605" s="35"/>
      <c r="AF605" s="35"/>
      <c r="AG605" s="10"/>
      <c r="AK605" s="30"/>
      <c r="AL605" s="10"/>
      <c r="AT605" s="30"/>
      <c r="AU605" s="10"/>
      <c r="BC605" s="30"/>
      <c r="BD605" s="10"/>
    </row>
    <row r="606" ht="15.75" customHeight="1">
      <c r="B606" s="30"/>
      <c r="C606" s="10"/>
      <c r="I606" s="30"/>
      <c r="J606" s="10"/>
      <c r="P606" s="30"/>
      <c r="Q606" s="10"/>
      <c r="W606" s="30"/>
      <c r="X606" s="10"/>
      <c r="AD606" s="30"/>
      <c r="AE606" s="35"/>
      <c r="AF606" s="35"/>
      <c r="AG606" s="10"/>
      <c r="AK606" s="30"/>
      <c r="AL606" s="10"/>
      <c r="AT606" s="30"/>
      <c r="AU606" s="10"/>
      <c r="BC606" s="30"/>
      <c r="BD606" s="10"/>
    </row>
    <row r="607" ht="15.75" customHeight="1">
      <c r="B607" s="30"/>
      <c r="C607" s="10"/>
      <c r="I607" s="30"/>
      <c r="J607" s="10"/>
      <c r="P607" s="30"/>
      <c r="Q607" s="10"/>
      <c r="W607" s="30"/>
      <c r="X607" s="10"/>
      <c r="AD607" s="30"/>
      <c r="AE607" s="35"/>
      <c r="AF607" s="35"/>
      <c r="AG607" s="10"/>
      <c r="AK607" s="30"/>
      <c r="AL607" s="10"/>
      <c r="AT607" s="30"/>
      <c r="AU607" s="10"/>
      <c r="BC607" s="30"/>
      <c r="BD607" s="10"/>
    </row>
    <row r="608" ht="15.75" customHeight="1">
      <c r="B608" s="30"/>
      <c r="C608" s="10"/>
      <c r="I608" s="30"/>
      <c r="J608" s="10"/>
      <c r="P608" s="30"/>
      <c r="Q608" s="10"/>
      <c r="W608" s="30"/>
      <c r="X608" s="10"/>
      <c r="AD608" s="30"/>
      <c r="AE608" s="35"/>
      <c r="AF608" s="35"/>
      <c r="AG608" s="10"/>
      <c r="AK608" s="30"/>
      <c r="AL608" s="10"/>
      <c r="AT608" s="30"/>
      <c r="AU608" s="10"/>
      <c r="BC608" s="30"/>
      <c r="BD608" s="10"/>
    </row>
    <row r="609" ht="15.75" customHeight="1">
      <c r="B609" s="30"/>
      <c r="C609" s="10"/>
      <c r="I609" s="30"/>
      <c r="J609" s="10"/>
      <c r="P609" s="30"/>
      <c r="Q609" s="10"/>
      <c r="W609" s="30"/>
      <c r="X609" s="10"/>
      <c r="AD609" s="30"/>
      <c r="AE609" s="35"/>
      <c r="AF609" s="35"/>
      <c r="AG609" s="10"/>
      <c r="AK609" s="30"/>
      <c r="AL609" s="10"/>
      <c r="AT609" s="30"/>
      <c r="AU609" s="10"/>
      <c r="BC609" s="30"/>
      <c r="BD609" s="10"/>
    </row>
    <row r="610" ht="15.75" customHeight="1">
      <c r="B610" s="30"/>
      <c r="C610" s="10"/>
      <c r="I610" s="30"/>
      <c r="J610" s="10"/>
      <c r="P610" s="30"/>
      <c r="Q610" s="10"/>
      <c r="W610" s="30"/>
      <c r="X610" s="10"/>
      <c r="AD610" s="30"/>
      <c r="AE610" s="35"/>
      <c r="AF610" s="35"/>
      <c r="AG610" s="10"/>
      <c r="AK610" s="30"/>
      <c r="AL610" s="10"/>
      <c r="AT610" s="30"/>
      <c r="AU610" s="10"/>
      <c r="BC610" s="30"/>
      <c r="BD610" s="10"/>
    </row>
    <row r="611" ht="15.75" customHeight="1">
      <c r="B611" s="30"/>
      <c r="C611" s="10"/>
      <c r="I611" s="30"/>
      <c r="J611" s="10"/>
      <c r="P611" s="30"/>
      <c r="Q611" s="10"/>
      <c r="W611" s="30"/>
      <c r="X611" s="10"/>
      <c r="AD611" s="30"/>
      <c r="AE611" s="35"/>
      <c r="AF611" s="35"/>
      <c r="AG611" s="10"/>
      <c r="AK611" s="30"/>
      <c r="AL611" s="10"/>
      <c r="AT611" s="30"/>
      <c r="AU611" s="10"/>
      <c r="BC611" s="30"/>
      <c r="BD611" s="10"/>
    </row>
    <row r="612" ht="15.75" customHeight="1">
      <c r="B612" s="30"/>
      <c r="C612" s="10"/>
      <c r="I612" s="30"/>
      <c r="J612" s="10"/>
      <c r="P612" s="30"/>
      <c r="Q612" s="10"/>
      <c r="W612" s="30"/>
      <c r="X612" s="10"/>
      <c r="AD612" s="30"/>
      <c r="AE612" s="35"/>
      <c r="AF612" s="35"/>
      <c r="AG612" s="10"/>
      <c r="AK612" s="30"/>
      <c r="AL612" s="10"/>
      <c r="AT612" s="30"/>
      <c r="AU612" s="10"/>
      <c r="BC612" s="30"/>
      <c r="BD612" s="10"/>
    </row>
    <row r="613" ht="15.75" customHeight="1">
      <c r="B613" s="30"/>
      <c r="C613" s="10"/>
      <c r="I613" s="30"/>
      <c r="J613" s="10"/>
      <c r="P613" s="30"/>
      <c r="Q613" s="10"/>
      <c r="W613" s="30"/>
      <c r="X613" s="10"/>
      <c r="AD613" s="30"/>
      <c r="AE613" s="35"/>
      <c r="AF613" s="35"/>
      <c r="AG613" s="10"/>
      <c r="AK613" s="30"/>
      <c r="AL613" s="10"/>
      <c r="AT613" s="30"/>
      <c r="AU613" s="10"/>
      <c r="BC613" s="30"/>
      <c r="BD613" s="10"/>
    </row>
    <row r="614" ht="15.75" customHeight="1">
      <c r="B614" s="30"/>
      <c r="C614" s="10"/>
      <c r="I614" s="30"/>
      <c r="J614" s="10"/>
      <c r="P614" s="30"/>
      <c r="Q614" s="10"/>
      <c r="W614" s="30"/>
      <c r="X614" s="10"/>
      <c r="AD614" s="30"/>
      <c r="AE614" s="35"/>
      <c r="AF614" s="35"/>
      <c r="AG614" s="10"/>
      <c r="AK614" s="30"/>
      <c r="AL614" s="10"/>
      <c r="AT614" s="30"/>
      <c r="AU614" s="10"/>
      <c r="BC614" s="30"/>
      <c r="BD614" s="10"/>
    </row>
    <row r="615" ht="15.75" customHeight="1">
      <c r="B615" s="30"/>
      <c r="C615" s="10"/>
      <c r="I615" s="30"/>
      <c r="J615" s="10"/>
      <c r="P615" s="30"/>
      <c r="Q615" s="10"/>
      <c r="W615" s="30"/>
      <c r="X615" s="10"/>
      <c r="AD615" s="30"/>
      <c r="AE615" s="35"/>
      <c r="AF615" s="35"/>
      <c r="AG615" s="10"/>
      <c r="AK615" s="30"/>
      <c r="AL615" s="10"/>
      <c r="AT615" s="30"/>
      <c r="AU615" s="10"/>
      <c r="BC615" s="30"/>
      <c r="BD615" s="10"/>
    </row>
    <row r="616" ht="15.75" customHeight="1">
      <c r="B616" s="30"/>
      <c r="C616" s="10"/>
      <c r="I616" s="30"/>
      <c r="J616" s="10"/>
      <c r="P616" s="30"/>
      <c r="Q616" s="10"/>
      <c r="W616" s="30"/>
      <c r="X616" s="10"/>
      <c r="AD616" s="30"/>
      <c r="AE616" s="35"/>
      <c r="AF616" s="35"/>
      <c r="AG616" s="10"/>
      <c r="AK616" s="30"/>
      <c r="AL616" s="10"/>
      <c r="AT616" s="30"/>
      <c r="AU616" s="10"/>
      <c r="BC616" s="30"/>
      <c r="BD616" s="10"/>
    </row>
    <row r="617" ht="15.75" customHeight="1">
      <c r="B617" s="30"/>
      <c r="C617" s="10"/>
      <c r="I617" s="30"/>
      <c r="J617" s="10"/>
      <c r="P617" s="30"/>
      <c r="Q617" s="10"/>
      <c r="W617" s="30"/>
      <c r="X617" s="10"/>
      <c r="AD617" s="30"/>
      <c r="AE617" s="35"/>
      <c r="AF617" s="35"/>
      <c r="AG617" s="10"/>
      <c r="AK617" s="30"/>
      <c r="AL617" s="10"/>
      <c r="AT617" s="30"/>
      <c r="AU617" s="10"/>
      <c r="BC617" s="30"/>
      <c r="BD617" s="10"/>
    </row>
    <row r="618" ht="15.75" customHeight="1">
      <c r="B618" s="30"/>
      <c r="C618" s="10"/>
      <c r="I618" s="30"/>
      <c r="J618" s="10"/>
      <c r="P618" s="30"/>
      <c r="Q618" s="10"/>
      <c r="W618" s="30"/>
      <c r="X618" s="10"/>
      <c r="AD618" s="30"/>
      <c r="AE618" s="35"/>
      <c r="AF618" s="35"/>
      <c r="AG618" s="10"/>
      <c r="AK618" s="30"/>
      <c r="AL618" s="10"/>
      <c r="AT618" s="30"/>
      <c r="AU618" s="10"/>
      <c r="BC618" s="30"/>
      <c r="BD618" s="10"/>
    </row>
    <row r="619" ht="15.75" customHeight="1">
      <c r="B619" s="30"/>
      <c r="C619" s="10"/>
      <c r="I619" s="30"/>
      <c r="J619" s="10"/>
      <c r="P619" s="30"/>
      <c r="Q619" s="10"/>
      <c r="W619" s="30"/>
      <c r="X619" s="10"/>
      <c r="AD619" s="30"/>
      <c r="AE619" s="35"/>
      <c r="AF619" s="35"/>
      <c r="AG619" s="10"/>
      <c r="AK619" s="30"/>
      <c r="AL619" s="10"/>
      <c r="AT619" s="30"/>
      <c r="AU619" s="10"/>
      <c r="BC619" s="30"/>
      <c r="BD619" s="10"/>
    </row>
    <row r="620" ht="15.75" customHeight="1">
      <c r="B620" s="30"/>
      <c r="C620" s="10"/>
      <c r="I620" s="30"/>
      <c r="J620" s="10"/>
      <c r="P620" s="30"/>
      <c r="Q620" s="10"/>
      <c r="W620" s="30"/>
      <c r="X620" s="10"/>
      <c r="AD620" s="30"/>
      <c r="AE620" s="35"/>
      <c r="AF620" s="35"/>
      <c r="AG620" s="10"/>
      <c r="AK620" s="30"/>
      <c r="AL620" s="10"/>
      <c r="AT620" s="30"/>
      <c r="AU620" s="10"/>
      <c r="BC620" s="30"/>
      <c r="BD620" s="10"/>
    </row>
    <row r="621" ht="15.75" customHeight="1">
      <c r="B621" s="30"/>
      <c r="C621" s="10"/>
      <c r="I621" s="30"/>
      <c r="J621" s="10"/>
      <c r="P621" s="30"/>
      <c r="Q621" s="10"/>
      <c r="W621" s="30"/>
      <c r="X621" s="10"/>
      <c r="AD621" s="30"/>
      <c r="AE621" s="35"/>
      <c r="AF621" s="35"/>
      <c r="AG621" s="10"/>
      <c r="AK621" s="30"/>
      <c r="AL621" s="10"/>
      <c r="AT621" s="30"/>
      <c r="AU621" s="10"/>
      <c r="BC621" s="30"/>
      <c r="BD621" s="10"/>
    </row>
    <row r="622" ht="15.75" customHeight="1">
      <c r="B622" s="30"/>
      <c r="C622" s="10"/>
      <c r="I622" s="30"/>
      <c r="J622" s="10"/>
      <c r="P622" s="30"/>
      <c r="Q622" s="10"/>
      <c r="W622" s="30"/>
      <c r="X622" s="10"/>
      <c r="AD622" s="30"/>
      <c r="AE622" s="35"/>
      <c r="AF622" s="35"/>
      <c r="AG622" s="10"/>
      <c r="AK622" s="30"/>
      <c r="AL622" s="10"/>
      <c r="AT622" s="30"/>
      <c r="AU622" s="10"/>
      <c r="BC622" s="30"/>
      <c r="BD622" s="10"/>
    </row>
    <row r="623" ht="15.75" customHeight="1">
      <c r="B623" s="30"/>
      <c r="C623" s="10"/>
      <c r="I623" s="30"/>
      <c r="J623" s="10"/>
      <c r="P623" s="30"/>
      <c r="Q623" s="10"/>
      <c r="W623" s="30"/>
      <c r="X623" s="10"/>
      <c r="AD623" s="30"/>
      <c r="AE623" s="35"/>
      <c r="AF623" s="35"/>
      <c r="AG623" s="10"/>
      <c r="AK623" s="30"/>
      <c r="AL623" s="10"/>
      <c r="AT623" s="30"/>
      <c r="AU623" s="10"/>
      <c r="BC623" s="30"/>
      <c r="BD623" s="10"/>
    </row>
    <row r="624" ht="15.75" customHeight="1">
      <c r="B624" s="30"/>
      <c r="C624" s="10"/>
      <c r="I624" s="30"/>
      <c r="J624" s="10"/>
      <c r="P624" s="30"/>
      <c r="Q624" s="10"/>
      <c r="W624" s="30"/>
      <c r="X624" s="10"/>
      <c r="AD624" s="30"/>
      <c r="AE624" s="35"/>
      <c r="AF624" s="35"/>
      <c r="AG624" s="10"/>
      <c r="AK624" s="30"/>
      <c r="AL624" s="10"/>
      <c r="AT624" s="30"/>
      <c r="AU624" s="10"/>
      <c r="BC624" s="30"/>
      <c r="BD624" s="10"/>
    </row>
    <row r="625" ht="15.75" customHeight="1">
      <c r="B625" s="30"/>
      <c r="C625" s="10"/>
      <c r="I625" s="30"/>
      <c r="J625" s="10"/>
      <c r="P625" s="30"/>
      <c r="Q625" s="10"/>
      <c r="W625" s="30"/>
      <c r="X625" s="10"/>
      <c r="AD625" s="30"/>
      <c r="AE625" s="35"/>
      <c r="AF625" s="35"/>
      <c r="AG625" s="10"/>
      <c r="AK625" s="30"/>
      <c r="AL625" s="10"/>
      <c r="AT625" s="30"/>
      <c r="AU625" s="10"/>
      <c r="BC625" s="30"/>
      <c r="BD625" s="10"/>
    </row>
    <row r="626" ht="15.75" customHeight="1">
      <c r="B626" s="30"/>
      <c r="C626" s="10"/>
      <c r="I626" s="30"/>
      <c r="J626" s="10"/>
      <c r="P626" s="30"/>
      <c r="Q626" s="10"/>
      <c r="W626" s="30"/>
      <c r="X626" s="10"/>
      <c r="AD626" s="30"/>
      <c r="AE626" s="35"/>
      <c r="AF626" s="35"/>
      <c r="AG626" s="10"/>
      <c r="AK626" s="30"/>
      <c r="AL626" s="10"/>
      <c r="AT626" s="30"/>
      <c r="AU626" s="10"/>
      <c r="BC626" s="30"/>
      <c r="BD626" s="10"/>
    </row>
    <row r="627" ht="15.75" customHeight="1">
      <c r="B627" s="30"/>
      <c r="C627" s="10"/>
      <c r="I627" s="30"/>
      <c r="J627" s="10"/>
      <c r="P627" s="30"/>
      <c r="Q627" s="10"/>
      <c r="W627" s="30"/>
      <c r="X627" s="10"/>
      <c r="AD627" s="30"/>
      <c r="AE627" s="35"/>
      <c r="AF627" s="35"/>
      <c r="AG627" s="10"/>
      <c r="AK627" s="30"/>
      <c r="AL627" s="10"/>
      <c r="AT627" s="30"/>
      <c r="AU627" s="10"/>
      <c r="BC627" s="30"/>
      <c r="BD627" s="10"/>
    </row>
    <row r="628" ht="15.75" customHeight="1">
      <c r="B628" s="30"/>
      <c r="C628" s="10"/>
      <c r="I628" s="30"/>
      <c r="J628" s="10"/>
      <c r="P628" s="30"/>
      <c r="Q628" s="10"/>
      <c r="W628" s="30"/>
      <c r="X628" s="10"/>
      <c r="AD628" s="30"/>
      <c r="AE628" s="35"/>
      <c r="AF628" s="35"/>
      <c r="AG628" s="10"/>
      <c r="AK628" s="30"/>
      <c r="AL628" s="10"/>
      <c r="AT628" s="30"/>
      <c r="AU628" s="10"/>
      <c r="BC628" s="30"/>
      <c r="BD628" s="10"/>
    </row>
    <row r="629" ht="15.75" customHeight="1">
      <c r="B629" s="30"/>
      <c r="C629" s="10"/>
      <c r="I629" s="30"/>
      <c r="J629" s="10"/>
      <c r="P629" s="30"/>
      <c r="Q629" s="10"/>
      <c r="W629" s="30"/>
      <c r="X629" s="10"/>
      <c r="AD629" s="30"/>
      <c r="AE629" s="35"/>
      <c r="AF629" s="35"/>
      <c r="AG629" s="10"/>
      <c r="AK629" s="30"/>
      <c r="AL629" s="10"/>
      <c r="AT629" s="30"/>
      <c r="AU629" s="10"/>
      <c r="BC629" s="30"/>
      <c r="BD629" s="10"/>
    </row>
    <row r="630" ht="15.75" customHeight="1">
      <c r="B630" s="30"/>
      <c r="C630" s="10"/>
      <c r="I630" s="30"/>
      <c r="J630" s="10"/>
      <c r="P630" s="30"/>
      <c r="Q630" s="10"/>
      <c r="W630" s="30"/>
      <c r="X630" s="10"/>
      <c r="AD630" s="30"/>
      <c r="AE630" s="35"/>
      <c r="AF630" s="35"/>
      <c r="AG630" s="10"/>
      <c r="AK630" s="30"/>
      <c r="AL630" s="10"/>
      <c r="AT630" s="30"/>
      <c r="AU630" s="10"/>
      <c r="BC630" s="30"/>
      <c r="BD630" s="10"/>
    </row>
    <row r="631" ht="15.75" customHeight="1">
      <c r="B631" s="30"/>
      <c r="C631" s="10"/>
      <c r="I631" s="30"/>
      <c r="J631" s="10"/>
      <c r="P631" s="30"/>
      <c r="Q631" s="10"/>
      <c r="W631" s="30"/>
      <c r="X631" s="10"/>
      <c r="AD631" s="30"/>
      <c r="AE631" s="35"/>
      <c r="AF631" s="35"/>
      <c r="AG631" s="10"/>
      <c r="AK631" s="30"/>
      <c r="AL631" s="10"/>
      <c r="AT631" s="30"/>
      <c r="AU631" s="10"/>
      <c r="BC631" s="30"/>
      <c r="BD631" s="10"/>
    </row>
    <row r="632" ht="15.75" customHeight="1">
      <c r="B632" s="30"/>
      <c r="C632" s="10"/>
      <c r="I632" s="30"/>
      <c r="J632" s="10"/>
      <c r="P632" s="30"/>
      <c r="Q632" s="10"/>
      <c r="W632" s="30"/>
      <c r="X632" s="10"/>
      <c r="AD632" s="30"/>
      <c r="AE632" s="35"/>
      <c r="AF632" s="35"/>
      <c r="AG632" s="10"/>
      <c r="AK632" s="30"/>
      <c r="AL632" s="10"/>
      <c r="AT632" s="30"/>
      <c r="AU632" s="10"/>
      <c r="BC632" s="30"/>
      <c r="BD632" s="10"/>
    </row>
    <row r="633" ht="15.75" customHeight="1">
      <c r="B633" s="30"/>
      <c r="C633" s="10"/>
      <c r="I633" s="30"/>
      <c r="J633" s="10"/>
      <c r="P633" s="30"/>
      <c r="Q633" s="10"/>
      <c r="W633" s="30"/>
      <c r="X633" s="10"/>
      <c r="AD633" s="30"/>
      <c r="AE633" s="35"/>
      <c r="AF633" s="35"/>
      <c r="AG633" s="10"/>
      <c r="AK633" s="30"/>
      <c r="AL633" s="10"/>
      <c r="AT633" s="30"/>
      <c r="AU633" s="10"/>
      <c r="BC633" s="30"/>
      <c r="BD633" s="10"/>
    </row>
    <row r="634" ht="15.75" customHeight="1">
      <c r="B634" s="30"/>
      <c r="C634" s="10"/>
      <c r="I634" s="30"/>
      <c r="J634" s="10"/>
      <c r="P634" s="30"/>
      <c r="Q634" s="10"/>
      <c r="W634" s="30"/>
      <c r="X634" s="10"/>
      <c r="AD634" s="30"/>
      <c r="AE634" s="35"/>
      <c r="AF634" s="35"/>
      <c r="AG634" s="10"/>
      <c r="AK634" s="30"/>
      <c r="AL634" s="10"/>
      <c r="AT634" s="30"/>
      <c r="AU634" s="10"/>
      <c r="BC634" s="30"/>
      <c r="BD634" s="10"/>
    </row>
    <row r="635" ht="15.75" customHeight="1">
      <c r="B635" s="30"/>
      <c r="C635" s="10"/>
      <c r="I635" s="30"/>
      <c r="J635" s="10"/>
      <c r="P635" s="30"/>
      <c r="Q635" s="10"/>
      <c r="W635" s="30"/>
      <c r="X635" s="10"/>
      <c r="AD635" s="30"/>
      <c r="AE635" s="35"/>
      <c r="AF635" s="35"/>
      <c r="AG635" s="10"/>
      <c r="AK635" s="30"/>
      <c r="AL635" s="10"/>
      <c r="AT635" s="30"/>
      <c r="AU635" s="10"/>
      <c r="BC635" s="30"/>
      <c r="BD635" s="10"/>
    </row>
    <row r="636" ht="15.75" customHeight="1">
      <c r="B636" s="30"/>
      <c r="C636" s="10"/>
      <c r="I636" s="30"/>
      <c r="J636" s="10"/>
      <c r="P636" s="30"/>
      <c r="Q636" s="10"/>
      <c r="W636" s="30"/>
      <c r="X636" s="10"/>
      <c r="AD636" s="30"/>
      <c r="AE636" s="35"/>
      <c r="AF636" s="35"/>
      <c r="AG636" s="10"/>
      <c r="AK636" s="30"/>
      <c r="AL636" s="10"/>
      <c r="AT636" s="30"/>
      <c r="AU636" s="10"/>
      <c r="BC636" s="30"/>
      <c r="BD636" s="10"/>
    </row>
    <row r="637" ht="15.75" customHeight="1">
      <c r="B637" s="30"/>
      <c r="C637" s="10"/>
      <c r="I637" s="30"/>
      <c r="J637" s="10"/>
      <c r="P637" s="30"/>
      <c r="Q637" s="10"/>
      <c r="W637" s="30"/>
      <c r="X637" s="10"/>
      <c r="AD637" s="30"/>
      <c r="AE637" s="35"/>
      <c r="AF637" s="35"/>
      <c r="AG637" s="10"/>
      <c r="AK637" s="30"/>
      <c r="AL637" s="10"/>
      <c r="AT637" s="30"/>
      <c r="AU637" s="10"/>
      <c r="BC637" s="30"/>
      <c r="BD637" s="10"/>
    </row>
    <row r="638" ht="15.75" customHeight="1">
      <c r="B638" s="30"/>
      <c r="C638" s="10"/>
      <c r="I638" s="30"/>
      <c r="J638" s="10"/>
      <c r="P638" s="30"/>
      <c r="Q638" s="10"/>
      <c r="W638" s="30"/>
      <c r="X638" s="10"/>
      <c r="AD638" s="30"/>
      <c r="AE638" s="35"/>
      <c r="AF638" s="35"/>
      <c r="AG638" s="10"/>
      <c r="AK638" s="30"/>
      <c r="AL638" s="10"/>
      <c r="AT638" s="30"/>
      <c r="AU638" s="10"/>
      <c r="BC638" s="30"/>
      <c r="BD638" s="10"/>
    </row>
    <row r="639" ht="15.75" customHeight="1">
      <c r="B639" s="30"/>
      <c r="C639" s="10"/>
      <c r="I639" s="30"/>
      <c r="J639" s="10"/>
      <c r="P639" s="30"/>
      <c r="Q639" s="10"/>
      <c r="W639" s="30"/>
      <c r="X639" s="10"/>
      <c r="AD639" s="30"/>
      <c r="AE639" s="35"/>
      <c r="AF639" s="35"/>
      <c r="AG639" s="10"/>
      <c r="AK639" s="30"/>
      <c r="AL639" s="10"/>
      <c r="AT639" s="30"/>
      <c r="AU639" s="10"/>
      <c r="BC639" s="30"/>
      <c r="BD639" s="10"/>
    </row>
    <row r="640" ht="15.75" customHeight="1">
      <c r="B640" s="30"/>
      <c r="C640" s="10"/>
      <c r="I640" s="30"/>
      <c r="J640" s="10"/>
      <c r="P640" s="30"/>
      <c r="Q640" s="10"/>
      <c r="W640" s="30"/>
      <c r="X640" s="10"/>
      <c r="AD640" s="30"/>
      <c r="AE640" s="35"/>
      <c r="AF640" s="35"/>
      <c r="AG640" s="10"/>
      <c r="AK640" s="30"/>
      <c r="AL640" s="10"/>
      <c r="AT640" s="30"/>
      <c r="AU640" s="10"/>
      <c r="BC640" s="30"/>
      <c r="BD640" s="10"/>
    </row>
    <row r="641" ht="15.75" customHeight="1">
      <c r="B641" s="30"/>
      <c r="C641" s="10"/>
      <c r="I641" s="30"/>
      <c r="J641" s="10"/>
      <c r="P641" s="30"/>
      <c r="Q641" s="10"/>
      <c r="W641" s="30"/>
      <c r="X641" s="10"/>
      <c r="AD641" s="30"/>
      <c r="AE641" s="35"/>
      <c r="AF641" s="35"/>
      <c r="AG641" s="10"/>
      <c r="AK641" s="30"/>
      <c r="AL641" s="10"/>
      <c r="AT641" s="30"/>
      <c r="AU641" s="10"/>
      <c r="BC641" s="30"/>
      <c r="BD641" s="10"/>
    </row>
    <row r="642" ht="15.75" customHeight="1">
      <c r="B642" s="30"/>
      <c r="C642" s="10"/>
      <c r="I642" s="30"/>
      <c r="J642" s="10"/>
      <c r="P642" s="30"/>
      <c r="Q642" s="10"/>
      <c r="W642" s="30"/>
      <c r="X642" s="10"/>
      <c r="AD642" s="30"/>
      <c r="AE642" s="35"/>
      <c r="AF642" s="35"/>
      <c r="AG642" s="10"/>
      <c r="AK642" s="30"/>
      <c r="AL642" s="10"/>
      <c r="AT642" s="30"/>
      <c r="AU642" s="10"/>
      <c r="BC642" s="30"/>
      <c r="BD642" s="10"/>
    </row>
    <row r="643" ht="15.75" customHeight="1">
      <c r="B643" s="30"/>
      <c r="C643" s="10"/>
      <c r="I643" s="30"/>
      <c r="J643" s="10"/>
      <c r="P643" s="30"/>
      <c r="Q643" s="10"/>
      <c r="W643" s="30"/>
      <c r="X643" s="10"/>
      <c r="AD643" s="30"/>
      <c r="AE643" s="35"/>
      <c r="AF643" s="35"/>
      <c r="AG643" s="10"/>
      <c r="AK643" s="30"/>
      <c r="AL643" s="10"/>
      <c r="AT643" s="30"/>
      <c r="AU643" s="10"/>
      <c r="BC643" s="30"/>
      <c r="BD643" s="10"/>
    </row>
    <row r="644" ht="15.75" customHeight="1">
      <c r="B644" s="30"/>
      <c r="C644" s="10"/>
      <c r="I644" s="30"/>
      <c r="J644" s="10"/>
      <c r="P644" s="30"/>
      <c r="Q644" s="10"/>
      <c r="W644" s="30"/>
      <c r="X644" s="10"/>
      <c r="AD644" s="30"/>
      <c r="AE644" s="35"/>
      <c r="AF644" s="35"/>
      <c r="AG644" s="10"/>
      <c r="AK644" s="30"/>
      <c r="AL644" s="10"/>
      <c r="AT644" s="30"/>
      <c r="AU644" s="10"/>
      <c r="BC644" s="30"/>
      <c r="BD644" s="10"/>
    </row>
    <row r="645" ht="15.75" customHeight="1">
      <c r="B645" s="30"/>
      <c r="C645" s="10"/>
      <c r="I645" s="30"/>
      <c r="J645" s="10"/>
      <c r="P645" s="30"/>
      <c r="Q645" s="10"/>
      <c r="W645" s="30"/>
      <c r="X645" s="10"/>
      <c r="AD645" s="30"/>
      <c r="AE645" s="35"/>
      <c r="AF645" s="35"/>
      <c r="AG645" s="10"/>
      <c r="AK645" s="30"/>
      <c r="AL645" s="10"/>
      <c r="AT645" s="30"/>
      <c r="AU645" s="10"/>
      <c r="BC645" s="30"/>
      <c r="BD645" s="10"/>
    </row>
    <row r="646" ht="15.75" customHeight="1">
      <c r="B646" s="30"/>
      <c r="C646" s="10"/>
      <c r="I646" s="30"/>
      <c r="J646" s="10"/>
      <c r="P646" s="30"/>
      <c r="Q646" s="10"/>
      <c r="W646" s="30"/>
      <c r="X646" s="10"/>
      <c r="AD646" s="30"/>
      <c r="AE646" s="35"/>
      <c r="AF646" s="35"/>
      <c r="AG646" s="10"/>
      <c r="AK646" s="30"/>
      <c r="AL646" s="10"/>
      <c r="AT646" s="30"/>
      <c r="AU646" s="10"/>
      <c r="BC646" s="30"/>
      <c r="BD646" s="10"/>
    </row>
    <row r="647" ht="15.75" customHeight="1">
      <c r="B647" s="30"/>
      <c r="C647" s="10"/>
      <c r="I647" s="30"/>
      <c r="J647" s="10"/>
      <c r="P647" s="30"/>
      <c r="Q647" s="10"/>
      <c r="W647" s="30"/>
      <c r="X647" s="10"/>
      <c r="AD647" s="30"/>
      <c r="AE647" s="35"/>
      <c r="AF647" s="35"/>
      <c r="AG647" s="10"/>
      <c r="AK647" s="30"/>
      <c r="AL647" s="10"/>
      <c r="AT647" s="30"/>
      <c r="AU647" s="10"/>
      <c r="BC647" s="30"/>
      <c r="BD647" s="10"/>
    </row>
    <row r="648" ht="15.75" customHeight="1">
      <c r="B648" s="30"/>
      <c r="C648" s="10"/>
      <c r="I648" s="30"/>
      <c r="J648" s="10"/>
      <c r="P648" s="30"/>
      <c r="Q648" s="10"/>
      <c r="W648" s="30"/>
      <c r="X648" s="10"/>
      <c r="AD648" s="30"/>
      <c r="AE648" s="35"/>
      <c r="AF648" s="35"/>
      <c r="AG648" s="10"/>
      <c r="AK648" s="30"/>
      <c r="AL648" s="10"/>
      <c r="AT648" s="30"/>
      <c r="AU648" s="10"/>
      <c r="BC648" s="30"/>
      <c r="BD648" s="10"/>
    </row>
    <row r="649" ht="15.75" customHeight="1">
      <c r="B649" s="30"/>
      <c r="C649" s="10"/>
      <c r="I649" s="30"/>
      <c r="J649" s="10"/>
      <c r="P649" s="30"/>
      <c r="Q649" s="10"/>
      <c r="W649" s="30"/>
      <c r="X649" s="10"/>
      <c r="AD649" s="30"/>
      <c r="AE649" s="35"/>
      <c r="AF649" s="35"/>
      <c r="AG649" s="10"/>
      <c r="AK649" s="30"/>
      <c r="AL649" s="10"/>
      <c r="AT649" s="30"/>
      <c r="AU649" s="10"/>
      <c r="BC649" s="30"/>
      <c r="BD649" s="10"/>
    </row>
    <row r="650" ht="15.75" customHeight="1">
      <c r="B650" s="30"/>
      <c r="C650" s="10"/>
      <c r="I650" s="30"/>
      <c r="J650" s="10"/>
      <c r="P650" s="30"/>
      <c r="Q650" s="10"/>
      <c r="W650" s="30"/>
      <c r="X650" s="10"/>
      <c r="AD650" s="30"/>
      <c r="AE650" s="35"/>
      <c r="AF650" s="35"/>
      <c r="AG650" s="10"/>
      <c r="AK650" s="30"/>
      <c r="AL650" s="10"/>
      <c r="AT650" s="30"/>
      <c r="AU650" s="10"/>
      <c r="BC650" s="30"/>
      <c r="BD650" s="10"/>
    </row>
    <row r="651" ht="15.75" customHeight="1">
      <c r="B651" s="30"/>
      <c r="C651" s="10"/>
      <c r="I651" s="30"/>
      <c r="J651" s="10"/>
      <c r="P651" s="30"/>
      <c r="Q651" s="10"/>
      <c r="W651" s="30"/>
      <c r="X651" s="10"/>
      <c r="AD651" s="30"/>
      <c r="AE651" s="35"/>
      <c r="AF651" s="35"/>
      <c r="AG651" s="10"/>
      <c r="AK651" s="30"/>
      <c r="AL651" s="10"/>
      <c r="AT651" s="30"/>
      <c r="AU651" s="10"/>
      <c r="BC651" s="30"/>
      <c r="BD651" s="10"/>
    </row>
    <row r="652" ht="15.75" customHeight="1">
      <c r="B652" s="30"/>
      <c r="C652" s="10"/>
      <c r="I652" s="30"/>
      <c r="J652" s="10"/>
      <c r="P652" s="30"/>
      <c r="Q652" s="10"/>
      <c r="W652" s="30"/>
      <c r="X652" s="10"/>
      <c r="AD652" s="30"/>
      <c r="AE652" s="35"/>
      <c r="AF652" s="35"/>
      <c r="AG652" s="10"/>
      <c r="AK652" s="30"/>
      <c r="AL652" s="10"/>
      <c r="AT652" s="30"/>
      <c r="AU652" s="10"/>
      <c r="BC652" s="30"/>
      <c r="BD652" s="10"/>
    </row>
    <row r="653" ht="15.75" customHeight="1">
      <c r="B653" s="30"/>
      <c r="C653" s="10"/>
      <c r="I653" s="30"/>
      <c r="J653" s="10"/>
      <c r="P653" s="30"/>
      <c r="Q653" s="10"/>
      <c r="W653" s="30"/>
      <c r="X653" s="10"/>
      <c r="AD653" s="30"/>
      <c r="AE653" s="35"/>
      <c r="AF653" s="35"/>
      <c r="AG653" s="10"/>
      <c r="AK653" s="30"/>
      <c r="AL653" s="10"/>
      <c r="AT653" s="30"/>
      <c r="AU653" s="10"/>
      <c r="BC653" s="30"/>
      <c r="BD653" s="10"/>
    </row>
    <row r="654" ht="15.75" customHeight="1">
      <c r="B654" s="30"/>
      <c r="C654" s="10"/>
      <c r="I654" s="30"/>
      <c r="J654" s="10"/>
      <c r="P654" s="30"/>
      <c r="Q654" s="10"/>
      <c r="W654" s="30"/>
      <c r="X654" s="10"/>
      <c r="AD654" s="30"/>
      <c r="AE654" s="35"/>
      <c r="AF654" s="35"/>
      <c r="AG654" s="10"/>
      <c r="AK654" s="30"/>
      <c r="AL654" s="10"/>
      <c r="AT654" s="30"/>
      <c r="AU654" s="10"/>
      <c r="BC654" s="30"/>
      <c r="BD654" s="10"/>
    </row>
    <row r="655" ht="15.75" customHeight="1">
      <c r="B655" s="30"/>
      <c r="C655" s="10"/>
      <c r="I655" s="30"/>
      <c r="J655" s="10"/>
      <c r="P655" s="30"/>
      <c r="Q655" s="10"/>
      <c r="W655" s="30"/>
      <c r="X655" s="10"/>
      <c r="AD655" s="30"/>
      <c r="AE655" s="35"/>
      <c r="AF655" s="35"/>
      <c r="AG655" s="10"/>
      <c r="AK655" s="30"/>
      <c r="AL655" s="10"/>
      <c r="AT655" s="30"/>
      <c r="AU655" s="10"/>
      <c r="BC655" s="30"/>
      <c r="BD655" s="10"/>
    </row>
    <row r="656" ht="15.75" customHeight="1">
      <c r="B656" s="30"/>
      <c r="C656" s="10"/>
      <c r="I656" s="30"/>
      <c r="J656" s="10"/>
      <c r="P656" s="30"/>
      <c r="Q656" s="10"/>
      <c r="W656" s="30"/>
      <c r="X656" s="10"/>
      <c r="AD656" s="30"/>
      <c r="AE656" s="35"/>
      <c r="AF656" s="35"/>
      <c r="AG656" s="10"/>
      <c r="AK656" s="30"/>
      <c r="AL656" s="10"/>
      <c r="AT656" s="30"/>
      <c r="AU656" s="10"/>
      <c r="BC656" s="30"/>
      <c r="BD656" s="10"/>
    </row>
    <row r="657" ht="15.75" customHeight="1">
      <c r="B657" s="30"/>
      <c r="C657" s="10"/>
      <c r="I657" s="30"/>
      <c r="J657" s="10"/>
      <c r="P657" s="30"/>
      <c r="Q657" s="10"/>
      <c r="W657" s="30"/>
      <c r="X657" s="10"/>
      <c r="AD657" s="30"/>
      <c r="AE657" s="35"/>
      <c r="AF657" s="35"/>
      <c r="AG657" s="10"/>
      <c r="AK657" s="30"/>
      <c r="AL657" s="10"/>
      <c r="AT657" s="30"/>
      <c r="AU657" s="10"/>
      <c r="BC657" s="30"/>
      <c r="BD657" s="10"/>
    </row>
    <row r="658" ht="15.75" customHeight="1">
      <c r="B658" s="30"/>
      <c r="C658" s="10"/>
      <c r="I658" s="30"/>
      <c r="J658" s="10"/>
      <c r="P658" s="30"/>
      <c r="Q658" s="10"/>
      <c r="W658" s="30"/>
      <c r="X658" s="10"/>
      <c r="AD658" s="30"/>
      <c r="AE658" s="35"/>
      <c r="AF658" s="35"/>
      <c r="AG658" s="10"/>
      <c r="AK658" s="30"/>
      <c r="AL658" s="10"/>
      <c r="AT658" s="30"/>
      <c r="AU658" s="10"/>
      <c r="BC658" s="30"/>
      <c r="BD658" s="10"/>
    </row>
    <row r="659" ht="15.75" customHeight="1">
      <c r="B659" s="30"/>
      <c r="C659" s="10"/>
      <c r="I659" s="30"/>
      <c r="J659" s="10"/>
      <c r="P659" s="30"/>
      <c r="Q659" s="10"/>
      <c r="W659" s="30"/>
      <c r="X659" s="10"/>
      <c r="AD659" s="30"/>
      <c r="AE659" s="35"/>
      <c r="AF659" s="35"/>
      <c r="AG659" s="10"/>
      <c r="AK659" s="30"/>
      <c r="AL659" s="10"/>
      <c r="AT659" s="30"/>
      <c r="AU659" s="10"/>
      <c r="BC659" s="30"/>
      <c r="BD659" s="10"/>
    </row>
    <row r="660" ht="15.75" customHeight="1">
      <c r="B660" s="30"/>
      <c r="C660" s="10"/>
      <c r="I660" s="30"/>
      <c r="J660" s="10"/>
      <c r="P660" s="30"/>
      <c r="Q660" s="10"/>
      <c r="W660" s="30"/>
      <c r="X660" s="10"/>
      <c r="AD660" s="30"/>
      <c r="AE660" s="35"/>
      <c r="AF660" s="35"/>
      <c r="AG660" s="10"/>
      <c r="AK660" s="30"/>
      <c r="AL660" s="10"/>
      <c r="AT660" s="30"/>
      <c r="AU660" s="10"/>
      <c r="BC660" s="30"/>
      <c r="BD660" s="10"/>
    </row>
    <row r="661" ht="15.75" customHeight="1">
      <c r="B661" s="30"/>
      <c r="C661" s="10"/>
      <c r="I661" s="30"/>
      <c r="J661" s="10"/>
      <c r="P661" s="30"/>
      <c r="Q661" s="10"/>
      <c r="W661" s="30"/>
      <c r="X661" s="10"/>
      <c r="AD661" s="30"/>
      <c r="AE661" s="35"/>
      <c r="AF661" s="35"/>
      <c r="AG661" s="10"/>
      <c r="AK661" s="30"/>
      <c r="AL661" s="10"/>
      <c r="AT661" s="30"/>
      <c r="AU661" s="10"/>
      <c r="BC661" s="30"/>
      <c r="BD661" s="10"/>
    </row>
    <row r="662" ht="15.75" customHeight="1">
      <c r="B662" s="30"/>
      <c r="C662" s="10"/>
      <c r="I662" s="30"/>
      <c r="J662" s="10"/>
      <c r="P662" s="30"/>
      <c r="Q662" s="10"/>
      <c r="W662" s="30"/>
      <c r="X662" s="10"/>
      <c r="AD662" s="30"/>
      <c r="AE662" s="35"/>
      <c r="AF662" s="35"/>
      <c r="AG662" s="10"/>
      <c r="AK662" s="30"/>
      <c r="AL662" s="10"/>
      <c r="AT662" s="30"/>
      <c r="AU662" s="10"/>
      <c r="BC662" s="30"/>
      <c r="BD662" s="10"/>
    </row>
    <row r="663" ht="15.75" customHeight="1">
      <c r="B663" s="30"/>
      <c r="C663" s="10"/>
      <c r="I663" s="30"/>
      <c r="J663" s="10"/>
      <c r="P663" s="30"/>
      <c r="Q663" s="10"/>
      <c r="W663" s="30"/>
      <c r="X663" s="10"/>
      <c r="AD663" s="30"/>
      <c r="AE663" s="35"/>
      <c r="AF663" s="35"/>
      <c r="AG663" s="10"/>
      <c r="AK663" s="30"/>
      <c r="AL663" s="10"/>
      <c r="AT663" s="30"/>
      <c r="AU663" s="10"/>
      <c r="BC663" s="30"/>
      <c r="BD663" s="10"/>
    </row>
    <row r="664" ht="15.75" customHeight="1">
      <c r="B664" s="30"/>
      <c r="C664" s="10"/>
      <c r="I664" s="30"/>
      <c r="J664" s="10"/>
      <c r="P664" s="30"/>
      <c r="Q664" s="10"/>
      <c r="W664" s="30"/>
      <c r="X664" s="10"/>
      <c r="AD664" s="30"/>
      <c r="AE664" s="35"/>
      <c r="AF664" s="35"/>
      <c r="AG664" s="10"/>
      <c r="AK664" s="30"/>
      <c r="AL664" s="10"/>
      <c r="AT664" s="30"/>
      <c r="AU664" s="10"/>
      <c r="BC664" s="30"/>
      <c r="BD664" s="10"/>
    </row>
    <row r="665" ht="15.75" customHeight="1">
      <c r="B665" s="30"/>
      <c r="C665" s="10"/>
      <c r="I665" s="30"/>
      <c r="J665" s="10"/>
      <c r="P665" s="30"/>
      <c r="Q665" s="10"/>
      <c r="W665" s="30"/>
      <c r="X665" s="10"/>
      <c r="AD665" s="30"/>
      <c r="AE665" s="35"/>
      <c r="AF665" s="35"/>
      <c r="AG665" s="10"/>
      <c r="AK665" s="30"/>
      <c r="AL665" s="10"/>
      <c r="AT665" s="30"/>
      <c r="AU665" s="10"/>
      <c r="BC665" s="30"/>
      <c r="BD665" s="10"/>
    </row>
    <row r="666" ht="15.75" customHeight="1">
      <c r="B666" s="30"/>
      <c r="C666" s="10"/>
      <c r="I666" s="30"/>
      <c r="J666" s="10"/>
      <c r="P666" s="30"/>
      <c r="Q666" s="10"/>
      <c r="W666" s="30"/>
      <c r="X666" s="10"/>
      <c r="AD666" s="30"/>
      <c r="AE666" s="35"/>
      <c r="AF666" s="35"/>
      <c r="AG666" s="10"/>
      <c r="AK666" s="30"/>
      <c r="AL666" s="10"/>
      <c r="AT666" s="30"/>
      <c r="AU666" s="10"/>
      <c r="BC666" s="30"/>
      <c r="BD666" s="10"/>
    </row>
    <row r="667" ht="15.75" customHeight="1">
      <c r="B667" s="30"/>
      <c r="C667" s="10"/>
      <c r="I667" s="30"/>
      <c r="J667" s="10"/>
      <c r="P667" s="30"/>
      <c r="Q667" s="10"/>
      <c r="W667" s="30"/>
      <c r="X667" s="10"/>
      <c r="AD667" s="30"/>
      <c r="AE667" s="35"/>
      <c r="AF667" s="35"/>
      <c r="AG667" s="10"/>
      <c r="AK667" s="30"/>
      <c r="AL667" s="10"/>
      <c r="AT667" s="30"/>
      <c r="AU667" s="10"/>
      <c r="BC667" s="30"/>
      <c r="BD667" s="10"/>
    </row>
    <row r="668" ht="15.75" customHeight="1">
      <c r="B668" s="30"/>
      <c r="C668" s="10"/>
      <c r="I668" s="30"/>
      <c r="J668" s="10"/>
      <c r="P668" s="30"/>
      <c r="Q668" s="10"/>
      <c r="W668" s="30"/>
      <c r="X668" s="10"/>
      <c r="AD668" s="30"/>
      <c r="AE668" s="35"/>
      <c r="AF668" s="35"/>
      <c r="AG668" s="10"/>
      <c r="AK668" s="30"/>
      <c r="AL668" s="10"/>
      <c r="AT668" s="30"/>
      <c r="AU668" s="10"/>
      <c r="BC668" s="30"/>
      <c r="BD668" s="10"/>
    </row>
    <row r="669" ht="15.75" customHeight="1">
      <c r="B669" s="30"/>
      <c r="C669" s="10"/>
      <c r="I669" s="30"/>
      <c r="J669" s="10"/>
      <c r="P669" s="30"/>
      <c r="Q669" s="10"/>
      <c r="W669" s="30"/>
      <c r="X669" s="10"/>
      <c r="AD669" s="30"/>
      <c r="AE669" s="35"/>
      <c r="AF669" s="35"/>
      <c r="AG669" s="10"/>
      <c r="AK669" s="30"/>
      <c r="AL669" s="10"/>
      <c r="AT669" s="30"/>
      <c r="AU669" s="10"/>
      <c r="BC669" s="30"/>
      <c r="BD669" s="10"/>
    </row>
    <row r="670" ht="15.75" customHeight="1">
      <c r="B670" s="30"/>
      <c r="C670" s="10"/>
      <c r="I670" s="30"/>
      <c r="J670" s="10"/>
      <c r="P670" s="30"/>
      <c r="Q670" s="10"/>
      <c r="W670" s="30"/>
      <c r="X670" s="10"/>
      <c r="AD670" s="30"/>
      <c r="AE670" s="35"/>
      <c r="AF670" s="35"/>
      <c r="AG670" s="10"/>
      <c r="AK670" s="30"/>
      <c r="AL670" s="10"/>
      <c r="AT670" s="30"/>
      <c r="AU670" s="10"/>
      <c r="BC670" s="30"/>
      <c r="BD670" s="10"/>
    </row>
    <row r="671" ht="15.75" customHeight="1">
      <c r="B671" s="30"/>
      <c r="C671" s="10"/>
      <c r="I671" s="30"/>
      <c r="J671" s="10"/>
      <c r="P671" s="30"/>
      <c r="Q671" s="10"/>
      <c r="W671" s="30"/>
      <c r="X671" s="10"/>
      <c r="AD671" s="30"/>
      <c r="AE671" s="35"/>
      <c r="AF671" s="35"/>
      <c r="AG671" s="10"/>
      <c r="AK671" s="30"/>
      <c r="AL671" s="10"/>
      <c r="AT671" s="30"/>
      <c r="AU671" s="10"/>
      <c r="BC671" s="30"/>
      <c r="BD671" s="10"/>
    </row>
    <row r="672" ht="15.75" customHeight="1">
      <c r="B672" s="30"/>
      <c r="C672" s="10"/>
      <c r="I672" s="30"/>
      <c r="J672" s="10"/>
      <c r="P672" s="30"/>
      <c r="Q672" s="10"/>
      <c r="W672" s="30"/>
      <c r="X672" s="10"/>
      <c r="AD672" s="30"/>
      <c r="AE672" s="35"/>
      <c r="AF672" s="35"/>
      <c r="AG672" s="10"/>
      <c r="AK672" s="30"/>
      <c r="AL672" s="10"/>
      <c r="AT672" s="30"/>
      <c r="AU672" s="10"/>
      <c r="BC672" s="30"/>
      <c r="BD672" s="10"/>
    </row>
    <row r="673" ht="15.75" customHeight="1">
      <c r="B673" s="30"/>
      <c r="C673" s="10"/>
      <c r="I673" s="30"/>
      <c r="J673" s="10"/>
      <c r="P673" s="30"/>
      <c r="Q673" s="10"/>
      <c r="W673" s="30"/>
      <c r="X673" s="10"/>
      <c r="AD673" s="30"/>
      <c r="AE673" s="35"/>
      <c r="AF673" s="35"/>
      <c r="AG673" s="10"/>
      <c r="AK673" s="30"/>
      <c r="AL673" s="10"/>
      <c r="AT673" s="30"/>
      <c r="AU673" s="10"/>
      <c r="BC673" s="30"/>
      <c r="BD673" s="10"/>
    </row>
    <row r="674" ht="15.75" customHeight="1">
      <c r="B674" s="30"/>
      <c r="C674" s="10"/>
      <c r="I674" s="30"/>
      <c r="J674" s="10"/>
      <c r="P674" s="30"/>
      <c r="Q674" s="10"/>
      <c r="W674" s="30"/>
      <c r="X674" s="10"/>
      <c r="AD674" s="30"/>
      <c r="AE674" s="35"/>
      <c r="AF674" s="35"/>
      <c r="AG674" s="10"/>
      <c r="AK674" s="30"/>
      <c r="AL674" s="10"/>
      <c r="AT674" s="30"/>
      <c r="AU674" s="10"/>
      <c r="BC674" s="30"/>
      <c r="BD674" s="10"/>
    </row>
    <row r="675" ht="15.75" customHeight="1">
      <c r="B675" s="30"/>
      <c r="C675" s="10"/>
      <c r="I675" s="30"/>
      <c r="J675" s="10"/>
      <c r="P675" s="30"/>
      <c r="Q675" s="10"/>
      <c r="W675" s="30"/>
      <c r="X675" s="10"/>
      <c r="AD675" s="30"/>
      <c r="AE675" s="35"/>
      <c r="AF675" s="35"/>
      <c r="AG675" s="10"/>
      <c r="AK675" s="30"/>
      <c r="AL675" s="10"/>
      <c r="AT675" s="30"/>
      <c r="AU675" s="10"/>
      <c r="BC675" s="30"/>
      <c r="BD675" s="10"/>
    </row>
    <row r="676" ht="15.75" customHeight="1">
      <c r="B676" s="30"/>
      <c r="C676" s="10"/>
      <c r="I676" s="30"/>
      <c r="J676" s="10"/>
      <c r="P676" s="30"/>
      <c r="Q676" s="10"/>
      <c r="W676" s="30"/>
      <c r="X676" s="10"/>
      <c r="AD676" s="30"/>
      <c r="AE676" s="35"/>
      <c r="AF676" s="35"/>
      <c r="AG676" s="10"/>
      <c r="AK676" s="30"/>
      <c r="AL676" s="10"/>
      <c r="AT676" s="30"/>
      <c r="AU676" s="10"/>
      <c r="BC676" s="30"/>
      <c r="BD676" s="10"/>
    </row>
    <row r="677" ht="15.75" customHeight="1">
      <c r="B677" s="30"/>
      <c r="C677" s="10"/>
      <c r="I677" s="30"/>
      <c r="J677" s="10"/>
      <c r="P677" s="30"/>
      <c r="Q677" s="10"/>
      <c r="W677" s="30"/>
      <c r="X677" s="10"/>
      <c r="AD677" s="30"/>
      <c r="AE677" s="35"/>
      <c r="AF677" s="35"/>
      <c r="AG677" s="10"/>
      <c r="AK677" s="30"/>
      <c r="AL677" s="10"/>
      <c r="AT677" s="30"/>
      <c r="AU677" s="10"/>
      <c r="BC677" s="30"/>
      <c r="BD677" s="10"/>
    </row>
    <row r="678" ht="15.75" customHeight="1">
      <c r="B678" s="30"/>
      <c r="C678" s="10"/>
      <c r="I678" s="30"/>
      <c r="J678" s="10"/>
      <c r="P678" s="30"/>
      <c r="Q678" s="10"/>
      <c r="W678" s="30"/>
      <c r="X678" s="10"/>
      <c r="AD678" s="30"/>
      <c r="AE678" s="35"/>
      <c r="AF678" s="35"/>
      <c r="AG678" s="10"/>
      <c r="AK678" s="30"/>
      <c r="AL678" s="10"/>
      <c r="AT678" s="30"/>
      <c r="AU678" s="10"/>
      <c r="BC678" s="30"/>
      <c r="BD678" s="10"/>
    </row>
    <row r="679" ht="15.75" customHeight="1">
      <c r="B679" s="30"/>
      <c r="C679" s="10"/>
      <c r="I679" s="30"/>
      <c r="J679" s="10"/>
      <c r="P679" s="30"/>
      <c r="Q679" s="10"/>
      <c r="W679" s="30"/>
      <c r="X679" s="10"/>
      <c r="AD679" s="30"/>
      <c r="AE679" s="35"/>
      <c r="AF679" s="35"/>
      <c r="AG679" s="10"/>
      <c r="AK679" s="30"/>
      <c r="AL679" s="10"/>
      <c r="AT679" s="30"/>
      <c r="AU679" s="10"/>
      <c r="BC679" s="30"/>
      <c r="BD679" s="10"/>
    </row>
    <row r="680" ht="15.75" customHeight="1">
      <c r="B680" s="30"/>
      <c r="C680" s="10"/>
      <c r="I680" s="30"/>
      <c r="J680" s="10"/>
      <c r="P680" s="30"/>
      <c r="Q680" s="10"/>
      <c r="W680" s="30"/>
      <c r="X680" s="10"/>
      <c r="AD680" s="30"/>
      <c r="AE680" s="35"/>
      <c r="AF680" s="35"/>
      <c r="AG680" s="10"/>
      <c r="AK680" s="30"/>
      <c r="AL680" s="10"/>
      <c r="AT680" s="30"/>
      <c r="AU680" s="10"/>
      <c r="BC680" s="30"/>
      <c r="BD680" s="10"/>
    </row>
    <row r="681" ht="15.75" customHeight="1">
      <c r="B681" s="30"/>
      <c r="C681" s="10"/>
      <c r="I681" s="30"/>
      <c r="J681" s="10"/>
      <c r="P681" s="30"/>
      <c r="Q681" s="10"/>
      <c r="W681" s="30"/>
      <c r="X681" s="10"/>
      <c r="AD681" s="30"/>
      <c r="AE681" s="35"/>
      <c r="AF681" s="35"/>
      <c r="AG681" s="10"/>
      <c r="AK681" s="30"/>
      <c r="AL681" s="10"/>
      <c r="AT681" s="30"/>
      <c r="AU681" s="10"/>
      <c r="BC681" s="30"/>
      <c r="BD681" s="10"/>
    </row>
    <row r="682" ht="15.75" customHeight="1">
      <c r="B682" s="30"/>
      <c r="C682" s="10"/>
      <c r="I682" s="30"/>
      <c r="J682" s="10"/>
      <c r="P682" s="30"/>
      <c r="Q682" s="10"/>
      <c r="W682" s="30"/>
      <c r="X682" s="10"/>
      <c r="AD682" s="30"/>
      <c r="AE682" s="35"/>
      <c r="AF682" s="35"/>
      <c r="AG682" s="10"/>
      <c r="AK682" s="30"/>
      <c r="AL682" s="10"/>
      <c r="AT682" s="30"/>
      <c r="AU682" s="10"/>
      <c r="BC682" s="30"/>
      <c r="BD682" s="10"/>
    </row>
    <row r="683" ht="15.75" customHeight="1">
      <c r="B683" s="30"/>
      <c r="C683" s="10"/>
      <c r="I683" s="30"/>
      <c r="J683" s="10"/>
      <c r="P683" s="30"/>
      <c r="Q683" s="10"/>
      <c r="W683" s="30"/>
      <c r="X683" s="10"/>
      <c r="AD683" s="30"/>
      <c r="AE683" s="35"/>
      <c r="AF683" s="35"/>
      <c r="AG683" s="10"/>
      <c r="AK683" s="30"/>
      <c r="AL683" s="10"/>
      <c r="AT683" s="30"/>
      <c r="AU683" s="10"/>
      <c r="BC683" s="30"/>
      <c r="BD683" s="10"/>
    </row>
    <row r="684" ht="15.75" customHeight="1">
      <c r="B684" s="30"/>
      <c r="C684" s="10"/>
      <c r="I684" s="30"/>
      <c r="J684" s="10"/>
      <c r="P684" s="30"/>
      <c r="Q684" s="10"/>
      <c r="W684" s="30"/>
      <c r="X684" s="10"/>
      <c r="AD684" s="30"/>
      <c r="AE684" s="35"/>
      <c r="AF684" s="35"/>
      <c r="AG684" s="10"/>
      <c r="AK684" s="30"/>
      <c r="AL684" s="10"/>
      <c r="AT684" s="30"/>
      <c r="AU684" s="10"/>
      <c r="BC684" s="30"/>
      <c r="BD684" s="10"/>
    </row>
    <row r="685" ht="15.75" customHeight="1">
      <c r="B685" s="30"/>
      <c r="C685" s="10"/>
      <c r="I685" s="30"/>
      <c r="J685" s="10"/>
      <c r="P685" s="30"/>
      <c r="Q685" s="10"/>
      <c r="W685" s="30"/>
      <c r="X685" s="10"/>
      <c r="AD685" s="30"/>
      <c r="AE685" s="35"/>
      <c r="AF685" s="35"/>
      <c r="AG685" s="10"/>
      <c r="AK685" s="30"/>
      <c r="AL685" s="10"/>
      <c r="AT685" s="30"/>
      <c r="AU685" s="10"/>
      <c r="BC685" s="30"/>
      <c r="BD685" s="10"/>
    </row>
    <row r="686" ht="15.75" customHeight="1">
      <c r="B686" s="30"/>
      <c r="C686" s="10"/>
      <c r="I686" s="30"/>
      <c r="J686" s="10"/>
      <c r="P686" s="30"/>
      <c r="Q686" s="10"/>
      <c r="W686" s="30"/>
      <c r="X686" s="10"/>
      <c r="AD686" s="30"/>
      <c r="AE686" s="35"/>
      <c r="AF686" s="35"/>
      <c r="AG686" s="10"/>
      <c r="AK686" s="30"/>
      <c r="AL686" s="10"/>
      <c r="AT686" s="30"/>
      <c r="AU686" s="10"/>
      <c r="BC686" s="30"/>
      <c r="BD686" s="10"/>
    </row>
    <row r="687" ht="15.75" customHeight="1">
      <c r="B687" s="30"/>
      <c r="C687" s="10"/>
      <c r="I687" s="30"/>
      <c r="J687" s="10"/>
      <c r="P687" s="30"/>
      <c r="Q687" s="10"/>
      <c r="W687" s="30"/>
      <c r="X687" s="10"/>
      <c r="AD687" s="30"/>
      <c r="AE687" s="35"/>
      <c r="AF687" s="35"/>
      <c r="AG687" s="10"/>
      <c r="AK687" s="30"/>
      <c r="AL687" s="10"/>
      <c r="AT687" s="30"/>
      <c r="AU687" s="10"/>
      <c r="BC687" s="30"/>
      <c r="BD687" s="10"/>
    </row>
    <row r="688" ht="15.75" customHeight="1">
      <c r="B688" s="30"/>
      <c r="C688" s="10"/>
      <c r="I688" s="30"/>
      <c r="J688" s="10"/>
      <c r="P688" s="30"/>
      <c r="Q688" s="10"/>
      <c r="W688" s="30"/>
      <c r="X688" s="10"/>
      <c r="AD688" s="30"/>
      <c r="AE688" s="35"/>
      <c r="AF688" s="35"/>
      <c r="AG688" s="10"/>
      <c r="AK688" s="30"/>
      <c r="AL688" s="10"/>
      <c r="AT688" s="30"/>
      <c r="AU688" s="10"/>
      <c r="BC688" s="30"/>
      <c r="BD688" s="10"/>
    </row>
    <row r="689" ht="15.75" customHeight="1">
      <c r="B689" s="30"/>
      <c r="C689" s="10"/>
      <c r="I689" s="30"/>
      <c r="J689" s="10"/>
      <c r="P689" s="30"/>
      <c r="Q689" s="10"/>
      <c r="W689" s="30"/>
      <c r="X689" s="10"/>
      <c r="AD689" s="30"/>
      <c r="AE689" s="35"/>
      <c r="AF689" s="35"/>
      <c r="AG689" s="10"/>
      <c r="AK689" s="30"/>
      <c r="AL689" s="10"/>
      <c r="AT689" s="30"/>
      <c r="AU689" s="10"/>
      <c r="BC689" s="30"/>
      <c r="BD689" s="10"/>
    </row>
    <row r="690" ht="15.75" customHeight="1">
      <c r="B690" s="30"/>
      <c r="C690" s="10"/>
      <c r="I690" s="30"/>
      <c r="J690" s="10"/>
      <c r="P690" s="30"/>
      <c r="Q690" s="10"/>
      <c r="W690" s="30"/>
      <c r="X690" s="10"/>
      <c r="AD690" s="30"/>
      <c r="AE690" s="35"/>
      <c r="AF690" s="35"/>
      <c r="AG690" s="10"/>
      <c r="AK690" s="30"/>
      <c r="AL690" s="10"/>
      <c r="AT690" s="30"/>
      <c r="AU690" s="10"/>
      <c r="BC690" s="30"/>
      <c r="BD690" s="10"/>
    </row>
    <row r="691" ht="15.75" customHeight="1">
      <c r="B691" s="30"/>
      <c r="C691" s="10"/>
      <c r="I691" s="30"/>
      <c r="J691" s="10"/>
      <c r="P691" s="30"/>
      <c r="Q691" s="10"/>
      <c r="W691" s="30"/>
      <c r="X691" s="10"/>
      <c r="AD691" s="30"/>
      <c r="AE691" s="35"/>
      <c r="AF691" s="35"/>
      <c r="AG691" s="10"/>
      <c r="AK691" s="30"/>
      <c r="AL691" s="10"/>
      <c r="AT691" s="30"/>
      <c r="AU691" s="10"/>
      <c r="BC691" s="30"/>
      <c r="BD691" s="10"/>
    </row>
    <row r="692" ht="15.75" customHeight="1">
      <c r="B692" s="30"/>
      <c r="C692" s="10"/>
      <c r="I692" s="30"/>
      <c r="J692" s="10"/>
      <c r="P692" s="30"/>
      <c r="Q692" s="10"/>
      <c r="W692" s="30"/>
      <c r="X692" s="10"/>
      <c r="AD692" s="30"/>
      <c r="AE692" s="35"/>
      <c r="AF692" s="35"/>
      <c r="AG692" s="10"/>
      <c r="AK692" s="30"/>
      <c r="AL692" s="10"/>
      <c r="AT692" s="30"/>
      <c r="AU692" s="10"/>
      <c r="BC692" s="30"/>
      <c r="BD692" s="10"/>
    </row>
    <row r="693" ht="15.75" customHeight="1">
      <c r="B693" s="30"/>
      <c r="C693" s="10"/>
      <c r="I693" s="30"/>
      <c r="J693" s="10"/>
      <c r="P693" s="30"/>
      <c r="Q693" s="10"/>
      <c r="W693" s="30"/>
      <c r="X693" s="10"/>
      <c r="AD693" s="30"/>
      <c r="AE693" s="35"/>
      <c r="AF693" s="35"/>
      <c r="AG693" s="10"/>
      <c r="AK693" s="30"/>
      <c r="AL693" s="10"/>
      <c r="AT693" s="30"/>
      <c r="AU693" s="10"/>
      <c r="BC693" s="30"/>
      <c r="BD693" s="10"/>
    </row>
    <row r="694" ht="15.75" customHeight="1">
      <c r="B694" s="30"/>
      <c r="C694" s="10"/>
      <c r="I694" s="30"/>
      <c r="J694" s="10"/>
      <c r="P694" s="30"/>
      <c r="Q694" s="10"/>
      <c r="W694" s="30"/>
      <c r="X694" s="10"/>
      <c r="AD694" s="30"/>
      <c r="AE694" s="35"/>
      <c r="AF694" s="35"/>
      <c r="AG694" s="10"/>
      <c r="AK694" s="30"/>
      <c r="AL694" s="10"/>
      <c r="AT694" s="30"/>
      <c r="AU694" s="10"/>
      <c r="BC694" s="30"/>
      <c r="BD694" s="10"/>
    </row>
    <row r="695" ht="15.75" customHeight="1">
      <c r="B695" s="30"/>
      <c r="C695" s="10"/>
      <c r="I695" s="30"/>
      <c r="J695" s="10"/>
      <c r="P695" s="30"/>
      <c r="Q695" s="10"/>
      <c r="W695" s="30"/>
      <c r="X695" s="10"/>
      <c r="AD695" s="30"/>
      <c r="AE695" s="35"/>
      <c r="AF695" s="35"/>
      <c r="AG695" s="10"/>
      <c r="AK695" s="30"/>
      <c r="AL695" s="10"/>
      <c r="AT695" s="30"/>
      <c r="AU695" s="10"/>
      <c r="BC695" s="30"/>
      <c r="BD695" s="10"/>
    </row>
    <row r="696" ht="15.75" customHeight="1">
      <c r="B696" s="30"/>
      <c r="C696" s="10"/>
      <c r="I696" s="30"/>
      <c r="J696" s="10"/>
      <c r="P696" s="30"/>
      <c r="Q696" s="10"/>
      <c r="W696" s="30"/>
      <c r="X696" s="10"/>
      <c r="AD696" s="30"/>
      <c r="AE696" s="35"/>
      <c r="AF696" s="35"/>
      <c r="AG696" s="10"/>
      <c r="AK696" s="30"/>
      <c r="AL696" s="10"/>
      <c r="AT696" s="30"/>
      <c r="AU696" s="10"/>
      <c r="BC696" s="30"/>
      <c r="BD696" s="10"/>
    </row>
    <row r="697" ht="15.75" customHeight="1">
      <c r="B697" s="30"/>
      <c r="C697" s="10"/>
      <c r="I697" s="30"/>
      <c r="J697" s="10"/>
      <c r="P697" s="30"/>
      <c r="Q697" s="10"/>
      <c r="W697" s="30"/>
      <c r="X697" s="10"/>
      <c r="AD697" s="30"/>
      <c r="AE697" s="35"/>
      <c r="AF697" s="35"/>
      <c r="AG697" s="10"/>
      <c r="AK697" s="30"/>
      <c r="AL697" s="10"/>
      <c r="AT697" s="30"/>
      <c r="AU697" s="10"/>
      <c r="BC697" s="30"/>
      <c r="BD697" s="10"/>
    </row>
    <row r="698" ht="15.75" customHeight="1">
      <c r="B698" s="30"/>
      <c r="C698" s="10"/>
      <c r="I698" s="30"/>
      <c r="J698" s="10"/>
      <c r="P698" s="30"/>
      <c r="Q698" s="10"/>
      <c r="W698" s="30"/>
      <c r="X698" s="10"/>
      <c r="AD698" s="30"/>
      <c r="AE698" s="35"/>
      <c r="AF698" s="35"/>
      <c r="AG698" s="10"/>
      <c r="AK698" s="30"/>
      <c r="AL698" s="10"/>
      <c r="AT698" s="30"/>
      <c r="AU698" s="10"/>
      <c r="BC698" s="30"/>
      <c r="BD698" s="10"/>
    </row>
    <row r="699" ht="15.75" customHeight="1">
      <c r="B699" s="30"/>
      <c r="C699" s="10"/>
      <c r="I699" s="30"/>
      <c r="J699" s="10"/>
      <c r="P699" s="30"/>
      <c r="Q699" s="10"/>
      <c r="W699" s="30"/>
      <c r="X699" s="10"/>
      <c r="AD699" s="30"/>
      <c r="AE699" s="35"/>
      <c r="AF699" s="35"/>
      <c r="AG699" s="10"/>
      <c r="AK699" s="30"/>
      <c r="AL699" s="10"/>
      <c r="AT699" s="30"/>
      <c r="AU699" s="10"/>
      <c r="BC699" s="30"/>
      <c r="BD699" s="10"/>
    </row>
    <row r="700" ht="15.75" customHeight="1">
      <c r="B700" s="30"/>
      <c r="C700" s="10"/>
      <c r="I700" s="30"/>
      <c r="J700" s="10"/>
      <c r="P700" s="30"/>
      <c r="Q700" s="10"/>
      <c r="W700" s="30"/>
      <c r="X700" s="10"/>
      <c r="AD700" s="30"/>
      <c r="AE700" s="35"/>
      <c r="AF700" s="35"/>
      <c r="AG700" s="10"/>
      <c r="AK700" s="30"/>
      <c r="AL700" s="10"/>
      <c r="AT700" s="30"/>
      <c r="AU700" s="10"/>
      <c r="BC700" s="30"/>
      <c r="BD700" s="10"/>
    </row>
    <row r="701" ht="15.75" customHeight="1">
      <c r="B701" s="30"/>
      <c r="C701" s="10"/>
      <c r="I701" s="30"/>
      <c r="J701" s="10"/>
      <c r="P701" s="30"/>
      <c r="Q701" s="10"/>
      <c r="W701" s="30"/>
      <c r="X701" s="10"/>
      <c r="AD701" s="30"/>
      <c r="AE701" s="35"/>
      <c r="AF701" s="35"/>
      <c r="AG701" s="10"/>
      <c r="AK701" s="30"/>
      <c r="AL701" s="10"/>
      <c r="AT701" s="30"/>
      <c r="AU701" s="10"/>
      <c r="BC701" s="30"/>
      <c r="BD701" s="10"/>
    </row>
    <row r="702" ht="15.75" customHeight="1">
      <c r="B702" s="30"/>
      <c r="C702" s="10"/>
      <c r="I702" s="30"/>
      <c r="J702" s="10"/>
      <c r="P702" s="30"/>
      <c r="Q702" s="10"/>
      <c r="W702" s="30"/>
      <c r="X702" s="10"/>
      <c r="AD702" s="30"/>
      <c r="AE702" s="35"/>
      <c r="AF702" s="35"/>
      <c r="AG702" s="10"/>
      <c r="AK702" s="30"/>
      <c r="AL702" s="10"/>
      <c r="AT702" s="30"/>
      <c r="AU702" s="10"/>
      <c r="BC702" s="30"/>
      <c r="BD702" s="10"/>
    </row>
    <row r="703" ht="15.75" customHeight="1">
      <c r="B703" s="30"/>
      <c r="C703" s="10"/>
      <c r="I703" s="30"/>
      <c r="J703" s="10"/>
      <c r="P703" s="30"/>
      <c r="Q703" s="10"/>
      <c r="W703" s="30"/>
      <c r="X703" s="10"/>
      <c r="AD703" s="30"/>
      <c r="AE703" s="35"/>
      <c r="AF703" s="35"/>
      <c r="AG703" s="10"/>
      <c r="AK703" s="30"/>
      <c r="AL703" s="10"/>
      <c r="AT703" s="30"/>
      <c r="AU703" s="10"/>
      <c r="BC703" s="30"/>
      <c r="BD703" s="10"/>
    </row>
    <row r="704" ht="15.75" customHeight="1">
      <c r="B704" s="30"/>
      <c r="C704" s="10"/>
      <c r="I704" s="30"/>
      <c r="J704" s="10"/>
      <c r="P704" s="30"/>
      <c r="Q704" s="10"/>
      <c r="W704" s="30"/>
      <c r="X704" s="10"/>
      <c r="AD704" s="30"/>
      <c r="AE704" s="35"/>
      <c r="AF704" s="35"/>
      <c r="AG704" s="10"/>
      <c r="AK704" s="30"/>
      <c r="AL704" s="10"/>
      <c r="AT704" s="30"/>
      <c r="AU704" s="10"/>
      <c r="BC704" s="30"/>
      <c r="BD704" s="10"/>
    </row>
    <row r="705" ht="15.75" customHeight="1">
      <c r="B705" s="30"/>
      <c r="C705" s="10"/>
      <c r="I705" s="30"/>
      <c r="J705" s="10"/>
      <c r="P705" s="30"/>
      <c r="Q705" s="10"/>
      <c r="W705" s="30"/>
      <c r="X705" s="10"/>
      <c r="AD705" s="30"/>
      <c r="AE705" s="35"/>
      <c r="AF705" s="35"/>
      <c r="AG705" s="10"/>
      <c r="AK705" s="30"/>
      <c r="AL705" s="10"/>
      <c r="AT705" s="30"/>
      <c r="AU705" s="10"/>
      <c r="BC705" s="30"/>
      <c r="BD705" s="10"/>
    </row>
    <row r="706" ht="15.75" customHeight="1">
      <c r="B706" s="30"/>
      <c r="C706" s="10"/>
      <c r="I706" s="30"/>
      <c r="J706" s="10"/>
      <c r="P706" s="30"/>
      <c r="Q706" s="10"/>
      <c r="W706" s="30"/>
      <c r="X706" s="10"/>
      <c r="AD706" s="30"/>
      <c r="AE706" s="35"/>
      <c r="AF706" s="35"/>
      <c r="AG706" s="10"/>
      <c r="AK706" s="30"/>
      <c r="AL706" s="10"/>
      <c r="AT706" s="30"/>
      <c r="AU706" s="10"/>
      <c r="BC706" s="30"/>
      <c r="BD706" s="10"/>
    </row>
    <row r="707" ht="15.75" customHeight="1">
      <c r="B707" s="30"/>
      <c r="C707" s="10"/>
      <c r="I707" s="30"/>
      <c r="J707" s="10"/>
      <c r="P707" s="30"/>
      <c r="Q707" s="10"/>
      <c r="W707" s="30"/>
      <c r="X707" s="10"/>
      <c r="AD707" s="30"/>
      <c r="AE707" s="35"/>
      <c r="AF707" s="35"/>
      <c r="AG707" s="10"/>
      <c r="AK707" s="30"/>
      <c r="AL707" s="10"/>
      <c r="AT707" s="30"/>
      <c r="AU707" s="10"/>
      <c r="BC707" s="30"/>
      <c r="BD707" s="10"/>
    </row>
    <row r="708" ht="15.75" customHeight="1">
      <c r="B708" s="30"/>
      <c r="C708" s="10"/>
      <c r="I708" s="30"/>
      <c r="J708" s="10"/>
      <c r="P708" s="30"/>
      <c r="Q708" s="10"/>
      <c r="W708" s="30"/>
      <c r="X708" s="10"/>
      <c r="AD708" s="30"/>
      <c r="AE708" s="35"/>
      <c r="AF708" s="35"/>
      <c r="AG708" s="10"/>
      <c r="AK708" s="30"/>
      <c r="AL708" s="10"/>
      <c r="AT708" s="30"/>
      <c r="AU708" s="10"/>
      <c r="BC708" s="30"/>
      <c r="BD708" s="10"/>
    </row>
    <row r="709" ht="15.75" customHeight="1">
      <c r="B709" s="30"/>
      <c r="C709" s="10"/>
      <c r="I709" s="30"/>
      <c r="J709" s="10"/>
      <c r="P709" s="30"/>
      <c r="Q709" s="10"/>
      <c r="W709" s="30"/>
      <c r="X709" s="10"/>
      <c r="AD709" s="30"/>
      <c r="AE709" s="35"/>
      <c r="AF709" s="35"/>
      <c r="AG709" s="10"/>
      <c r="AK709" s="30"/>
      <c r="AL709" s="10"/>
      <c r="AT709" s="30"/>
      <c r="AU709" s="10"/>
      <c r="BC709" s="30"/>
      <c r="BD709" s="10"/>
    </row>
    <row r="710" ht="15.75" customHeight="1">
      <c r="B710" s="30"/>
      <c r="C710" s="10"/>
      <c r="I710" s="30"/>
      <c r="J710" s="10"/>
      <c r="P710" s="30"/>
      <c r="Q710" s="10"/>
      <c r="W710" s="30"/>
      <c r="X710" s="10"/>
      <c r="AD710" s="30"/>
      <c r="AE710" s="35"/>
      <c r="AF710" s="35"/>
      <c r="AG710" s="10"/>
      <c r="AK710" s="30"/>
      <c r="AL710" s="10"/>
      <c r="AT710" s="30"/>
      <c r="AU710" s="10"/>
      <c r="BC710" s="30"/>
      <c r="BD710" s="10"/>
    </row>
    <row r="711" ht="15.75" customHeight="1">
      <c r="B711" s="30"/>
      <c r="C711" s="10"/>
      <c r="I711" s="30"/>
      <c r="J711" s="10"/>
      <c r="P711" s="30"/>
      <c r="Q711" s="10"/>
      <c r="W711" s="30"/>
      <c r="X711" s="10"/>
      <c r="AD711" s="30"/>
      <c r="AE711" s="35"/>
      <c r="AF711" s="35"/>
      <c r="AG711" s="10"/>
      <c r="AK711" s="30"/>
      <c r="AL711" s="10"/>
      <c r="AT711" s="30"/>
      <c r="AU711" s="10"/>
      <c r="BC711" s="30"/>
      <c r="BD711" s="10"/>
    </row>
    <row r="712" ht="15.75" customHeight="1">
      <c r="B712" s="30"/>
      <c r="C712" s="10"/>
      <c r="I712" s="30"/>
      <c r="J712" s="10"/>
      <c r="P712" s="30"/>
      <c r="Q712" s="10"/>
      <c r="W712" s="30"/>
      <c r="X712" s="10"/>
      <c r="AD712" s="30"/>
      <c r="AE712" s="35"/>
      <c r="AF712" s="35"/>
      <c r="AG712" s="10"/>
      <c r="AK712" s="30"/>
      <c r="AL712" s="10"/>
      <c r="AT712" s="30"/>
      <c r="AU712" s="10"/>
      <c r="BC712" s="30"/>
      <c r="BD712" s="10"/>
    </row>
    <row r="713" ht="15.75" customHeight="1">
      <c r="B713" s="30"/>
      <c r="C713" s="10"/>
      <c r="I713" s="30"/>
      <c r="J713" s="10"/>
      <c r="P713" s="30"/>
      <c r="Q713" s="10"/>
      <c r="W713" s="30"/>
      <c r="X713" s="10"/>
      <c r="AD713" s="30"/>
      <c r="AE713" s="35"/>
      <c r="AF713" s="35"/>
      <c r="AG713" s="10"/>
      <c r="AK713" s="30"/>
      <c r="AL713" s="10"/>
      <c r="AT713" s="30"/>
      <c r="AU713" s="10"/>
      <c r="BC713" s="30"/>
      <c r="BD713" s="10"/>
    </row>
    <row r="714" ht="15.75" customHeight="1">
      <c r="B714" s="30"/>
      <c r="C714" s="10"/>
      <c r="I714" s="30"/>
      <c r="J714" s="10"/>
      <c r="P714" s="30"/>
      <c r="Q714" s="10"/>
      <c r="W714" s="30"/>
      <c r="X714" s="10"/>
      <c r="AD714" s="30"/>
      <c r="AE714" s="35"/>
      <c r="AF714" s="35"/>
      <c r="AG714" s="10"/>
      <c r="AK714" s="30"/>
      <c r="AL714" s="10"/>
      <c r="AT714" s="30"/>
      <c r="AU714" s="10"/>
      <c r="BC714" s="30"/>
      <c r="BD714" s="10"/>
    </row>
    <row r="715" ht="15.75" customHeight="1">
      <c r="B715" s="30"/>
      <c r="C715" s="10"/>
      <c r="I715" s="30"/>
      <c r="J715" s="10"/>
      <c r="P715" s="30"/>
      <c r="Q715" s="10"/>
      <c r="W715" s="30"/>
      <c r="X715" s="10"/>
      <c r="AD715" s="30"/>
      <c r="AE715" s="35"/>
      <c r="AF715" s="35"/>
      <c r="AG715" s="10"/>
      <c r="AK715" s="30"/>
      <c r="AL715" s="10"/>
      <c r="AT715" s="30"/>
      <c r="AU715" s="10"/>
      <c r="BC715" s="30"/>
      <c r="BD715" s="10"/>
    </row>
    <row r="716" ht="15.75" customHeight="1">
      <c r="B716" s="30"/>
      <c r="C716" s="10"/>
      <c r="I716" s="30"/>
      <c r="J716" s="10"/>
      <c r="P716" s="30"/>
      <c r="Q716" s="10"/>
      <c r="W716" s="30"/>
      <c r="X716" s="10"/>
      <c r="AD716" s="30"/>
      <c r="AE716" s="35"/>
      <c r="AF716" s="35"/>
      <c r="AG716" s="10"/>
      <c r="AK716" s="30"/>
      <c r="AL716" s="10"/>
      <c r="AT716" s="30"/>
      <c r="AU716" s="10"/>
      <c r="BC716" s="30"/>
      <c r="BD716" s="10"/>
    </row>
    <row r="717" ht="15.75" customHeight="1">
      <c r="B717" s="30"/>
      <c r="C717" s="10"/>
      <c r="I717" s="30"/>
      <c r="J717" s="10"/>
      <c r="P717" s="30"/>
      <c r="Q717" s="10"/>
      <c r="W717" s="30"/>
      <c r="X717" s="10"/>
      <c r="AD717" s="30"/>
      <c r="AE717" s="35"/>
      <c r="AF717" s="35"/>
      <c r="AG717" s="10"/>
      <c r="AK717" s="30"/>
      <c r="AL717" s="10"/>
      <c r="AT717" s="30"/>
      <c r="AU717" s="10"/>
      <c r="BC717" s="30"/>
      <c r="BD717" s="10"/>
    </row>
    <row r="718" ht="15.75" customHeight="1">
      <c r="B718" s="30"/>
      <c r="C718" s="10"/>
      <c r="I718" s="30"/>
      <c r="J718" s="10"/>
      <c r="P718" s="30"/>
      <c r="Q718" s="10"/>
      <c r="W718" s="30"/>
      <c r="X718" s="10"/>
      <c r="AD718" s="30"/>
      <c r="AE718" s="35"/>
      <c r="AF718" s="35"/>
      <c r="AG718" s="10"/>
      <c r="AK718" s="30"/>
      <c r="AL718" s="10"/>
      <c r="AT718" s="30"/>
      <c r="AU718" s="10"/>
      <c r="BC718" s="30"/>
      <c r="BD718" s="10"/>
    </row>
    <row r="719" ht="15.75" customHeight="1">
      <c r="B719" s="30"/>
      <c r="C719" s="10"/>
      <c r="I719" s="30"/>
      <c r="J719" s="10"/>
      <c r="P719" s="30"/>
      <c r="Q719" s="10"/>
      <c r="W719" s="30"/>
      <c r="X719" s="10"/>
      <c r="AD719" s="30"/>
      <c r="AE719" s="35"/>
      <c r="AF719" s="35"/>
      <c r="AG719" s="10"/>
      <c r="AK719" s="30"/>
      <c r="AL719" s="10"/>
      <c r="AT719" s="30"/>
      <c r="AU719" s="10"/>
      <c r="BC719" s="30"/>
      <c r="BD719" s="10"/>
    </row>
    <row r="720" ht="15.75" customHeight="1">
      <c r="B720" s="30"/>
      <c r="C720" s="10"/>
      <c r="I720" s="30"/>
      <c r="J720" s="10"/>
      <c r="P720" s="30"/>
      <c r="Q720" s="10"/>
      <c r="W720" s="30"/>
      <c r="X720" s="10"/>
      <c r="AD720" s="30"/>
      <c r="AE720" s="35"/>
      <c r="AF720" s="35"/>
      <c r="AG720" s="10"/>
      <c r="AK720" s="30"/>
      <c r="AL720" s="10"/>
      <c r="AT720" s="30"/>
      <c r="AU720" s="10"/>
      <c r="BC720" s="30"/>
      <c r="BD720" s="10"/>
    </row>
    <row r="721" ht="15.75" customHeight="1">
      <c r="B721" s="30"/>
      <c r="C721" s="10"/>
      <c r="I721" s="30"/>
      <c r="J721" s="10"/>
      <c r="P721" s="30"/>
      <c r="Q721" s="10"/>
      <c r="W721" s="30"/>
      <c r="X721" s="10"/>
      <c r="AD721" s="30"/>
      <c r="AE721" s="35"/>
      <c r="AF721" s="35"/>
      <c r="AG721" s="10"/>
      <c r="AK721" s="30"/>
      <c r="AL721" s="10"/>
      <c r="AT721" s="30"/>
      <c r="AU721" s="10"/>
      <c r="BC721" s="30"/>
      <c r="BD721" s="10"/>
    </row>
    <row r="722" ht="15.75" customHeight="1">
      <c r="B722" s="30"/>
      <c r="C722" s="10"/>
      <c r="I722" s="30"/>
      <c r="J722" s="10"/>
      <c r="P722" s="30"/>
      <c r="Q722" s="10"/>
      <c r="W722" s="30"/>
      <c r="X722" s="10"/>
      <c r="AD722" s="30"/>
      <c r="AE722" s="35"/>
      <c r="AF722" s="35"/>
      <c r="AG722" s="10"/>
      <c r="AK722" s="30"/>
      <c r="AL722" s="10"/>
      <c r="AT722" s="30"/>
      <c r="AU722" s="10"/>
      <c r="BC722" s="30"/>
      <c r="BD722" s="10"/>
    </row>
    <row r="723" ht="15.75" customHeight="1">
      <c r="B723" s="30"/>
      <c r="C723" s="10"/>
      <c r="I723" s="30"/>
      <c r="J723" s="10"/>
      <c r="P723" s="30"/>
      <c r="Q723" s="10"/>
      <c r="W723" s="30"/>
      <c r="X723" s="10"/>
      <c r="AD723" s="30"/>
      <c r="AE723" s="35"/>
      <c r="AF723" s="35"/>
      <c r="AG723" s="10"/>
      <c r="AK723" s="30"/>
      <c r="AL723" s="10"/>
      <c r="AT723" s="30"/>
      <c r="AU723" s="10"/>
      <c r="BC723" s="30"/>
      <c r="BD723" s="10"/>
    </row>
    <row r="724" ht="15.75" customHeight="1">
      <c r="B724" s="30"/>
      <c r="C724" s="10"/>
      <c r="I724" s="30"/>
      <c r="J724" s="10"/>
      <c r="P724" s="30"/>
      <c r="Q724" s="10"/>
      <c r="W724" s="30"/>
      <c r="X724" s="10"/>
      <c r="AD724" s="30"/>
      <c r="AE724" s="35"/>
      <c r="AF724" s="35"/>
      <c r="AG724" s="10"/>
      <c r="AK724" s="30"/>
      <c r="AL724" s="10"/>
      <c r="AT724" s="30"/>
      <c r="AU724" s="10"/>
      <c r="BC724" s="30"/>
      <c r="BD724" s="10"/>
    </row>
    <row r="725" ht="15.75" customHeight="1">
      <c r="B725" s="30"/>
      <c r="C725" s="10"/>
      <c r="I725" s="30"/>
      <c r="J725" s="10"/>
      <c r="P725" s="30"/>
      <c r="Q725" s="10"/>
      <c r="W725" s="30"/>
      <c r="X725" s="10"/>
      <c r="AD725" s="30"/>
      <c r="AE725" s="35"/>
      <c r="AF725" s="35"/>
      <c r="AG725" s="10"/>
      <c r="AK725" s="30"/>
      <c r="AL725" s="10"/>
      <c r="AT725" s="30"/>
      <c r="AU725" s="10"/>
      <c r="BC725" s="30"/>
      <c r="BD725" s="10"/>
    </row>
    <row r="726" ht="15.75" customHeight="1">
      <c r="B726" s="30"/>
      <c r="C726" s="10"/>
      <c r="I726" s="30"/>
      <c r="J726" s="10"/>
      <c r="P726" s="30"/>
      <c r="Q726" s="10"/>
      <c r="W726" s="30"/>
      <c r="X726" s="10"/>
      <c r="AD726" s="30"/>
      <c r="AE726" s="35"/>
      <c r="AF726" s="35"/>
      <c r="AG726" s="10"/>
      <c r="AK726" s="30"/>
      <c r="AL726" s="10"/>
      <c r="AT726" s="30"/>
      <c r="AU726" s="10"/>
      <c r="BC726" s="30"/>
      <c r="BD726" s="10"/>
    </row>
    <row r="727" ht="15.75" customHeight="1">
      <c r="B727" s="30"/>
      <c r="C727" s="10"/>
      <c r="I727" s="30"/>
      <c r="J727" s="10"/>
      <c r="P727" s="30"/>
      <c r="Q727" s="10"/>
      <c r="W727" s="30"/>
      <c r="X727" s="10"/>
      <c r="AD727" s="30"/>
      <c r="AE727" s="35"/>
      <c r="AF727" s="35"/>
      <c r="AG727" s="10"/>
      <c r="AK727" s="30"/>
      <c r="AL727" s="10"/>
      <c r="AT727" s="30"/>
      <c r="AU727" s="10"/>
      <c r="BC727" s="30"/>
      <c r="BD727" s="10"/>
    </row>
    <row r="728" ht="15.75" customHeight="1">
      <c r="B728" s="30"/>
      <c r="C728" s="10"/>
      <c r="I728" s="30"/>
      <c r="J728" s="10"/>
      <c r="P728" s="30"/>
      <c r="Q728" s="10"/>
      <c r="W728" s="30"/>
      <c r="X728" s="10"/>
      <c r="AD728" s="30"/>
      <c r="AE728" s="35"/>
      <c r="AF728" s="35"/>
      <c r="AG728" s="10"/>
      <c r="AK728" s="30"/>
      <c r="AL728" s="10"/>
      <c r="AT728" s="30"/>
      <c r="AU728" s="10"/>
      <c r="BC728" s="30"/>
      <c r="BD728" s="10"/>
    </row>
    <row r="729" ht="15.75" customHeight="1">
      <c r="B729" s="30"/>
      <c r="C729" s="10"/>
      <c r="I729" s="30"/>
      <c r="J729" s="10"/>
      <c r="P729" s="30"/>
      <c r="Q729" s="10"/>
      <c r="W729" s="30"/>
      <c r="X729" s="10"/>
      <c r="AD729" s="30"/>
      <c r="AE729" s="35"/>
      <c r="AF729" s="35"/>
      <c r="AG729" s="10"/>
      <c r="AK729" s="30"/>
      <c r="AL729" s="10"/>
      <c r="AT729" s="30"/>
      <c r="AU729" s="10"/>
      <c r="BC729" s="30"/>
      <c r="BD729" s="10"/>
    </row>
    <row r="730" ht="15.75" customHeight="1">
      <c r="B730" s="30"/>
      <c r="C730" s="10"/>
      <c r="I730" s="30"/>
      <c r="J730" s="10"/>
      <c r="P730" s="30"/>
      <c r="Q730" s="10"/>
      <c r="W730" s="30"/>
      <c r="X730" s="10"/>
      <c r="AD730" s="30"/>
      <c r="AE730" s="35"/>
      <c r="AF730" s="35"/>
      <c r="AG730" s="10"/>
      <c r="AK730" s="30"/>
      <c r="AL730" s="10"/>
      <c r="AT730" s="30"/>
      <c r="AU730" s="10"/>
      <c r="BC730" s="30"/>
      <c r="BD730" s="10"/>
    </row>
    <row r="731" ht="15.75" customHeight="1">
      <c r="B731" s="30"/>
      <c r="C731" s="10"/>
      <c r="I731" s="30"/>
      <c r="J731" s="10"/>
      <c r="P731" s="30"/>
      <c r="Q731" s="10"/>
      <c r="W731" s="30"/>
      <c r="X731" s="10"/>
      <c r="AD731" s="30"/>
      <c r="AE731" s="35"/>
      <c r="AF731" s="35"/>
      <c r="AG731" s="10"/>
      <c r="AK731" s="30"/>
      <c r="AL731" s="10"/>
      <c r="AT731" s="30"/>
      <c r="AU731" s="10"/>
      <c r="BC731" s="30"/>
      <c r="BD731" s="10"/>
    </row>
    <row r="732" ht="15.75" customHeight="1">
      <c r="B732" s="30"/>
      <c r="C732" s="10"/>
      <c r="I732" s="30"/>
      <c r="J732" s="10"/>
      <c r="P732" s="30"/>
      <c r="Q732" s="10"/>
      <c r="W732" s="30"/>
      <c r="X732" s="10"/>
      <c r="AD732" s="30"/>
      <c r="AE732" s="35"/>
      <c r="AF732" s="35"/>
      <c r="AG732" s="10"/>
      <c r="AK732" s="30"/>
      <c r="AL732" s="10"/>
      <c r="AT732" s="30"/>
      <c r="AU732" s="10"/>
      <c r="BC732" s="30"/>
      <c r="BD732" s="10"/>
    </row>
    <row r="733" ht="15.75" customHeight="1">
      <c r="B733" s="30"/>
      <c r="C733" s="10"/>
      <c r="I733" s="30"/>
      <c r="J733" s="10"/>
      <c r="P733" s="30"/>
      <c r="Q733" s="10"/>
      <c r="W733" s="30"/>
      <c r="X733" s="10"/>
      <c r="AD733" s="30"/>
      <c r="AE733" s="35"/>
      <c r="AF733" s="35"/>
      <c r="AG733" s="10"/>
      <c r="AK733" s="30"/>
      <c r="AL733" s="10"/>
      <c r="AT733" s="30"/>
      <c r="AU733" s="10"/>
      <c r="BC733" s="30"/>
      <c r="BD733" s="10"/>
    </row>
    <row r="734" ht="15.75" customHeight="1">
      <c r="B734" s="30"/>
      <c r="C734" s="10"/>
      <c r="I734" s="30"/>
      <c r="J734" s="10"/>
      <c r="P734" s="30"/>
      <c r="Q734" s="10"/>
      <c r="W734" s="30"/>
      <c r="X734" s="10"/>
      <c r="AD734" s="30"/>
      <c r="AE734" s="35"/>
      <c r="AF734" s="35"/>
      <c r="AG734" s="10"/>
      <c r="AK734" s="30"/>
      <c r="AL734" s="10"/>
      <c r="AT734" s="30"/>
      <c r="AU734" s="10"/>
      <c r="BC734" s="30"/>
      <c r="BD734" s="10"/>
    </row>
    <row r="735" ht="15.75" customHeight="1">
      <c r="B735" s="30"/>
      <c r="C735" s="10"/>
      <c r="I735" s="30"/>
      <c r="J735" s="10"/>
      <c r="P735" s="30"/>
      <c r="Q735" s="10"/>
      <c r="W735" s="30"/>
      <c r="X735" s="10"/>
      <c r="AD735" s="30"/>
      <c r="AE735" s="35"/>
      <c r="AF735" s="35"/>
      <c r="AG735" s="10"/>
      <c r="AK735" s="30"/>
      <c r="AL735" s="10"/>
      <c r="AT735" s="30"/>
      <c r="AU735" s="10"/>
      <c r="BC735" s="30"/>
      <c r="BD735" s="10"/>
    </row>
    <row r="736" ht="15.75" customHeight="1">
      <c r="B736" s="30"/>
      <c r="C736" s="10"/>
      <c r="I736" s="30"/>
      <c r="J736" s="10"/>
      <c r="P736" s="30"/>
      <c r="Q736" s="10"/>
      <c r="W736" s="30"/>
      <c r="X736" s="10"/>
      <c r="AD736" s="30"/>
      <c r="AE736" s="35"/>
      <c r="AF736" s="35"/>
      <c r="AG736" s="10"/>
      <c r="AK736" s="30"/>
      <c r="AL736" s="10"/>
      <c r="AT736" s="30"/>
      <c r="AU736" s="10"/>
      <c r="BC736" s="30"/>
      <c r="BD736" s="10"/>
    </row>
    <row r="737" ht="15.75" customHeight="1">
      <c r="B737" s="30"/>
      <c r="C737" s="10"/>
      <c r="I737" s="30"/>
      <c r="J737" s="10"/>
      <c r="P737" s="30"/>
      <c r="Q737" s="10"/>
      <c r="W737" s="30"/>
      <c r="X737" s="10"/>
      <c r="AD737" s="30"/>
      <c r="AE737" s="35"/>
      <c r="AF737" s="35"/>
      <c r="AG737" s="10"/>
      <c r="AK737" s="30"/>
      <c r="AL737" s="10"/>
      <c r="AT737" s="30"/>
      <c r="AU737" s="10"/>
      <c r="BC737" s="30"/>
      <c r="BD737" s="10"/>
    </row>
    <row r="738" ht="15.75" customHeight="1">
      <c r="B738" s="30"/>
      <c r="C738" s="10"/>
      <c r="I738" s="30"/>
      <c r="J738" s="10"/>
      <c r="P738" s="30"/>
      <c r="Q738" s="10"/>
      <c r="W738" s="30"/>
      <c r="X738" s="10"/>
      <c r="AD738" s="30"/>
      <c r="AE738" s="35"/>
      <c r="AF738" s="35"/>
      <c r="AG738" s="10"/>
      <c r="AK738" s="30"/>
      <c r="AL738" s="10"/>
      <c r="AT738" s="30"/>
      <c r="AU738" s="10"/>
      <c r="BC738" s="30"/>
      <c r="BD738" s="10"/>
    </row>
    <row r="739" ht="15.75" customHeight="1">
      <c r="B739" s="30"/>
      <c r="C739" s="10"/>
      <c r="I739" s="30"/>
      <c r="J739" s="10"/>
      <c r="P739" s="30"/>
      <c r="Q739" s="10"/>
      <c r="W739" s="30"/>
      <c r="X739" s="10"/>
      <c r="AD739" s="30"/>
      <c r="AE739" s="35"/>
      <c r="AF739" s="35"/>
      <c r="AG739" s="10"/>
      <c r="AK739" s="30"/>
      <c r="AL739" s="10"/>
      <c r="AT739" s="30"/>
      <c r="AU739" s="10"/>
      <c r="BC739" s="30"/>
      <c r="BD739" s="10"/>
    </row>
    <row r="740" ht="15.75" customHeight="1">
      <c r="B740" s="30"/>
      <c r="C740" s="10"/>
      <c r="I740" s="30"/>
      <c r="J740" s="10"/>
      <c r="P740" s="30"/>
      <c r="Q740" s="10"/>
      <c r="W740" s="30"/>
      <c r="X740" s="10"/>
      <c r="AD740" s="30"/>
      <c r="AE740" s="35"/>
      <c r="AF740" s="35"/>
      <c r="AG740" s="10"/>
      <c r="AK740" s="30"/>
      <c r="AL740" s="10"/>
      <c r="AT740" s="30"/>
      <c r="AU740" s="10"/>
      <c r="BC740" s="30"/>
      <c r="BD740" s="10"/>
    </row>
    <row r="741" ht="15.75" customHeight="1">
      <c r="B741" s="30"/>
      <c r="C741" s="10"/>
      <c r="I741" s="30"/>
      <c r="J741" s="10"/>
      <c r="P741" s="30"/>
      <c r="Q741" s="10"/>
      <c r="W741" s="30"/>
      <c r="X741" s="10"/>
      <c r="AD741" s="30"/>
      <c r="AE741" s="35"/>
      <c r="AF741" s="35"/>
      <c r="AG741" s="10"/>
      <c r="AK741" s="30"/>
      <c r="AL741" s="10"/>
      <c r="AT741" s="30"/>
      <c r="AU741" s="10"/>
      <c r="BC741" s="30"/>
      <c r="BD741" s="10"/>
    </row>
    <row r="742" ht="15.75" customHeight="1">
      <c r="B742" s="30"/>
      <c r="C742" s="10"/>
      <c r="I742" s="30"/>
      <c r="J742" s="10"/>
      <c r="P742" s="30"/>
      <c r="Q742" s="10"/>
      <c r="W742" s="30"/>
      <c r="X742" s="10"/>
      <c r="AD742" s="30"/>
      <c r="AE742" s="35"/>
      <c r="AF742" s="35"/>
      <c r="AG742" s="10"/>
      <c r="AK742" s="30"/>
      <c r="AL742" s="10"/>
      <c r="AT742" s="30"/>
      <c r="AU742" s="10"/>
      <c r="BC742" s="30"/>
      <c r="BD742" s="10"/>
    </row>
    <row r="743" ht="15.75" customHeight="1">
      <c r="B743" s="30"/>
      <c r="C743" s="10"/>
      <c r="I743" s="30"/>
      <c r="J743" s="10"/>
      <c r="P743" s="30"/>
      <c r="Q743" s="10"/>
      <c r="W743" s="30"/>
      <c r="X743" s="10"/>
      <c r="AD743" s="30"/>
      <c r="AE743" s="35"/>
      <c r="AF743" s="35"/>
      <c r="AG743" s="10"/>
      <c r="AK743" s="30"/>
      <c r="AL743" s="10"/>
      <c r="AT743" s="30"/>
      <c r="AU743" s="10"/>
      <c r="BC743" s="30"/>
      <c r="BD743" s="10"/>
    </row>
    <row r="744" ht="15.75" customHeight="1">
      <c r="B744" s="30"/>
      <c r="C744" s="10"/>
      <c r="I744" s="30"/>
      <c r="J744" s="10"/>
      <c r="P744" s="30"/>
      <c r="Q744" s="10"/>
      <c r="W744" s="30"/>
      <c r="X744" s="10"/>
      <c r="AD744" s="30"/>
      <c r="AE744" s="35"/>
      <c r="AF744" s="35"/>
      <c r="AG744" s="10"/>
      <c r="AK744" s="30"/>
      <c r="AL744" s="10"/>
      <c r="AT744" s="30"/>
      <c r="AU744" s="10"/>
      <c r="BC744" s="30"/>
      <c r="BD744" s="10"/>
    </row>
    <row r="745" ht="15.75" customHeight="1">
      <c r="B745" s="30"/>
      <c r="C745" s="10"/>
      <c r="I745" s="30"/>
      <c r="J745" s="10"/>
      <c r="P745" s="30"/>
      <c r="Q745" s="10"/>
      <c r="W745" s="30"/>
      <c r="X745" s="10"/>
      <c r="AD745" s="30"/>
      <c r="AE745" s="35"/>
      <c r="AF745" s="35"/>
      <c r="AG745" s="10"/>
      <c r="AK745" s="30"/>
      <c r="AL745" s="10"/>
      <c r="AT745" s="30"/>
      <c r="AU745" s="10"/>
      <c r="BC745" s="30"/>
      <c r="BD745" s="10"/>
    </row>
    <row r="746" ht="15.75" customHeight="1">
      <c r="B746" s="30"/>
      <c r="C746" s="10"/>
      <c r="I746" s="30"/>
      <c r="J746" s="10"/>
      <c r="P746" s="30"/>
      <c r="Q746" s="10"/>
      <c r="W746" s="30"/>
      <c r="X746" s="10"/>
      <c r="AD746" s="30"/>
      <c r="AE746" s="35"/>
      <c r="AF746" s="35"/>
      <c r="AG746" s="10"/>
      <c r="AK746" s="30"/>
      <c r="AL746" s="10"/>
      <c r="AT746" s="30"/>
      <c r="AU746" s="10"/>
      <c r="BC746" s="30"/>
      <c r="BD746" s="10"/>
    </row>
    <row r="747" ht="15.75" customHeight="1">
      <c r="B747" s="30"/>
      <c r="C747" s="10"/>
      <c r="I747" s="30"/>
      <c r="J747" s="10"/>
      <c r="P747" s="30"/>
      <c r="Q747" s="10"/>
      <c r="W747" s="30"/>
      <c r="X747" s="10"/>
      <c r="AD747" s="30"/>
      <c r="AE747" s="35"/>
      <c r="AF747" s="35"/>
      <c r="AG747" s="10"/>
      <c r="AK747" s="30"/>
      <c r="AL747" s="10"/>
      <c r="AT747" s="30"/>
      <c r="AU747" s="10"/>
      <c r="BC747" s="30"/>
      <c r="BD747" s="10"/>
    </row>
    <row r="748" ht="15.75" customHeight="1">
      <c r="B748" s="30"/>
      <c r="C748" s="10"/>
      <c r="I748" s="30"/>
      <c r="J748" s="10"/>
      <c r="P748" s="30"/>
      <c r="Q748" s="10"/>
      <c r="W748" s="30"/>
      <c r="X748" s="10"/>
      <c r="AD748" s="30"/>
      <c r="AE748" s="35"/>
      <c r="AF748" s="35"/>
      <c r="AG748" s="10"/>
      <c r="AK748" s="30"/>
      <c r="AL748" s="10"/>
      <c r="AT748" s="30"/>
      <c r="AU748" s="10"/>
      <c r="BC748" s="30"/>
      <c r="BD748" s="10"/>
    </row>
    <row r="749" ht="15.75" customHeight="1">
      <c r="B749" s="30"/>
      <c r="C749" s="10"/>
      <c r="I749" s="30"/>
      <c r="J749" s="10"/>
      <c r="P749" s="30"/>
      <c r="Q749" s="10"/>
      <c r="W749" s="30"/>
      <c r="X749" s="10"/>
      <c r="AD749" s="30"/>
      <c r="AE749" s="35"/>
      <c r="AF749" s="35"/>
      <c r="AG749" s="10"/>
      <c r="AK749" s="30"/>
      <c r="AL749" s="10"/>
      <c r="AT749" s="30"/>
      <c r="AU749" s="10"/>
      <c r="BC749" s="30"/>
      <c r="BD749" s="10"/>
    </row>
    <row r="750" ht="15.75" customHeight="1">
      <c r="B750" s="30"/>
      <c r="C750" s="10"/>
      <c r="I750" s="30"/>
      <c r="J750" s="10"/>
      <c r="P750" s="30"/>
      <c r="Q750" s="10"/>
      <c r="W750" s="30"/>
      <c r="X750" s="10"/>
      <c r="AD750" s="30"/>
      <c r="AE750" s="35"/>
      <c r="AF750" s="35"/>
      <c r="AG750" s="10"/>
      <c r="AK750" s="30"/>
      <c r="AL750" s="10"/>
      <c r="AT750" s="30"/>
      <c r="AU750" s="10"/>
      <c r="BC750" s="30"/>
      <c r="BD750" s="10"/>
    </row>
    <row r="751" ht="15.75" customHeight="1">
      <c r="B751" s="30"/>
      <c r="C751" s="10"/>
      <c r="I751" s="30"/>
      <c r="J751" s="10"/>
      <c r="P751" s="30"/>
      <c r="Q751" s="10"/>
      <c r="W751" s="30"/>
      <c r="X751" s="10"/>
      <c r="AD751" s="30"/>
      <c r="AE751" s="35"/>
      <c r="AF751" s="35"/>
      <c r="AG751" s="10"/>
      <c r="AK751" s="30"/>
      <c r="AL751" s="10"/>
      <c r="AT751" s="30"/>
      <c r="AU751" s="10"/>
      <c r="BC751" s="30"/>
      <c r="BD751" s="10"/>
    </row>
    <row r="752" ht="15.75" customHeight="1">
      <c r="B752" s="30"/>
      <c r="C752" s="10"/>
      <c r="I752" s="30"/>
      <c r="J752" s="10"/>
      <c r="P752" s="30"/>
      <c r="Q752" s="10"/>
      <c r="W752" s="30"/>
      <c r="X752" s="10"/>
      <c r="AD752" s="30"/>
      <c r="AE752" s="35"/>
      <c r="AF752" s="35"/>
      <c r="AG752" s="10"/>
      <c r="AK752" s="30"/>
      <c r="AL752" s="10"/>
      <c r="AT752" s="30"/>
      <c r="AU752" s="10"/>
      <c r="BC752" s="30"/>
      <c r="BD752" s="10"/>
    </row>
    <row r="753" ht="15.75" customHeight="1">
      <c r="B753" s="30"/>
      <c r="C753" s="10"/>
      <c r="I753" s="30"/>
      <c r="J753" s="10"/>
      <c r="P753" s="30"/>
      <c r="Q753" s="10"/>
      <c r="W753" s="30"/>
      <c r="X753" s="10"/>
      <c r="AD753" s="30"/>
      <c r="AE753" s="35"/>
      <c r="AF753" s="35"/>
      <c r="AG753" s="10"/>
      <c r="AK753" s="30"/>
      <c r="AL753" s="10"/>
      <c r="AT753" s="30"/>
      <c r="AU753" s="10"/>
      <c r="BC753" s="30"/>
      <c r="BD753" s="10"/>
    </row>
    <row r="754" ht="15.75" customHeight="1">
      <c r="B754" s="30"/>
      <c r="C754" s="10"/>
      <c r="I754" s="30"/>
      <c r="J754" s="10"/>
      <c r="P754" s="30"/>
      <c r="Q754" s="10"/>
      <c r="W754" s="30"/>
      <c r="X754" s="10"/>
      <c r="AD754" s="30"/>
      <c r="AE754" s="35"/>
      <c r="AF754" s="35"/>
      <c r="AG754" s="10"/>
      <c r="AK754" s="30"/>
      <c r="AL754" s="10"/>
      <c r="AT754" s="30"/>
      <c r="AU754" s="10"/>
      <c r="BC754" s="30"/>
      <c r="BD754" s="10"/>
    </row>
    <row r="755" ht="15.75" customHeight="1">
      <c r="B755" s="30"/>
      <c r="C755" s="10"/>
      <c r="I755" s="30"/>
      <c r="J755" s="10"/>
      <c r="P755" s="30"/>
      <c r="Q755" s="10"/>
      <c r="W755" s="30"/>
      <c r="X755" s="10"/>
      <c r="AD755" s="30"/>
      <c r="AE755" s="35"/>
      <c r="AF755" s="35"/>
      <c r="AG755" s="10"/>
      <c r="AK755" s="30"/>
      <c r="AL755" s="10"/>
      <c r="AT755" s="30"/>
      <c r="AU755" s="10"/>
      <c r="BC755" s="30"/>
      <c r="BD755" s="10"/>
    </row>
    <row r="756" ht="15.75" customHeight="1">
      <c r="B756" s="30"/>
      <c r="C756" s="10"/>
      <c r="I756" s="30"/>
      <c r="J756" s="10"/>
      <c r="P756" s="30"/>
      <c r="Q756" s="10"/>
      <c r="W756" s="30"/>
      <c r="X756" s="10"/>
      <c r="AD756" s="30"/>
      <c r="AE756" s="35"/>
      <c r="AF756" s="35"/>
      <c r="AG756" s="10"/>
      <c r="AK756" s="30"/>
      <c r="AL756" s="10"/>
      <c r="AT756" s="30"/>
      <c r="AU756" s="10"/>
      <c r="BC756" s="30"/>
      <c r="BD756" s="10"/>
    </row>
    <row r="757" ht="15.75" customHeight="1">
      <c r="B757" s="30"/>
      <c r="C757" s="10"/>
      <c r="I757" s="30"/>
      <c r="J757" s="10"/>
      <c r="P757" s="30"/>
      <c r="Q757" s="10"/>
      <c r="W757" s="30"/>
      <c r="X757" s="10"/>
      <c r="AD757" s="30"/>
      <c r="AE757" s="35"/>
      <c r="AF757" s="35"/>
      <c r="AG757" s="10"/>
      <c r="AK757" s="30"/>
      <c r="AL757" s="10"/>
      <c r="AT757" s="30"/>
      <c r="AU757" s="10"/>
      <c r="BC757" s="30"/>
      <c r="BD757" s="10"/>
    </row>
    <row r="758" ht="15.75" customHeight="1">
      <c r="B758" s="30"/>
      <c r="C758" s="10"/>
      <c r="I758" s="30"/>
      <c r="J758" s="10"/>
      <c r="P758" s="30"/>
      <c r="Q758" s="10"/>
      <c r="W758" s="30"/>
      <c r="X758" s="10"/>
      <c r="AD758" s="30"/>
      <c r="AE758" s="35"/>
      <c r="AF758" s="35"/>
      <c r="AG758" s="10"/>
      <c r="AK758" s="30"/>
      <c r="AL758" s="10"/>
      <c r="AT758" s="30"/>
      <c r="AU758" s="10"/>
      <c r="BC758" s="30"/>
      <c r="BD758" s="10"/>
    </row>
    <row r="759" ht="15.75" customHeight="1">
      <c r="B759" s="30"/>
      <c r="C759" s="10"/>
      <c r="I759" s="30"/>
      <c r="J759" s="10"/>
      <c r="P759" s="30"/>
      <c r="Q759" s="10"/>
      <c r="W759" s="30"/>
      <c r="X759" s="10"/>
      <c r="AD759" s="30"/>
      <c r="AE759" s="35"/>
      <c r="AF759" s="35"/>
      <c r="AG759" s="10"/>
      <c r="AK759" s="30"/>
      <c r="AL759" s="10"/>
      <c r="AT759" s="30"/>
      <c r="AU759" s="10"/>
      <c r="BC759" s="30"/>
      <c r="BD759" s="10"/>
    </row>
    <row r="760" ht="15.75" customHeight="1">
      <c r="B760" s="30"/>
      <c r="C760" s="10"/>
      <c r="I760" s="30"/>
      <c r="J760" s="10"/>
      <c r="P760" s="30"/>
      <c r="Q760" s="10"/>
      <c r="W760" s="30"/>
      <c r="X760" s="10"/>
      <c r="AD760" s="30"/>
      <c r="AE760" s="35"/>
      <c r="AF760" s="35"/>
      <c r="AG760" s="10"/>
      <c r="AK760" s="30"/>
      <c r="AL760" s="10"/>
      <c r="AT760" s="30"/>
      <c r="AU760" s="10"/>
      <c r="BC760" s="30"/>
      <c r="BD760" s="10"/>
    </row>
    <row r="761" ht="15.75" customHeight="1">
      <c r="B761" s="30"/>
      <c r="C761" s="10"/>
      <c r="I761" s="30"/>
      <c r="J761" s="10"/>
      <c r="P761" s="30"/>
      <c r="Q761" s="10"/>
      <c r="W761" s="30"/>
      <c r="X761" s="10"/>
      <c r="AD761" s="30"/>
      <c r="AE761" s="35"/>
      <c r="AF761" s="35"/>
      <c r="AG761" s="10"/>
      <c r="AK761" s="30"/>
      <c r="AL761" s="10"/>
      <c r="AT761" s="30"/>
      <c r="AU761" s="10"/>
      <c r="BC761" s="30"/>
      <c r="BD761" s="10"/>
    </row>
    <row r="762" ht="15.75" customHeight="1">
      <c r="B762" s="30"/>
      <c r="C762" s="10"/>
      <c r="I762" s="30"/>
      <c r="J762" s="10"/>
      <c r="P762" s="30"/>
      <c r="Q762" s="10"/>
      <c r="W762" s="30"/>
      <c r="X762" s="10"/>
      <c r="AD762" s="30"/>
      <c r="AE762" s="35"/>
      <c r="AF762" s="35"/>
      <c r="AG762" s="10"/>
      <c r="AK762" s="30"/>
      <c r="AL762" s="10"/>
      <c r="AT762" s="30"/>
      <c r="AU762" s="10"/>
      <c r="BC762" s="30"/>
      <c r="BD762" s="10"/>
    </row>
    <row r="763" ht="15.75" customHeight="1">
      <c r="B763" s="30"/>
      <c r="C763" s="10"/>
      <c r="I763" s="30"/>
      <c r="J763" s="10"/>
      <c r="P763" s="30"/>
      <c r="Q763" s="10"/>
      <c r="W763" s="30"/>
      <c r="X763" s="10"/>
      <c r="AD763" s="30"/>
      <c r="AE763" s="35"/>
      <c r="AF763" s="35"/>
      <c r="AG763" s="10"/>
      <c r="AK763" s="30"/>
      <c r="AL763" s="10"/>
      <c r="AT763" s="30"/>
      <c r="AU763" s="10"/>
      <c r="BC763" s="30"/>
      <c r="BD763" s="10"/>
    </row>
    <row r="764" ht="15.75" customHeight="1">
      <c r="B764" s="30"/>
      <c r="C764" s="10"/>
      <c r="I764" s="30"/>
      <c r="J764" s="10"/>
      <c r="P764" s="30"/>
      <c r="Q764" s="10"/>
      <c r="W764" s="30"/>
      <c r="X764" s="10"/>
      <c r="AD764" s="30"/>
      <c r="AE764" s="35"/>
      <c r="AF764" s="35"/>
      <c r="AG764" s="10"/>
      <c r="AK764" s="30"/>
      <c r="AL764" s="10"/>
      <c r="AT764" s="30"/>
      <c r="AU764" s="10"/>
      <c r="BC764" s="30"/>
      <c r="BD764" s="10"/>
    </row>
    <row r="765" ht="15.75" customHeight="1">
      <c r="B765" s="30"/>
      <c r="C765" s="10"/>
      <c r="I765" s="30"/>
      <c r="J765" s="10"/>
      <c r="P765" s="30"/>
      <c r="Q765" s="10"/>
      <c r="W765" s="30"/>
      <c r="X765" s="10"/>
      <c r="AD765" s="30"/>
      <c r="AE765" s="35"/>
      <c r="AF765" s="35"/>
      <c r="AG765" s="10"/>
      <c r="AK765" s="30"/>
      <c r="AL765" s="10"/>
      <c r="AT765" s="30"/>
      <c r="AU765" s="10"/>
      <c r="BC765" s="30"/>
      <c r="BD765" s="10"/>
    </row>
    <row r="766" ht="15.75" customHeight="1">
      <c r="B766" s="30"/>
      <c r="C766" s="10"/>
      <c r="I766" s="30"/>
      <c r="J766" s="10"/>
      <c r="P766" s="30"/>
      <c r="Q766" s="10"/>
      <c r="W766" s="30"/>
      <c r="X766" s="10"/>
      <c r="AD766" s="30"/>
      <c r="AE766" s="35"/>
      <c r="AF766" s="35"/>
      <c r="AG766" s="10"/>
      <c r="AK766" s="30"/>
      <c r="AL766" s="10"/>
      <c r="AT766" s="30"/>
      <c r="AU766" s="10"/>
      <c r="BC766" s="30"/>
      <c r="BD766" s="10"/>
    </row>
    <row r="767" ht="15.75" customHeight="1">
      <c r="B767" s="30"/>
      <c r="C767" s="10"/>
      <c r="I767" s="30"/>
      <c r="J767" s="10"/>
      <c r="P767" s="30"/>
      <c r="Q767" s="10"/>
      <c r="W767" s="30"/>
      <c r="X767" s="10"/>
      <c r="AD767" s="30"/>
      <c r="AE767" s="35"/>
      <c r="AF767" s="35"/>
      <c r="AG767" s="10"/>
      <c r="AK767" s="30"/>
      <c r="AL767" s="10"/>
      <c r="AT767" s="30"/>
      <c r="AU767" s="10"/>
      <c r="BC767" s="30"/>
      <c r="BD767" s="10"/>
    </row>
    <row r="768" ht="15.75" customHeight="1">
      <c r="B768" s="30"/>
      <c r="C768" s="10"/>
      <c r="I768" s="30"/>
      <c r="J768" s="10"/>
      <c r="P768" s="30"/>
      <c r="Q768" s="10"/>
      <c r="W768" s="30"/>
      <c r="X768" s="10"/>
      <c r="AD768" s="30"/>
      <c r="AE768" s="35"/>
      <c r="AF768" s="35"/>
      <c r="AG768" s="10"/>
      <c r="AK768" s="30"/>
      <c r="AL768" s="10"/>
      <c r="AT768" s="30"/>
      <c r="AU768" s="10"/>
      <c r="BC768" s="30"/>
      <c r="BD768" s="10"/>
    </row>
    <row r="769" ht="15.75" customHeight="1">
      <c r="B769" s="30"/>
      <c r="C769" s="10"/>
      <c r="I769" s="30"/>
      <c r="J769" s="10"/>
      <c r="P769" s="30"/>
      <c r="Q769" s="10"/>
      <c r="W769" s="30"/>
      <c r="X769" s="10"/>
      <c r="AD769" s="30"/>
      <c r="AE769" s="35"/>
      <c r="AF769" s="35"/>
      <c r="AG769" s="10"/>
      <c r="AK769" s="30"/>
      <c r="AL769" s="10"/>
      <c r="AT769" s="30"/>
      <c r="AU769" s="10"/>
      <c r="BC769" s="30"/>
      <c r="BD769" s="10"/>
    </row>
    <row r="770" ht="15.75" customHeight="1">
      <c r="B770" s="30"/>
      <c r="C770" s="10"/>
      <c r="I770" s="30"/>
      <c r="J770" s="10"/>
      <c r="P770" s="30"/>
      <c r="Q770" s="10"/>
      <c r="W770" s="30"/>
      <c r="X770" s="10"/>
      <c r="AD770" s="30"/>
      <c r="AE770" s="35"/>
      <c r="AF770" s="35"/>
      <c r="AG770" s="10"/>
      <c r="AK770" s="30"/>
      <c r="AL770" s="10"/>
      <c r="AT770" s="30"/>
      <c r="AU770" s="10"/>
      <c r="BC770" s="30"/>
      <c r="BD770" s="10"/>
    </row>
    <row r="771" ht="15.75" customHeight="1">
      <c r="B771" s="30"/>
      <c r="C771" s="10"/>
      <c r="I771" s="30"/>
      <c r="J771" s="10"/>
      <c r="P771" s="30"/>
      <c r="Q771" s="10"/>
      <c r="W771" s="30"/>
      <c r="X771" s="10"/>
      <c r="AD771" s="30"/>
      <c r="AE771" s="35"/>
      <c r="AF771" s="35"/>
      <c r="AG771" s="10"/>
      <c r="AK771" s="30"/>
      <c r="AL771" s="10"/>
      <c r="AT771" s="30"/>
      <c r="AU771" s="10"/>
      <c r="BC771" s="30"/>
      <c r="BD771" s="10"/>
    </row>
    <row r="772" ht="15.75" customHeight="1">
      <c r="B772" s="30"/>
      <c r="C772" s="10"/>
      <c r="I772" s="30"/>
      <c r="J772" s="10"/>
      <c r="P772" s="30"/>
      <c r="Q772" s="10"/>
      <c r="W772" s="30"/>
      <c r="X772" s="10"/>
      <c r="AD772" s="30"/>
      <c r="AE772" s="35"/>
      <c r="AF772" s="35"/>
      <c r="AG772" s="10"/>
      <c r="AK772" s="30"/>
      <c r="AL772" s="10"/>
      <c r="AT772" s="30"/>
      <c r="AU772" s="10"/>
      <c r="BC772" s="30"/>
      <c r="BD772" s="10"/>
    </row>
    <row r="773" ht="15.75" customHeight="1">
      <c r="B773" s="30"/>
      <c r="C773" s="10"/>
      <c r="I773" s="30"/>
      <c r="J773" s="10"/>
      <c r="P773" s="30"/>
      <c r="Q773" s="10"/>
      <c r="W773" s="30"/>
      <c r="X773" s="10"/>
      <c r="AD773" s="30"/>
      <c r="AE773" s="35"/>
      <c r="AF773" s="35"/>
      <c r="AG773" s="10"/>
      <c r="AK773" s="30"/>
      <c r="AL773" s="10"/>
      <c r="AT773" s="30"/>
      <c r="AU773" s="10"/>
      <c r="BC773" s="30"/>
      <c r="BD773" s="10"/>
    </row>
    <row r="774" ht="15.75" customHeight="1">
      <c r="B774" s="30"/>
      <c r="C774" s="10"/>
      <c r="I774" s="30"/>
      <c r="J774" s="10"/>
      <c r="P774" s="30"/>
      <c r="Q774" s="10"/>
      <c r="W774" s="30"/>
      <c r="X774" s="10"/>
      <c r="AD774" s="30"/>
      <c r="AE774" s="35"/>
      <c r="AF774" s="35"/>
      <c r="AG774" s="10"/>
      <c r="AK774" s="30"/>
      <c r="AL774" s="10"/>
      <c r="AT774" s="30"/>
      <c r="AU774" s="10"/>
      <c r="BC774" s="30"/>
      <c r="BD774" s="10"/>
    </row>
    <row r="775" ht="15.75" customHeight="1">
      <c r="B775" s="30"/>
      <c r="C775" s="10"/>
      <c r="I775" s="30"/>
      <c r="J775" s="10"/>
      <c r="P775" s="30"/>
      <c r="Q775" s="10"/>
      <c r="W775" s="30"/>
      <c r="X775" s="10"/>
      <c r="AD775" s="30"/>
      <c r="AE775" s="35"/>
      <c r="AF775" s="35"/>
      <c r="AG775" s="10"/>
      <c r="AK775" s="30"/>
      <c r="AL775" s="10"/>
      <c r="AT775" s="30"/>
      <c r="AU775" s="10"/>
      <c r="BC775" s="30"/>
      <c r="BD775" s="10"/>
    </row>
    <row r="776" ht="15.75" customHeight="1">
      <c r="B776" s="30"/>
      <c r="C776" s="10"/>
      <c r="I776" s="30"/>
      <c r="J776" s="10"/>
      <c r="P776" s="30"/>
      <c r="Q776" s="10"/>
      <c r="W776" s="30"/>
      <c r="X776" s="10"/>
      <c r="AD776" s="30"/>
      <c r="AE776" s="35"/>
      <c r="AF776" s="35"/>
      <c r="AG776" s="10"/>
      <c r="AK776" s="30"/>
      <c r="AL776" s="10"/>
      <c r="AT776" s="30"/>
      <c r="AU776" s="10"/>
      <c r="BC776" s="30"/>
      <c r="BD776" s="10"/>
    </row>
    <row r="777" ht="15.75" customHeight="1">
      <c r="B777" s="30"/>
      <c r="C777" s="10"/>
      <c r="I777" s="30"/>
      <c r="J777" s="10"/>
      <c r="P777" s="30"/>
      <c r="Q777" s="10"/>
      <c r="W777" s="30"/>
      <c r="X777" s="10"/>
      <c r="AD777" s="30"/>
      <c r="AE777" s="35"/>
      <c r="AF777" s="35"/>
      <c r="AG777" s="10"/>
      <c r="AK777" s="30"/>
      <c r="AL777" s="10"/>
      <c r="AT777" s="30"/>
      <c r="AU777" s="10"/>
      <c r="BC777" s="30"/>
      <c r="BD777" s="10"/>
    </row>
    <row r="778" ht="15.75" customHeight="1">
      <c r="B778" s="30"/>
      <c r="C778" s="10"/>
      <c r="I778" s="30"/>
      <c r="J778" s="10"/>
      <c r="P778" s="30"/>
      <c r="Q778" s="10"/>
      <c r="W778" s="30"/>
      <c r="X778" s="10"/>
      <c r="AD778" s="30"/>
      <c r="AE778" s="35"/>
      <c r="AF778" s="35"/>
      <c r="AG778" s="10"/>
      <c r="AK778" s="30"/>
      <c r="AL778" s="10"/>
      <c r="AT778" s="30"/>
      <c r="AU778" s="10"/>
      <c r="BC778" s="30"/>
      <c r="BD778" s="10"/>
    </row>
    <row r="779" ht="15.75" customHeight="1">
      <c r="B779" s="30"/>
      <c r="C779" s="10"/>
      <c r="I779" s="30"/>
      <c r="J779" s="10"/>
      <c r="P779" s="30"/>
      <c r="Q779" s="10"/>
      <c r="W779" s="30"/>
      <c r="X779" s="10"/>
      <c r="AD779" s="30"/>
      <c r="AE779" s="35"/>
      <c r="AF779" s="35"/>
      <c r="AG779" s="10"/>
      <c r="AK779" s="30"/>
      <c r="AL779" s="10"/>
      <c r="AT779" s="30"/>
      <c r="AU779" s="10"/>
      <c r="BC779" s="30"/>
      <c r="BD779" s="10"/>
    </row>
    <row r="780" ht="15.75" customHeight="1">
      <c r="B780" s="30"/>
      <c r="C780" s="10"/>
      <c r="I780" s="30"/>
      <c r="J780" s="10"/>
      <c r="P780" s="30"/>
      <c r="Q780" s="10"/>
      <c r="W780" s="30"/>
      <c r="X780" s="10"/>
      <c r="AD780" s="30"/>
      <c r="AE780" s="35"/>
      <c r="AF780" s="35"/>
      <c r="AG780" s="10"/>
      <c r="AK780" s="30"/>
      <c r="AL780" s="10"/>
      <c r="AT780" s="30"/>
      <c r="AU780" s="10"/>
      <c r="BC780" s="30"/>
      <c r="BD780" s="10"/>
    </row>
    <row r="781" ht="15.75" customHeight="1">
      <c r="B781" s="30"/>
      <c r="C781" s="10"/>
      <c r="I781" s="30"/>
      <c r="J781" s="10"/>
      <c r="P781" s="30"/>
      <c r="Q781" s="10"/>
      <c r="W781" s="30"/>
      <c r="X781" s="10"/>
      <c r="AD781" s="30"/>
      <c r="AE781" s="35"/>
      <c r="AF781" s="35"/>
      <c r="AG781" s="10"/>
      <c r="AK781" s="30"/>
      <c r="AL781" s="10"/>
      <c r="AT781" s="30"/>
      <c r="AU781" s="10"/>
      <c r="BC781" s="30"/>
      <c r="BD781" s="10"/>
    </row>
    <row r="782" ht="15.75" customHeight="1">
      <c r="B782" s="30"/>
      <c r="C782" s="10"/>
      <c r="I782" s="30"/>
      <c r="J782" s="10"/>
      <c r="P782" s="30"/>
      <c r="Q782" s="10"/>
      <c r="W782" s="30"/>
      <c r="X782" s="10"/>
      <c r="AD782" s="30"/>
      <c r="AE782" s="35"/>
      <c r="AF782" s="35"/>
      <c r="AG782" s="10"/>
      <c r="AK782" s="30"/>
      <c r="AL782" s="10"/>
      <c r="AT782" s="30"/>
      <c r="AU782" s="10"/>
      <c r="BC782" s="30"/>
      <c r="BD782" s="10"/>
    </row>
    <row r="783" ht="15.75" customHeight="1">
      <c r="B783" s="30"/>
      <c r="C783" s="10"/>
      <c r="I783" s="30"/>
      <c r="J783" s="10"/>
      <c r="P783" s="30"/>
      <c r="Q783" s="10"/>
      <c r="W783" s="30"/>
      <c r="X783" s="10"/>
      <c r="AD783" s="30"/>
      <c r="AE783" s="35"/>
      <c r="AF783" s="35"/>
      <c r="AG783" s="10"/>
      <c r="AK783" s="30"/>
      <c r="AL783" s="10"/>
      <c r="AT783" s="30"/>
      <c r="AU783" s="10"/>
      <c r="BC783" s="30"/>
      <c r="BD783" s="10"/>
    </row>
    <row r="784" ht="15.75" customHeight="1">
      <c r="B784" s="30"/>
      <c r="C784" s="10"/>
      <c r="I784" s="30"/>
      <c r="J784" s="10"/>
      <c r="P784" s="30"/>
      <c r="Q784" s="10"/>
      <c r="W784" s="30"/>
      <c r="X784" s="10"/>
      <c r="AD784" s="30"/>
      <c r="AE784" s="35"/>
      <c r="AF784" s="35"/>
      <c r="AG784" s="10"/>
      <c r="AK784" s="30"/>
      <c r="AL784" s="10"/>
      <c r="AT784" s="30"/>
      <c r="AU784" s="10"/>
      <c r="BC784" s="30"/>
      <c r="BD784" s="10"/>
    </row>
    <row r="785" ht="15.75" customHeight="1">
      <c r="B785" s="30"/>
      <c r="C785" s="10"/>
      <c r="I785" s="30"/>
      <c r="J785" s="10"/>
      <c r="P785" s="30"/>
      <c r="Q785" s="10"/>
      <c r="W785" s="30"/>
      <c r="X785" s="10"/>
      <c r="AD785" s="30"/>
      <c r="AE785" s="35"/>
      <c r="AF785" s="35"/>
      <c r="AG785" s="10"/>
      <c r="AK785" s="30"/>
      <c r="AL785" s="10"/>
      <c r="AT785" s="30"/>
      <c r="AU785" s="10"/>
      <c r="BC785" s="30"/>
      <c r="BD785" s="10"/>
    </row>
    <row r="786" ht="15.75" customHeight="1">
      <c r="B786" s="30"/>
      <c r="C786" s="10"/>
      <c r="I786" s="30"/>
      <c r="J786" s="10"/>
      <c r="P786" s="30"/>
      <c r="Q786" s="10"/>
      <c r="W786" s="30"/>
      <c r="X786" s="10"/>
      <c r="AD786" s="30"/>
      <c r="AE786" s="35"/>
      <c r="AF786" s="35"/>
      <c r="AG786" s="10"/>
      <c r="AK786" s="30"/>
      <c r="AL786" s="10"/>
      <c r="AT786" s="30"/>
      <c r="AU786" s="10"/>
      <c r="BC786" s="30"/>
      <c r="BD786" s="10"/>
    </row>
    <row r="787" ht="15.75" customHeight="1">
      <c r="B787" s="30"/>
      <c r="C787" s="10"/>
      <c r="I787" s="30"/>
      <c r="J787" s="10"/>
      <c r="P787" s="30"/>
      <c r="Q787" s="10"/>
      <c r="W787" s="30"/>
      <c r="X787" s="10"/>
      <c r="AD787" s="30"/>
      <c r="AE787" s="35"/>
      <c r="AF787" s="35"/>
      <c r="AG787" s="10"/>
      <c r="AK787" s="30"/>
      <c r="AL787" s="10"/>
      <c r="AT787" s="30"/>
      <c r="AU787" s="10"/>
      <c r="BC787" s="30"/>
      <c r="BD787" s="10"/>
    </row>
    <row r="788" ht="15.75" customHeight="1">
      <c r="B788" s="30"/>
      <c r="C788" s="10"/>
      <c r="I788" s="30"/>
      <c r="J788" s="10"/>
      <c r="P788" s="30"/>
      <c r="Q788" s="10"/>
      <c r="W788" s="30"/>
      <c r="X788" s="10"/>
      <c r="AD788" s="30"/>
      <c r="AE788" s="35"/>
      <c r="AF788" s="35"/>
      <c r="AG788" s="10"/>
      <c r="AK788" s="30"/>
      <c r="AL788" s="10"/>
      <c r="AT788" s="30"/>
      <c r="AU788" s="10"/>
      <c r="BC788" s="30"/>
      <c r="BD788" s="10"/>
    </row>
    <row r="789" ht="15.75" customHeight="1">
      <c r="B789" s="30"/>
      <c r="C789" s="10"/>
      <c r="I789" s="30"/>
      <c r="J789" s="10"/>
      <c r="P789" s="30"/>
      <c r="Q789" s="10"/>
      <c r="W789" s="30"/>
      <c r="X789" s="10"/>
      <c r="AD789" s="30"/>
      <c r="AE789" s="35"/>
      <c r="AF789" s="35"/>
      <c r="AG789" s="10"/>
      <c r="AK789" s="30"/>
      <c r="AL789" s="10"/>
      <c r="AT789" s="30"/>
      <c r="AU789" s="10"/>
      <c r="BC789" s="30"/>
      <c r="BD789" s="10"/>
    </row>
    <row r="790" ht="15.75" customHeight="1">
      <c r="B790" s="30"/>
      <c r="C790" s="10"/>
      <c r="I790" s="30"/>
      <c r="J790" s="10"/>
      <c r="P790" s="30"/>
      <c r="Q790" s="10"/>
      <c r="W790" s="30"/>
      <c r="X790" s="10"/>
      <c r="AD790" s="30"/>
      <c r="AE790" s="35"/>
      <c r="AF790" s="35"/>
      <c r="AG790" s="10"/>
      <c r="AK790" s="30"/>
      <c r="AL790" s="10"/>
      <c r="AT790" s="30"/>
      <c r="AU790" s="10"/>
      <c r="BC790" s="30"/>
      <c r="BD790" s="10"/>
    </row>
    <row r="791" ht="15.75" customHeight="1">
      <c r="B791" s="30"/>
      <c r="C791" s="10"/>
      <c r="I791" s="30"/>
      <c r="J791" s="10"/>
      <c r="P791" s="30"/>
      <c r="Q791" s="10"/>
      <c r="W791" s="30"/>
      <c r="X791" s="10"/>
      <c r="AD791" s="30"/>
      <c r="AE791" s="35"/>
      <c r="AF791" s="35"/>
      <c r="AG791" s="10"/>
      <c r="AK791" s="30"/>
      <c r="AL791" s="10"/>
      <c r="AT791" s="30"/>
      <c r="AU791" s="10"/>
      <c r="BC791" s="30"/>
      <c r="BD791" s="10"/>
    </row>
    <row r="792" ht="15.75" customHeight="1">
      <c r="B792" s="30"/>
      <c r="C792" s="10"/>
      <c r="I792" s="30"/>
      <c r="J792" s="10"/>
      <c r="P792" s="30"/>
      <c r="Q792" s="10"/>
      <c r="W792" s="30"/>
      <c r="X792" s="10"/>
      <c r="AD792" s="30"/>
      <c r="AE792" s="35"/>
      <c r="AF792" s="35"/>
      <c r="AG792" s="10"/>
      <c r="AK792" s="30"/>
      <c r="AL792" s="10"/>
      <c r="AT792" s="30"/>
      <c r="AU792" s="10"/>
      <c r="BC792" s="30"/>
      <c r="BD792" s="10"/>
    </row>
    <row r="793" ht="15.75" customHeight="1">
      <c r="B793" s="30"/>
      <c r="C793" s="10"/>
      <c r="I793" s="30"/>
      <c r="J793" s="10"/>
      <c r="P793" s="30"/>
      <c r="Q793" s="10"/>
      <c r="W793" s="30"/>
      <c r="X793" s="10"/>
      <c r="AD793" s="30"/>
      <c r="AE793" s="35"/>
      <c r="AF793" s="35"/>
      <c r="AG793" s="10"/>
      <c r="AK793" s="30"/>
      <c r="AL793" s="10"/>
      <c r="AT793" s="30"/>
      <c r="AU793" s="10"/>
      <c r="BC793" s="30"/>
      <c r="BD793" s="10"/>
    </row>
    <row r="794" ht="15.75" customHeight="1">
      <c r="B794" s="30"/>
      <c r="C794" s="10"/>
      <c r="I794" s="30"/>
      <c r="J794" s="10"/>
      <c r="P794" s="30"/>
      <c r="Q794" s="10"/>
      <c r="W794" s="30"/>
      <c r="X794" s="10"/>
      <c r="AD794" s="30"/>
      <c r="AE794" s="35"/>
      <c r="AF794" s="35"/>
      <c r="AG794" s="10"/>
      <c r="AK794" s="30"/>
      <c r="AL794" s="10"/>
      <c r="AT794" s="30"/>
      <c r="AU794" s="10"/>
      <c r="BC794" s="30"/>
      <c r="BD794" s="10"/>
    </row>
    <row r="795" ht="15.75" customHeight="1">
      <c r="B795" s="30"/>
      <c r="C795" s="10"/>
      <c r="I795" s="30"/>
      <c r="J795" s="10"/>
      <c r="P795" s="30"/>
      <c r="Q795" s="10"/>
      <c r="W795" s="30"/>
      <c r="X795" s="10"/>
      <c r="AD795" s="30"/>
      <c r="AE795" s="35"/>
      <c r="AF795" s="35"/>
      <c r="AG795" s="10"/>
      <c r="AK795" s="30"/>
      <c r="AL795" s="10"/>
      <c r="AT795" s="30"/>
      <c r="AU795" s="10"/>
      <c r="BC795" s="30"/>
      <c r="BD795" s="10"/>
    </row>
    <row r="796" ht="15.75" customHeight="1">
      <c r="B796" s="30"/>
      <c r="C796" s="10"/>
      <c r="I796" s="30"/>
      <c r="J796" s="10"/>
      <c r="P796" s="30"/>
      <c r="Q796" s="10"/>
      <c r="W796" s="30"/>
      <c r="X796" s="10"/>
      <c r="AD796" s="30"/>
      <c r="AE796" s="35"/>
      <c r="AF796" s="35"/>
      <c r="AG796" s="10"/>
      <c r="AK796" s="30"/>
      <c r="AL796" s="10"/>
      <c r="AT796" s="30"/>
      <c r="AU796" s="10"/>
      <c r="BC796" s="30"/>
      <c r="BD796" s="10"/>
    </row>
    <row r="797" ht="15.75" customHeight="1">
      <c r="B797" s="30"/>
      <c r="C797" s="10"/>
      <c r="I797" s="30"/>
      <c r="J797" s="10"/>
      <c r="P797" s="30"/>
      <c r="Q797" s="10"/>
      <c r="W797" s="30"/>
      <c r="X797" s="10"/>
      <c r="AD797" s="30"/>
      <c r="AE797" s="35"/>
      <c r="AF797" s="35"/>
      <c r="AG797" s="10"/>
      <c r="AK797" s="30"/>
      <c r="AL797" s="10"/>
      <c r="AT797" s="30"/>
      <c r="AU797" s="10"/>
      <c r="BC797" s="30"/>
      <c r="BD797" s="10"/>
    </row>
    <row r="798" ht="15.75" customHeight="1">
      <c r="B798" s="30"/>
      <c r="C798" s="10"/>
      <c r="I798" s="30"/>
      <c r="J798" s="10"/>
      <c r="P798" s="30"/>
      <c r="Q798" s="10"/>
      <c r="W798" s="30"/>
      <c r="X798" s="10"/>
      <c r="AD798" s="30"/>
      <c r="AE798" s="35"/>
      <c r="AF798" s="35"/>
      <c r="AG798" s="10"/>
      <c r="AK798" s="30"/>
      <c r="AL798" s="10"/>
      <c r="AT798" s="30"/>
      <c r="AU798" s="10"/>
      <c r="BC798" s="30"/>
      <c r="BD798" s="10"/>
    </row>
    <row r="799" ht="15.75" customHeight="1">
      <c r="B799" s="30"/>
      <c r="C799" s="10"/>
      <c r="I799" s="30"/>
      <c r="J799" s="10"/>
      <c r="P799" s="30"/>
      <c r="Q799" s="10"/>
      <c r="W799" s="30"/>
      <c r="X799" s="10"/>
      <c r="AD799" s="30"/>
      <c r="AE799" s="35"/>
      <c r="AF799" s="35"/>
      <c r="AG799" s="10"/>
      <c r="AK799" s="30"/>
      <c r="AL799" s="10"/>
      <c r="AT799" s="30"/>
      <c r="AU799" s="10"/>
      <c r="BC799" s="30"/>
      <c r="BD799" s="10"/>
    </row>
    <row r="800" ht="15.75" customHeight="1">
      <c r="B800" s="30"/>
      <c r="C800" s="10"/>
      <c r="I800" s="30"/>
      <c r="J800" s="10"/>
      <c r="P800" s="30"/>
      <c r="Q800" s="10"/>
      <c r="W800" s="30"/>
      <c r="X800" s="10"/>
      <c r="AD800" s="30"/>
      <c r="AE800" s="35"/>
      <c r="AF800" s="35"/>
      <c r="AG800" s="10"/>
      <c r="AK800" s="30"/>
      <c r="AL800" s="10"/>
      <c r="AT800" s="30"/>
      <c r="AU800" s="10"/>
      <c r="BC800" s="30"/>
      <c r="BD800" s="10"/>
    </row>
    <row r="801" ht="15.75" customHeight="1">
      <c r="B801" s="30"/>
      <c r="C801" s="10"/>
      <c r="I801" s="30"/>
      <c r="J801" s="10"/>
      <c r="P801" s="30"/>
      <c r="Q801" s="10"/>
      <c r="W801" s="30"/>
      <c r="X801" s="10"/>
      <c r="AD801" s="30"/>
      <c r="AE801" s="35"/>
      <c r="AF801" s="35"/>
      <c r="AG801" s="10"/>
      <c r="AK801" s="30"/>
      <c r="AL801" s="10"/>
      <c r="AT801" s="30"/>
      <c r="AU801" s="10"/>
      <c r="BC801" s="30"/>
      <c r="BD801" s="10"/>
    </row>
    <row r="802" ht="15.75" customHeight="1">
      <c r="B802" s="30"/>
      <c r="C802" s="10"/>
      <c r="I802" s="30"/>
      <c r="J802" s="10"/>
      <c r="P802" s="30"/>
      <c r="Q802" s="10"/>
      <c r="W802" s="30"/>
      <c r="X802" s="10"/>
      <c r="AD802" s="30"/>
      <c r="AE802" s="35"/>
      <c r="AF802" s="35"/>
      <c r="AG802" s="10"/>
      <c r="AK802" s="30"/>
      <c r="AL802" s="10"/>
      <c r="AT802" s="30"/>
      <c r="AU802" s="10"/>
      <c r="BC802" s="30"/>
      <c r="BD802" s="10"/>
    </row>
    <row r="803" ht="15.75" customHeight="1">
      <c r="B803" s="30"/>
      <c r="C803" s="10"/>
      <c r="I803" s="30"/>
      <c r="J803" s="10"/>
      <c r="P803" s="30"/>
      <c r="Q803" s="10"/>
      <c r="W803" s="30"/>
      <c r="X803" s="10"/>
      <c r="AD803" s="30"/>
      <c r="AE803" s="35"/>
      <c r="AF803" s="35"/>
      <c r="AG803" s="10"/>
      <c r="AK803" s="30"/>
      <c r="AL803" s="10"/>
      <c r="AT803" s="30"/>
      <c r="AU803" s="10"/>
      <c r="BC803" s="30"/>
      <c r="BD803" s="10"/>
    </row>
    <row r="804" ht="15.75" customHeight="1">
      <c r="B804" s="30"/>
      <c r="C804" s="10"/>
      <c r="I804" s="30"/>
      <c r="J804" s="10"/>
      <c r="P804" s="30"/>
      <c r="Q804" s="10"/>
      <c r="W804" s="30"/>
      <c r="X804" s="10"/>
      <c r="AD804" s="30"/>
      <c r="AE804" s="35"/>
      <c r="AF804" s="35"/>
      <c r="AG804" s="10"/>
      <c r="AK804" s="30"/>
      <c r="AL804" s="10"/>
      <c r="AT804" s="30"/>
      <c r="AU804" s="10"/>
      <c r="BC804" s="30"/>
      <c r="BD804" s="10"/>
    </row>
    <row r="805" ht="15.75" customHeight="1">
      <c r="B805" s="30"/>
      <c r="C805" s="10"/>
      <c r="I805" s="30"/>
      <c r="J805" s="10"/>
      <c r="P805" s="30"/>
      <c r="Q805" s="10"/>
      <c r="W805" s="30"/>
      <c r="X805" s="10"/>
      <c r="AD805" s="30"/>
      <c r="AE805" s="35"/>
      <c r="AF805" s="35"/>
      <c r="AG805" s="10"/>
      <c r="AK805" s="30"/>
      <c r="AL805" s="10"/>
      <c r="AT805" s="30"/>
      <c r="AU805" s="10"/>
      <c r="BC805" s="30"/>
      <c r="BD805" s="10"/>
    </row>
    <row r="806" ht="15.75" customHeight="1">
      <c r="B806" s="30"/>
      <c r="C806" s="10"/>
      <c r="I806" s="30"/>
      <c r="J806" s="10"/>
      <c r="P806" s="30"/>
      <c r="Q806" s="10"/>
      <c r="W806" s="30"/>
      <c r="X806" s="10"/>
      <c r="AD806" s="30"/>
      <c r="AE806" s="35"/>
      <c r="AF806" s="35"/>
      <c r="AG806" s="10"/>
      <c r="AK806" s="30"/>
      <c r="AL806" s="10"/>
      <c r="AT806" s="30"/>
      <c r="AU806" s="10"/>
      <c r="BC806" s="30"/>
      <c r="BD806" s="10"/>
    </row>
    <row r="807" ht="15.75" customHeight="1">
      <c r="B807" s="30"/>
      <c r="C807" s="10"/>
      <c r="I807" s="30"/>
      <c r="J807" s="10"/>
      <c r="P807" s="30"/>
      <c r="Q807" s="10"/>
      <c r="W807" s="30"/>
      <c r="X807" s="10"/>
      <c r="AD807" s="30"/>
      <c r="AE807" s="35"/>
      <c r="AF807" s="35"/>
      <c r="AG807" s="10"/>
      <c r="AK807" s="30"/>
      <c r="AL807" s="10"/>
      <c r="AT807" s="30"/>
      <c r="AU807" s="10"/>
      <c r="BC807" s="30"/>
      <c r="BD807" s="10"/>
    </row>
    <row r="808" ht="15.75" customHeight="1">
      <c r="B808" s="30"/>
      <c r="C808" s="10"/>
      <c r="I808" s="30"/>
      <c r="J808" s="10"/>
      <c r="P808" s="30"/>
      <c r="Q808" s="10"/>
      <c r="W808" s="30"/>
      <c r="X808" s="10"/>
      <c r="AD808" s="30"/>
      <c r="AE808" s="35"/>
      <c r="AF808" s="35"/>
      <c r="AG808" s="10"/>
      <c r="AK808" s="30"/>
      <c r="AL808" s="10"/>
      <c r="AT808" s="30"/>
      <c r="AU808" s="10"/>
      <c r="BC808" s="30"/>
      <c r="BD808" s="10"/>
    </row>
    <row r="809" ht="15.75" customHeight="1">
      <c r="B809" s="30"/>
      <c r="C809" s="10"/>
      <c r="I809" s="30"/>
      <c r="J809" s="10"/>
      <c r="P809" s="30"/>
      <c r="Q809" s="10"/>
      <c r="W809" s="30"/>
      <c r="X809" s="10"/>
      <c r="AD809" s="30"/>
      <c r="AE809" s="35"/>
      <c r="AF809" s="35"/>
      <c r="AG809" s="10"/>
      <c r="AK809" s="30"/>
      <c r="AL809" s="10"/>
      <c r="AT809" s="30"/>
      <c r="AU809" s="10"/>
      <c r="BC809" s="30"/>
      <c r="BD809" s="10"/>
    </row>
    <row r="810" ht="15.75" customHeight="1">
      <c r="B810" s="30"/>
      <c r="C810" s="10"/>
      <c r="I810" s="30"/>
      <c r="J810" s="10"/>
      <c r="P810" s="30"/>
      <c r="Q810" s="10"/>
      <c r="W810" s="30"/>
      <c r="X810" s="10"/>
      <c r="AD810" s="30"/>
      <c r="AE810" s="35"/>
      <c r="AF810" s="35"/>
      <c r="AG810" s="10"/>
      <c r="AK810" s="30"/>
      <c r="AL810" s="10"/>
      <c r="AT810" s="30"/>
      <c r="AU810" s="10"/>
      <c r="BC810" s="30"/>
      <c r="BD810" s="10"/>
    </row>
    <row r="811" ht="15.75" customHeight="1">
      <c r="B811" s="30"/>
      <c r="C811" s="10"/>
      <c r="I811" s="30"/>
      <c r="J811" s="10"/>
      <c r="P811" s="30"/>
      <c r="Q811" s="10"/>
      <c r="W811" s="30"/>
      <c r="X811" s="10"/>
      <c r="AD811" s="30"/>
      <c r="AE811" s="35"/>
      <c r="AF811" s="35"/>
      <c r="AG811" s="10"/>
      <c r="AK811" s="30"/>
      <c r="AL811" s="10"/>
      <c r="AT811" s="30"/>
      <c r="AU811" s="10"/>
      <c r="BC811" s="30"/>
      <c r="BD811" s="10"/>
    </row>
    <row r="812" ht="15.75" customHeight="1">
      <c r="B812" s="30"/>
      <c r="C812" s="10"/>
      <c r="I812" s="30"/>
      <c r="J812" s="10"/>
      <c r="P812" s="30"/>
      <c r="Q812" s="10"/>
      <c r="W812" s="30"/>
      <c r="X812" s="10"/>
      <c r="AD812" s="30"/>
      <c r="AE812" s="35"/>
      <c r="AF812" s="35"/>
      <c r="AG812" s="10"/>
      <c r="AK812" s="30"/>
      <c r="AL812" s="10"/>
      <c r="AT812" s="30"/>
      <c r="AU812" s="10"/>
      <c r="BC812" s="30"/>
      <c r="BD812" s="10"/>
    </row>
    <row r="813" ht="15.75" customHeight="1">
      <c r="B813" s="30"/>
      <c r="C813" s="10"/>
      <c r="I813" s="30"/>
      <c r="J813" s="10"/>
      <c r="P813" s="30"/>
      <c r="Q813" s="10"/>
      <c r="W813" s="30"/>
      <c r="X813" s="10"/>
      <c r="AD813" s="30"/>
      <c r="AE813" s="35"/>
      <c r="AF813" s="35"/>
      <c r="AG813" s="10"/>
      <c r="AK813" s="30"/>
      <c r="AL813" s="10"/>
      <c r="AT813" s="30"/>
      <c r="AU813" s="10"/>
      <c r="BC813" s="30"/>
      <c r="BD813" s="10"/>
    </row>
    <row r="814" ht="15.75" customHeight="1">
      <c r="B814" s="30"/>
      <c r="C814" s="10"/>
      <c r="I814" s="30"/>
      <c r="J814" s="10"/>
      <c r="P814" s="30"/>
      <c r="Q814" s="10"/>
      <c r="W814" s="30"/>
      <c r="X814" s="10"/>
      <c r="AD814" s="30"/>
      <c r="AE814" s="35"/>
      <c r="AF814" s="35"/>
      <c r="AG814" s="10"/>
      <c r="AK814" s="30"/>
      <c r="AL814" s="10"/>
      <c r="AT814" s="30"/>
      <c r="AU814" s="10"/>
      <c r="BC814" s="30"/>
      <c r="BD814" s="10"/>
    </row>
    <row r="815" ht="15.75" customHeight="1">
      <c r="B815" s="30"/>
      <c r="C815" s="10"/>
      <c r="I815" s="30"/>
      <c r="J815" s="10"/>
      <c r="P815" s="30"/>
      <c r="Q815" s="10"/>
      <c r="W815" s="30"/>
      <c r="X815" s="10"/>
      <c r="AD815" s="30"/>
      <c r="AE815" s="35"/>
      <c r="AF815" s="35"/>
      <c r="AG815" s="10"/>
      <c r="AK815" s="30"/>
      <c r="AL815" s="10"/>
      <c r="AT815" s="30"/>
      <c r="AU815" s="10"/>
      <c r="BC815" s="30"/>
      <c r="BD815" s="10"/>
    </row>
    <row r="816" ht="15.75" customHeight="1">
      <c r="B816" s="30"/>
      <c r="C816" s="10"/>
      <c r="I816" s="30"/>
      <c r="J816" s="10"/>
      <c r="P816" s="30"/>
      <c r="Q816" s="10"/>
      <c r="W816" s="30"/>
      <c r="X816" s="10"/>
      <c r="AD816" s="30"/>
      <c r="AE816" s="35"/>
      <c r="AF816" s="35"/>
      <c r="AG816" s="10"/>
      <c r="AK816" s="30"/>
      <c r="AL816" s="10"/>
      <c r="AT816" s="30"/>
      <c r="AU816" s="10"/>
      <c r="BC816" s="30"/>
      <c r="BD816" s="10"/>
    </row>
    <row r="817" ht="15.75" customHeight="1">
      <c r="B817" s="30"/>
      <c r="C817" s="10"/>
      <c r="I817" s="30"/>
      <c r="J817" s="10"/>
      <c r="P817" s="30"/>
      <c r="Q817" s="10"/>
      <c r="W817" s="30"/>
      <c r="X817" s="10"/>
      <c r="AD817" s="30"/>
      <c r="AE817" s="35"/>
      <c r="AF817" s="35"/>
      <c r="AG817" s="10"/>
      <c r="AK817" s="30"/>
      <c r="AL817" s="10"/>
      <c r="AT817" s="30"/>
      <c r="AU817" s="10"/>
      <c r="BC817" s="30"/>
      <c r="BD817" s="10"/>
    </row>
    <row r="818" ht="15.75" customHeight="1">
      <c r="B818" s="30"/>
      <c r="C818" s="10"/>
      <c r="I818" s="30"/>
      <c r="J818" s="10"/>
      <c r="P818" s="30"/>
      <c r="Q818" s="10"/>
      <c r="W818" s="30"/>
      <c r="X818" s="10"/>
      <c r="AD818" s="30"/>
      <c r="AE818" s="35"/>
      <c r="AF818" s="35"/>
      <c r="AG818" s="10"/>
      <c r="AK818" s="30"/>
      <c r="AL818" s="10"/>
      <c r="AT818" s="30"/>
      <c r="AU818" s="10"/>
      <c r="BC818" s="30"/>
      <c r="BD818" s="10"/>
    </row>
    <row r="819" ht="15.75" customHeight="1">
      <c r="B819" s="30"/>
      <c r="C819" s="10"/>
      <c r="I819" s="30"/>
      <c r="J819" s="10"/>
      <c r="P819" s="30"/>
      <c r="Q819" s="10"/>
      <c r="W819" s="30"/>
      <c r="X819" s="10"/>
      <c r="AD819" s="30"/>
      <c r="AE819" s="35"/>
      <c r="AF819" s="35"/>
      <c r="AG819" s="10"/>
      <c r="AK819" s="30"/>
      <c r="AL819" s="10"/>
      <c r="AT819" s="30"/>
      <c r="AU819" s="10"/>
      <c r="BC819" s="30"/>
      <c r="BD819" s="10"/>
    </row>
    <row r="820" ht="15.75" customHeight="1">
      <c r="B820" s="30"/>
      <c r="C820" s="10"/>
      <c r="I820" s="30"/>
      <c r="J820" s="10"/>
      <c r="P820" s="30"/>
      <c r="Q820" s="10"/>
      <c r="W820" s="30"/>
      <c r="X820" s="10"/>
      <c r="AD820" s="30"/>
      <c r="AE820" s="35"/>
      <c r="AF820" s="35"/>
      <c r="AG820" s="10"/>
      <c r="AK820" s="30"/>
      <c r="AL820" s="10"/>
      <c r="AT820" s="30"/>
      <c r="AU820" s="10"/>
      <c r="BC820" s="30"/>
      <c r="BD820" s="10"/>
    </row>
    <row r="821" ht="15.75" customHeight="1">
      <c r="B821" s="30"/>
      <c r="C821" s="10"/>
      <c r="I821" s="30"/>
      <c r="J821" s="10"/>
      <c r="P821" s="30"/>
      <c r="Q821" s="10"/>
      <c r="W821" s="30"/>
      <c r="X821" s="10"/>
      <c r="AD821" s="30"/>
      <c r="AE821" s="35"/>
      <c r="AF821" s="35"/>
      <c r="AG821" s="10"/>
      <c r="AK821" s="30"/>
      <c r="AL821" s="10"/>
      <c r="AT821" s="30"/>
      <c r="AU821" s="10"/>
      <c r="BC821" s="30"/>
      <c r="BD821" s="10"/>
    </row>
    <row r="822" ht="15.75" customHeight="1">
      <c r="B822" s="30"/>
      <c r="C822" s="10"/>
      <c r="I822" s="30"/>
      <c r="J822" s="10"/>
      <c r="P822" s="30"/>
      <c r="Q822" s="10"/>
      <c r="W822" s="30"/>
      <c r="X822" s="10"/>
      <c r="AD822" s="30"/>
      <c r="AE822" s="35"/>
      <c r="AF822" s="35"/>
      <c r="AG822" s="10"/>
      <c r="AK822" s="30"/>
      <c r="AL822" s="10"/>
      <c r="AT822" s="30"/>
      <c r="AU822" s="10"/>
      <c r="BC822" s="30"/>
      <c r="BD822" s="10"/>
    </row>
    <row r="823" ht="15.75" customHeight="1">
      <c r="B823" s="30"/>
      <c r="C823" s="10"/>
      <c r="I823" s="30"/>
      <c r="J823" s="10"/>
      <c r="P823" s="30"/>
      <c r="Q823" s="10"/>
      <c r="W823" s="30"/>
      <c r="X823" s="10"/>
      <c r="AD823" s="30"/>
      <c r="AE823" s="35"/>
      <c r="AF823" s="35"/>
      <c r="AG823" s="10"/>
      <c r="AK823" s="30"/>
      <c r="AL823" s="10"/>
      <c r="AT823" s="30"/>
      <c r="AU823" s="10"/>
      <c r="BC823" s="30"/>
      <c r="BD823" s="10"/>
    </row>
    <row r="824" ht="15.75" customHeight="1">
      <c r="B824" s="30"/>
      <c r="C824" s="10"/>
      <c r="I824" s="30"/>
      <c r="J824" s="10"/>
      <c r="P824" s="30"/>
      <c r="Q824" s="10"/>
      <c r="W824" s="30"/>
      <c r="X824" s="10"/>
      <c r="AD824" s="30"/>
      <c r="AE824" s="35"/>
      <c r="AF824" s="35"/>
      <c r="AG824" s="10"/>
      <c r="AK824" s="30"/>
      <c r="AL824" s="10"/>
      <c r="AT824" s="30"/>
      <c r="AU824" s="10"/>
      <c r="BC824" s="30"/>
      <c r="BD824" s="10"/>
    </row>
    <row r="825" ht="15.75" customHeight="1">
      <c r="B825" s="30"/>
      <c r="C825" s="10"/>
      <c r="I825" s="30"/>
      <c r="J825" s="10"/>
      <c r="P825" s="30"/>
      <c r="Q825" s="10"/>
      <c r="W825" s="30"/>
      <c r="X825" s="10"/>
      <c r="AD825" s="30"/>
      <c r="AE825" s="35"/>
      <c r="AF825" s="35"/>
      <c r="AG825" s="10"/>
      <c r="AK825" s="30"/>
      <c r="AL825" s="10"/>
      <c r="AT825" s="30"/>
      <c r="AU825" s="10"/>
      <c r="BC825" s="30"/>
      <c r="BD825" s="10"/>
    </row>
    <row r="826" ht="15.75" customHeight="1">
      <c r="B826" s="30"/>
      <c r="C826" s="10"/>
      <c r="I826" s="30"/>
      <c r="J826" s="10"/>
      <c r="P826" s="30"/>
      <c r="Q826" s="10"/>
      <c r="W826" s="30"/>
      <c r="X826" s="10"/>
      <c r="AD826" s="30"/>
      <c r="AE826" s="35"/>
      <c r="AF826" s="35"/>
      <c r="AG826" s="10"/>
      <c r="AK826" s="30"/>
      <c r="AL826" s="10"/>
      <c r="AT826" s="30"/>
      <c r="AU826" s="10"/>
      <c r="BC826" s="30"/>
      <c r="BD826" s="10"/>
    </row>
    <row r="827" ht="15.75" customHeight="1">
      <c r="B827" s="30"/>
      <c r="C827" s="10"/>
      <c r="I827" s="30"/>
      <c r="J827" s="10"/>
      <c r="P827" s="30"/>
      <c r="Q827" s="10"/>
      <c r="W827" s="30"/>
      <c r="X827" s="10"/>
      <c r="AD827" s="30"/>
      <c r="AE827" s="35"/>
      <c r="AF827" s="35"/>
      <c r="AG827" s="10"/>
      <c r="AK827" s="30"/>
      <c r="AL827" s="10"/>
      <c r="AT827" s="30"/>
      <c r="AU827" s="10"/>
      <c r="BC827" s="30"/>
      <c r="BD827" s="10"/>
    </row>
    <row r="828" ht="15.75" customHeight="1">
      <c r="B828" s="30"/>
      <c r="C828" s="10"/>
      <c r="I828" s="30"/>
      <c r="J828" s="10"/>
      <c r="P828" s="30"/>
      <c r="Q828" s="10"/>
      <c r="W828" s="30"/>
      <c r="X828" s="10"/>
      <c r="AD828" s="30"/>
      <c r="AE828" s="35"/>
      <c r="AF828" s="35"/>
      <c r="AG828" s="10"/>
      <c r="AK828" s="30"/>
      <c r="AL828" s="10"/>
      <c r="AT828" s="30"/>
      <c r="AU828" s="10"/>
      <c r="BC828" s="30"/>
      <c r="BD828" s="10"/>
    </row>
    <row r="829" ht="15.75" customHeight="1">
      <c r="B829" s="30"/>
      <c r="C829" s="10"/>
      <c r="I829" s="30"/>
      <c r="J829" s="10"/>
      <c r="P829" s="30"/>
      <c r="Q829" s="10"/>
      <c r="W829" s="30"/>
      <c r="X829" s="10"/>
      <c r="AD829" s="30"/>
      <c r="AE829" s="35"/>
      <c r="AF829" s="35"/>
      <c r="AG829" s="10"/>
      <c r="AK829" s="30"/>
      <c r="AL829" s="10"/>
      <c r="AT829" s="30"/>
      <c r="AU829" s="10"/>
      <c r="BC829" s="30"/>
      <c r="BD829" s="10"/>
    </row>
    <row r="830" ht="15.75" customHeight="1">
      <c r="B830" s="30"/>
      <c r="C830" s="10"/>
      <c r="I830" s="30"/>
      <c r="J830" s="10"/>
      <c r="P830" s="30"/>
      <c r="Q830" s="10"/>
      <c r="W830" s="30"/>
      <c r="X830" s="10"/>
      <c r="AD830" s="30"/>
      <c r="AE830" s="35"/>
      <c r="AF830" s="35"/>
      <c r="AG830" s="10"/>
      <c r="AK830" s="30"/>
      <c r="AL830" s="10"/>
      <c r="AT830" s="30"/>
      <c r="AU830" s="10"/>
      <c r="BC830" s="30"/>
      <c r="BD830" s="10"/>
    </row>
    <row r="831" ht="15.75" customHeight="1">
      <c r="B831" s="30"/>
      <c r="C831" s="10"/>
      <c r="I831" s="30"/>
      <c r="J831" s="10"/>
      <c r="P831" s="30"/>
      <c r="Q831" s="10"/>
      <c r="W831" s="30"/>
      <c r="X831" s="10"/>
      <c r="AD831" s="30"/>
      <c r="AE831" s="35"/>
      <c r="AF831" s="35"/>
      <c r="AG831" s="10"/>
      <c r="AK831" s="30"/>
      <c r="AL831" s="10"/>
      <c r="AT831" s="30"/>
      <c r="AU831" s="10"/>
      <c r="BC831" s="30"/>
      <c r="BD831" s="10"/>
    </row>
    <row r="832" ht="15.75" customHeight="1">
      <c r="B832" s="30"/>
      <c r="C832" s="10"/>
      <c r="I832" s="30"/>
      <c r="J832" s="10"/>
      <c r="P832" s="30"/>
      <c r="Q832" s="10"/>
      <c r="W832" s="30"/>
      <c r="X832" s="10"/>
      <c r="AD832" s="30"/>
      <c r="AE832" s="35"/>
      <c r="AF832" s="35"/>
      <c r="AG832" s="10"/>
      <c r="AK832" s="30"/>
      <c r="AL832" s="10"/>
      <c r="AT832" s="30"/>
      <c r="AU832" s="10"/>
      <c r="BC832" s="30"/>
      <c r="BD832" s="10"/>
    </row>
    <row r="833" ht="15.75" customHeight="1">
      <c r="B833" s="30"/>
      <c r="C833" s="10"/>
      <c r="I833" s="30"/>
      <c r="J833" s="10"/>
      <c r="P833" s="30"/>
      <c r="Q833" s="10"/>
      <c r="W833" s="30"/>
      <c r="X833" s="10"/>
      <c r="AD833" s="30"/>
      <c r="AE833" s="35"/>
      <c r="AF833" s="35"/>
      <c r="AG833" s="10"/>
      <c r="AK833" s="30"/>
      <c r="AL833" s="10"/>
      <c r="AT833" s="30"/>
      <c r="AU833" s="10"/>
      <c r="BC833" s="30"/>
      <c r="BD833" s="10"/>
    </row>
    <row r="834" ht="15.75" customHeight="1">
      <c r="B834" s="30"/>
      <c r="C834" s="10"/>
      <c r="I834" s="30"/>
      <c r="J834" s="10"/>
      <c r="P834" s="30"/>
      <c r="Q834" s="10"/>
      <c r="W834" s="30"/>
      <c r="X834" s="10"/>
      <c r="AD834" s="30"/>
      <c r="AE834" s="35"/>
      <c r="AF834" s="35"/>
      <c r="AG834" s="10"/>
      <c r="AK834" s="30"/>
      <c r="AL834" s="10"/>
      <c r="AT834" s="30"/>
      <c r="AU834" s="10"/>
      <c r="BC834" s="30"/>
      <c r="BD834" s="10"/>
    </row>
    <row r="835" ht="15.75" customHeight="1">
      <c r="B835" s="30"/>
      <c r="C835" s="10"/>
      <c r="I835" s="30"/>
      <c r="J835" s="10"/>
      <c r="P835" s="30"/>
      <c r="Q835" s="10"/>
      <c r="W835" s="30"/>
      <c r="X835" s="10"/>
      <c r="AD835" s="30"/>
      <c r="AE835" s="35"/>
      <c r="AF835" s="35"/>
      <c r="AG835" s="10"/>
      <c r="AK835" s="30"/>
      <c r="AL835" s="10"/>
      <c r="AT835" s="30"/>
      <c r="AU835" s="10"/>
      <c r="BC835" s="30"/>
      <c r="BD835" s="10"/>
    </row>
    <row r="836" ht="15.75" customHeight="1">
      <c r="B836" s="30"/>
      <c r="C836" s="10"/>
      <c r="I836" s="30"/>
      <c r="J836" s="10"/>
      <c r="P836" s="30"/>
      <c r="Q836" s="10"/>
      <c r="W836" s="30"/>
      <c r="X836" s="10"/>
      <c r="AD836" s="30"/>
      <c r="AE836" s="35"/>
      <c r="AF836" s="35"/>
      <c r="AG836" s="10"/>
      <c r="AK836" s="30"/>
      <c r="AL836" s="10"/>
      <c r="AT836" s="30"/>
      <c r="AU836" s="10"/>
      <c r="BC836" s="30"/>
      <c r="BD836" s="10"/>
    </row>
    <row r="837" ht="15.75" customHeight="1">
      <c r="B837" s="30"/>
      <c r="C837" s="10"/>
      <c r="I837" s="30"/>
      <c r="J837" s="10"/>
      <c r="P837" s="30"/>
      <c r="Q837" s="10"/>
      <c r="W837" s="30"/>
      <c r="X837" s="10"/>
      <c r="AD837" s="30"/>
      <c r="AE837" s="35"/>
      <c r="AF837" s="35"/>
      <c r="AG837" s="10"/>
      <c r="AK837" s="30"/>
      <c r="AL837" s="10"/>
      <c r="AT837" s="30"/>
      <c r="AU837" s="10"/>
      <c r="BC837" s="30"/>
      <c r="BD837" s="10"/>
    </row>
    <row r="838" ht="15.75" customHeight="1">
      <c r="B838" s="30"/>
      <c r="C838" s="10"/>
      <c r="I838" s="30"/>
      <c r="J838" s="10"/>
      <c r="P838" s="30"/>
      <c r="Q838" s="10"/>
      <c r="W838" s="30"/>
      <c r="X838" s="10"/>
      <c r="AD838" s="30"/>
      <c r="AE838" s="35"/>
      <c r="AF838" s="35"/>
      <c r="AG838" s="10"/>
      <c r="AK838" s="30"/>
      <c r="AL838" s="10"/>
      <c r="AT838" s="30"/>
      <c r="AU838" s="10"/>
      <c r="BC838" s="30"/>
      <c r="BD838" s="10"/>
    </row>
    <row r="839" ht="15.75" customHeight="1">
      <c r="B839" s="30"/>
      <c r="C839" s="10"/>
      <c r="I839" s="30"/>
      <c r="J839" s="10"/>
      <c r="P839" s="30"/>
      <c r="Q839" s="10"/>
      <c r="W839" s="30"/>
      <c r="X839" s="10"/>
      <c r="AD839" s="30"/>
      <c r="AE839" s="35"/>
      <c r="AF839" s="35"/>
      <c r="AG839" s="10"/>
      <c r="AK839" s="30"/>
      <c r="AL839" s="10"/>
      <c r="AT839" s="30"/>
      <c r="AU839" s="10"/>
      <c r="BC839" s="30"/>
      <c r="BD839" s="10"/>
    </row>
    <row r="840" ht="15.75" customHeight="1">
      <c r="B840" s="30"/>
      <c r="C840" s="10"/>
      <c r="I840" s="30"/>
      <c r="J840" s="10"/>
      <c r="P840" s="30"/>
      <c r="Q840" s="10"/>
      <c r="W840" s="30"/>
      <c r="X840" s="10"/>
      <c r="AD840" s="30"/>
      <c r="AE840" s="35"/>
      <c r="AF840" s="35"/>
      <c r="AG840" s="10"/>
      <c r="AK840" s="30"/>
      <c r="AL840" s="10"/>
      <c r="AT840" s="30"/>
      <c r="AU840" s="10"/>
      <c r="BC840" s="30"/>
      <c r="BD840" s="10"/>
    </row>
    <row r="841" ht="15.75" customHeight="1">
      <c r="B841" s="30"/>
      <c r="C841" s="10"/>
      <c r="I841" s="30"/>
      <c r="J841" s="10"/>
      <c r="P841" s="30"/>
      <c r="Q841" s="10"/>
      <c r="W841" s="30"/>
      <c r="X841" s="10"/>
      <c r="AD841" s="30"/>
      <c r="AE841" s="35"/>
      <c r="AF841" s="35"/>
      <c r="AG841" s="10"/>
      <c r="AK841" s="30"/>
      <c r="AL841" s="10"/>
      <c r="AT841" s="30"/>
      <c r="AU841" s="10"/>
      <c r="BC841" s="30"/>
      <c r="BD841" s="10"/>
    </row>
    <row r="842" ht="15.75" customHeight="1">
      <c r="B842" s="30"/>
      <c r="C842" s="10"/>
      <c r="I842" s="30"/>
      <c r="J842" s="10"/>
      <c r="P842" s="30"/>
      <c r="Q842" s="10"/>
      <c r="W842" s="30"/>
      <c r="X842" s="10"/>
      <c r="AD842" s="30"/>
      <c r="AE842" s="35"/>
      <c r="AF842" s="35"/>
      <c r="AG842" s="10"/>
      <c r="AK842" s="30"/>
      <c r="AL842" s="10"/>
      <c r="AT842" s="30"/>
      <c r="AU842" s="10"/>
      <c r="BC842" s="30"/>
      <c r="BD842" s="10"/>
    </row>
    <row r="843" ht="15.75" customHeight="1">
      <c r="B843" s="30"/>
      <c r="C843" s="10"/>
      <c r="I843" s="30"/>
      <c r="J843" s="10"/>
      <c r="P843" s="30"/>
      <c r="Q843" s="10"/>
      <c r="W843" s="30"/>
      <c r="X843" s="10"/>
      <c r="AD843" s="30"/>
      <c r="AE843" s="35"/>
      <c r="AF843" s="35"/>
      <c r="AG843" s="10"/>
      <c r="AK843" s="30"/>
      <c r="AL843" s="10"/>
      <c r="AT843" s="30"/>
      <c r="AU843" s="10"/>
      <c r="BC843" s="30"/>
      <c r="BD843" s="10"/>
    </row>
    <row r="844" ht="15.75" customHeight="1">
      <c r="B844" s="30"/>
      <c r="C844" s="10"/>
      <c r="I844" s="30"/>
      <c r="J844" s="10"/>
      <c r="P844" s="30"/>
      <c r="Q844" s="10"/>
      <c r="W844" s="30"/>
      <c r="X844" s="10"/>
      <c r="AD844" s="30"/>
      <c r="AE844" s="35"/>
      <c r="AF844" s="35"/>
      <c r="AG844" s="10"/>
      <c r="AK844" s="30"/>
      <c r="AL844" s="10"/>
      <c r="AT844" s="30"/>
      <c r="AU844" s="10"/>
      <c r="BC844" s="30"/>
      <c r="BD844" s="10"/>
    </row>
    <row r="845" ht="15.75" customHeight="1">
      <c r="B845" s="30"/>
      <c r="C845" s="10"/>
      <c r="I845" s="30"/>
      <c r="J845" s="10"/>
      <c r="P845" s="30"/>
      <c r="Q845" s="10"/>
      <c r="W845" s="30"/>
      <c r="X845" s="10"/>
      <c r="AD845" s="30"/>
      <c r="AE845" s="35"/>
      <c r="AF845" s="35"/>
      <c r="AG845" s="10"/>
      <c r="AK845" s="30"/>
      <c r="AL845" s="10"/>
      <c r="AT845" s="30"/>
      <c r="AU845" s="10"/>
      <c r="BC845" s="30"/>
      <c r="BD845" s="10"/>
    </row>
    <row r="846" ht="15.75" customHeight="1">
      <c r="B846" s="30"/>
      <c r="C846" s="10"/>
      <c r="I846" s="30"/>
      <c r="J846" s="10"/>
      <c r="P846" s="30"/>
      <c r="Q846" s="10"/>
      <c r="W846" s="30"/>
      <c r="X846" s="10"/>
      <c r="AD846" s="30"/>
      <c r="AE846" s="35"/>
      <c r="AF846" s="35"/>
      <c r="AG846" s="10"/>
      <c r="AK846" s="30"/>
      <c r="AL846" s="10"/>
      <c r="AT846" s="30"/>
      <c r="AU846" s="10"/>
      <c r="BC846" s="30"/>
      <c r="BD846" s="10"/>
    </row>
    <row r="847" ht="15.75" customHeight="1">
      <c r="B847" s="30"/>
      <c r="C847" s="10"/>
      <c r="I847" s="30"/>
      <c r="J847" s="10"/>
      <c r="P847" s="30"/>
      <c r="Q847" s="10"/>
      <c r="W847" s="30"/>
      <c r="X847" s="10"/>
      <c r="AD847" s="30"/>
      <c r="AE847" s="35"/>
      <c r="AF847" s="35"/>
      <c r="AG847" s="10"/>
      <c r="AK847" s="30"/>
      <c r="AL847" s="10"/>
      <c r="AT847" s="30"/>
      <c r="AU847" s="10"/>
      <c r="BC847" s="30"/>
      <c r="BD847" s="10"/>
    </row>
    <row r="848" ht="15.75" customHeight="1">
      <c r="B848" s="30"/>
      <c r="C848" s="10"/>
      <c r="I848" s="30"/>
      <c r="J848" s="10"/>
      <c r="P848" s="30"/>
      <c r="Q848" s="10"/>
      <c r="W848" s="30"/>
      <c r="X848" s="10"/>
      <c r="AD848" s="30"/>
      <c r="AE848" s="35"/>
      <c r="AF848" s="35"/>
      <c r="AG848" s="10"/>
      <c r="AK848" s="30"/>
      <c r="AL848" s="10"/>
      <c r="AT848" s="30"/>
      <c r="AU848" s="10"/>
      <c r="BC848" s="30"/>
      <c r="BD848" s="10"/>
    </row>
    <row r="849" ht="15.75" customHeight="1">
      <c r="B849" s="30"/>
      <c r="C849" s="10"/>
      <c r="I849" s="30"/>
      <c r="J849" s="10"/>
      <c r="P849" s="30"/>
      <c r="Q849" s="10"/>
      <c r="W849" s="30"/>
      <c r="X849" s="10"/>
      <c r="AD849" s="30"/>
      <c r="AE849" s="35"/>
      <c r="AF849" s="35"/>
      <c r="AG849" s="10"/>
      <c r="AK849" s="30"/>
      <c r="AL849" s="10"/>
      <c r="AT849" s="30"/>
      <c r="AU849" s="10"/>
      <c r="BC849" s="30"/>
      <c r="BD849" s="10"/>
    </row>
    <row r="850" ht="15.75" customHeight="1">
      <c r="B850" s="30"/>
      <c r="C850" s="10"/>
      <c r="I850" s="30"/>
      <c r="J850" s="10"/>
      <c r="P850" s="30"/>
      <c r="Q850" s="10"/>
      <c r="W850" s="30"/>
      <c r="X850" s="10"/>
      <c r="AD850" s="30"/>
      <c r="AE850" s="35"/>
      <c r="AF850" s="35"/>
      <c r="AG850" s="10"/>
      <c r="AK850" s="30"/>
      <c r="AL850" s="10"/>
      <c r="AT850" s="30"/>
      <c r="AU850" s="10"/>
      <c r="BC850" s="30"/>
      <c r="BD850" s="10"/>
    </row>
    <row r="851" ht="15.75" customHeight="1">
      <c r="B851" s="30"/>
      <c r="C851" s="10"/>
      <c r="I851" s="30"/>
      <c r="J851" s="10"/>
      <c r="P851" s="30"/>
      <c r="Q851" s="10"/>
      <c r="W851" s="30"/>
      <c r="X851" s="10"/>
      <c r="AD851" s="30"/>
      <c r="AE851" s="35"/>
      <c r="AF851" s="35"/>
      <c r="AG851" s="10"/>
      <c r="AK851" s="30"/>
      <c r="AL851" s="10"/>
      <c r="AT851" s="30"/>
      <c r="AU851" s="10"/>
      <c r="BC851" s="30"/>
      <c r="BD851" s="10"/>
    </row>
    <row r="852" ht="15.75" customHeight="1">
      <c r="B852" s="30"/>
      <c r="C852" s="10"/>
      <c r="I852" s="30"/>
      <c r="J852" s="10"/>
      <c r="P852" s="30"/>
      <c r="Q852" s="10"/>
      <c r="W852" s="30"/>
      <c r="X852" s="10"/>
      <c r="AD852" s="30"/>
      <c r="AE852" s="35"/>
      <c r="AF852" s="35"/>
      <c r="AG852" s="10"/>
      <c r="AK852" s="30"/>
      <c r="AL852" s="10"/>
      <c r="AT852" s="30"/>
      <c r="AU852" s="10"/>
      <c r="BC852" s="30"/>
      <c r="BD852" s="10"/>
    </row>
    <row r="853" ht="15.75" customHeight="1">
      <c r="B853" s="30"/>
      <c r="C853" s="10"/>
      <c r="I853" s="30"/>
      <c r="J853" s="10"/>
      <c r="P853" s="30"/>
      <c r="Q853" s="10"/>
      <c r="W853" s="30"/>
      <c r="X853" s="10"/>
      <c r="AD853" s="30"/>
      <c r="AE853" s="35"/>
      <c r="AF853" s="35"/>
      <c r="AG853" s="10"/>
      <c r="AK853" s="30"/>
      <c r="AL853" s="10"/>
      <c r="AT853" s="30"/>
      <c r="AU853" s="10"/>
      <c r="BC853" s="30"/>
      <c r="BD853" s="10"/>
    </row>
    <row r="854" ht="15.75" customHeight="1">
      <c r="B854" s="30"/>
      <c r="C854" s="10"/>
      <c r="I854" s="30"/>
      <c r="J854" s="10"/>
      <c r="P854" s="30"/>
      <c r="Q854" s="10"/>
      <c r="W854" s="30"/>
      <c r="X854" s="10"/>
      <c r="AD854" s="30"/>
      <c r="AE854" s="35"/>
      <c r="AF854" s="35"/>
      <c r="AG854" s="10"/>
      <c r="AK854" s="30"/>
      <c r="AL854" s="10"/>
      <c r="AT854" s="30"/>
      <c r="AU854" s="10"/>
      <c r="BC854" s="30"/>
      <c r="BD854" s="10"/>
    </row>
    <row r="855" ht="15.75" customHeight="1">
      <c r="B855" s="30"/>
      <c r="C855" s="10"/>
      <c r="I855" s="30"/>
      <c r="J855" s="10"/>
      <c r="P855" s="30"/>
      <c r="Q855" s="10"/>
      <c r="W855" s="30"/>
      <c r="X855" s="10"/>
      <c r="AD855" s="30"/>
      <c r="AE855" s="35"/>
      <c r="AF855" s="35"/>
      <c r="AG855" s="10"/>
      <c r="AK855" s="30"/>
      <c r="AL855" s="10"/>
      <c r="AT855" s="30"/>
      <c r="AU855" s="10"/>
      <c r="BC855" s="30"/>
      <c r="BD855" s="10"/>
    </row>
    <row r="856" ht="15.75" customHeight="1">
      <c r="B856" s="30"/>
      <c r="C856" s="10"/>
      <c r="I856" s="30"/>
      <c r="J856" s="10"/>
      <c r="P856" s="30"/>
      <c r="Q856" s="10"/>
      <c r="W856" s="30"/>
      <c r="X856" s="10"/>
      <c r="AD856" s="30"/>
      <c r="AE856" s="35"/>
      <c r="AF856" s="35"/>
      <c r="AG856" s="10"/>
      <c r="AK856" s="30"/>
      <c r="AL856" s="10"/>
      <c r="AT856" s="30"/>
      <c r="AU856" s="10"/>
      <c r="BC856" s="30"/>
      <c r="BD856" s="10"/>
    </row>
    <row r="857" ht="15.75" customHeight="1">
      <c r="B857" s="30"/>
      <c r="C857" s="10"/>
      <c r="I857" s="30"/>
      <c r="J857" s="10"/>
      <c r="P857" s="30"/>
      <c r="Q857" s="10"/>
      <c r="W857" s="30"/>
      <c r="X857" s="10"/>
      <c r="AD857" s="30"/>
      <c r="AE857" s="35"/>
      <c r="AF857" s="35"/>
      <c r="AG857" s="10"/>
      <c r="AK857" s="30"/>
      <c r="AL857" s="10"/>
      <c r="AT857" s="30"/>
      <c r="AU857" s="10"/>
      <c r="BC857" s="30"/>
      <c r="BD857" s="10"/>
    </row>
    <row r="858" ht="15.75" customHeight="1">
      <c r="B858" s="30"/>
      <c r="C858" s="10"/>
      <c r="I858" s="30"/>
      <c r="J858" s="10"/>
      <c r="P858" s="30"/>
      <c r="Q858" s="10"/>
      <c r="W858" s="30"/>
      <c r="X858" s="10"/>
      <c r="AD858" s="30"/>
      <c r="AE858" s="35"/>
      <c r="AF858" s="35"/>
      <c r="AG858" s="10"/>
      <c r="AK858" s="30"/>
      <c r="AL858" s="10"/>
      <c r="AT858" s="30"/>
      <c r="AU858" s="10"/>
      <c r="BC858" s="30"/>
      <c r="BD858" s="10"/>
    </row>
    <row r="859" ht="15.75" customHeight="1">
      <c r="B859" s="30"/>
      <c r="C859" s="10"/>
      <c r="I859" s="30"/>
      <c r="J859" s="10"/>
      <c r="P859" s="30"/>
      <c r="Q859" s="10"/>
      <c r="W859" s="30"/>
      <c r="X859" s="10"/>
      <c r="AD859" s="30"/>
      <c r="AE859" s="35"/>
      <c r="AF859" s="35"/>
      <c r="AG859" s="10"/>
      <c r="AK859" s="30"/>
      <c r="AL859" s="10"/>
      <c r="AT859" s="30"/>
      <c r="AU859" s="10"/>
      <c r="BC859" s="30"/>
      <c r="BD859" s="10"/>
    </row>
    <row r="860" ht="15.75" customHeight="1">
      <c r="B860" s="30"/>
      <c r="C860" s="10"/>
      <c r="I860" s="30"/>
      <c r="J860" s="10"/>
      <c r="P860" s="30"/>
      <c r="Q860" s="10"/>
      <c r="W860" s="30"/>
      <c r="X860" s="10"/>
      <c r="AD860" s="30"/>
      <c r="AE860" s="35"/>
      <c r="AF860" s="35"/>
      <c r="AG860" s="10"/>
      <c r="AK860" s="30"/>
      <c r="AL860" s="10"/>
      <c r="AT860" s="30"/>
      <c r="AU860" s="10"/>
      <c r="BC860" s="30"/>
      <c r="BD860" s="10"/>
    </row>
    <row r="861" ht="15.75" customHeight="1">
      <c r="B861" s="30"/>
      <c r="C861" s="10"/>
      <c r="I861" s="30"/>
      <c r="J861" s="10"/>
      <c r="P861" s="30"/>
      <c r="Q861" s="10"/>
      <c r="W861" s="30"/>
      <c r="X861" s="10"/>
      <c r="AD861" s="30"/>
      <c r="AE861" s="35"/>
      <c r="AF861" s="35"/>
      <c r="AG861" s="10"/>
      <c r="AK861" s="30"/>
      <c r="AL861" s="10"/>
      <c r="AT861" s="30"/>
      <c r="AU861" s="10"/>
      <c r="BC861" s="30"/>
      <c r="BD861" s="10"/>
    </row>
    <row r="862" ht="15.75" customHeight="1">
      <c r="B862" s="30"/>
      <c r="C862" s="10"/>
      <c r="I862" s="30"/>
      <c r="J862" s="10"/>
      <c r="P862" s="30"/>
      <c r="Q862" s="10"/>
      <c r="W862" s="30"/>
      <c r="X862" s="10"/>
      <c r="AD862" s="30"/>
      <c r="AE862" s="35"/>
      <c r="AF862" s="35"/>
      <c r="AG862" s="10"/>
      <c r="AK862" s="30"/>
      <c r="AL862" s="10"/>
      <c r="AT862" s="30"/>
      <c r="AU862" s="10"/>
      <c r="BC862" s="30"/>
      <c r="BD862" s="10"/>
    </row>
    <row r="863" ht="15.75" customHeight="1">
      <c r="B863" s="30"/>
      <c r="C863" s="10"/>
      <c r="I863" s="30"/>
      <c r="J863" s="10"/>
      <c r="P863" s="30"/>
      <c r="Q863" s="10"/>
      <c r="W863" s="30"/>
      <c r="X863" s="10"/>
      <c r="AD863" s="30"/>
      <c r="AE863" s="35"/>
      <c r="AF863" s="35"/>
      <c r="AG863" s="10"/>
      <c r="AK863" s="30"/>
      <c r="AL863" s="10"/>
      <c r="AT863" s="30"/>
      <c r="AU863" s="10"/>
      <c r="BC863" s="30"/>
      <c r="BD863" s="10"/>
    </row>
    <row r="864" ht="15.75" customHeight="1">
      <c r="B864" s="30"/>
      <c r="C864" s="10"/>
      <c r="I864" s="30"/>
      <c r="J864" s="10"/>
      <c r="P864" s="30"/>
      <c r="Q864" s="10"/>
      <c r="W864" s="30"/>
      <c r="X864" s="10"/>
      <c r="AD864" s="30"/>
      <c r="AE864" s="35"/>
      <c r="AF864" s="35"/>
      <c r="AG864" s="10"/>
      <c r="AK864" s="30"/>
      <c r="AL864" s="10"/>
      <c r="AT864" s="30"/>
      <c r="AU864" s="10"/>
      <c r="BC864" s="30"/>
      <c r="BD864" s="10"/>
    </row>
    <row r="865" ht="15.75" customHeight="1">
      <c r="B865" s="30"/>
      <c r="C865" s="10"/>
      <c r="I865" s="30"/>
      <c r="J865" s="10"/>
      <c r="P865" s="30"/>
      <c r="Q865" s="10"/>
      <c r="W865" s="30"/>
      <c r="X865" s="10"/>
      <c r="AD865" s="30"/>
      <c r="AE865" s="35"/>
      <c r="AF865" s="35"/>
      <c r="AG865" s="10"/>
      <c r="AK865" s="30"/>
      <c r="AL865" s="10"/>
      <c r="AT865" s="30"/>
      <c r="AU865" s="10"/>
      <c r="BC865" s="30"/>
      <c r="BD865" s="10"/>
    </row>
    <row r="866" ht="15.75" customHeight="1">
      <c r="B866" s="30"/>
      <c r="C866" s="10"/>
      <c r="I866" s="30"/>
      <c r="J866" s="10"/>
      <c r="P866" s="30"/>
      <c r="Q866" s="10"/>
      <c r="W866" s="30"/>
      <c r="X866" s="10"/>
      <c r="AD866" s="30"/>
      <c r="AE866" s="35"/>
      <c r="AF866" s="35"/>
      <c r="AG866" s="10"/>
      <c r="AK866" s="30"/>
      <c r="AL866" s="10"/>
      <c r="AT866" s="30"/>
      <c r="AU866" s="10"/>
      <c r="BC866" s="30"/>
      <c r="BD866" s="10"/>
    </row>
    <row r="867" ht="15.75" customHeight="1">
      <c r="B867" s="30"/>
      <c r="C867" s="10"/>
      <c r="I867" s="30"/>
      <c r="J867" s="10"/>
      <c r="P867" s="30"/>
      <c r="Q867" s="10"/>
      <c r="W867" s="30"/>
      <c r="X867" s="10"/>
      <c r="AD867" s="30"/>
      <c r="AE867" s="35"/>
      <c r="AF867" s="35"/>
      <c r="AG867" s="10"/>
      <c r="AK867" s="30"/>
      <c r="AL867" s="10"/>
      <c r="AT867" s="30"/>
      <c r="AU867" s="10"/>
      <c r="BC867" s="30"/>
      <c r="BD867" s="10"/>
    </row>
    <row r="868" ht="15.75" customHeight="1">
      <c r="B868" s="30"/>
      <c r="C868" s="10"/>
      <c r="I868" s="30"/>
      <c r="J868" s="10"/>
      <c r="P868" s="30"/>
      <c r="Q868" s="10"/>
      <c r="W868" s="30"/>
      <c r="X868" s="10"/>
      <c r="AD868" s="30"/>
      <c r="AE868" s="35"/>
      <c r="AF868" s="35"/>
      <c r="AG868" s="10"/>
      <c r="AK868" s="30"/>
      <c r="AL868" s="10"/>
      <c r="AT868" s="30"/>
      <c r="AU868" s="10"/>
      <c r="BC868" s="30"/>
      <c r="BD868" s="10"/>
    </row>
    <row r="869" ht="15.75" customHeight="1">
      <c r="B869" s="30"/>
      <c r="C869" s="10"/>
      <c r="I869" s="30"/>
      <c r="J869" s="10"/>
      <c r="P869" s="30"/>
      <c r="Q869" s="10"/>
      <c r="W869" s="30"/>
      <c r="X869" s="10"/>
      <c r="AD869" s="30"/>
      <c r="AE869" s="35"/>
      <c r="AF869" s="35"/>
      <c r="AG869" s="10"/>
      <c r="AK869" s="30"/>
      <c r="AL869" s="10"/>
      <c r="AT869" s="30"/>
      <c r="AU869" s="10"/>
      <c r="BC869" s="30"/>
      <c r="BD869" s="10"/>
    </row>
    <row r="870" ht="15.75" customHeight="1">
      <c r="B870" s="30"/>
      <c r="C870" s="10"/>
      <c r="I870" s="30"/>
      <c r="J870" s="10"/>
      <c r="P870" s="30"/>
      <c r="Q870" s="10"/>
      <c r="W870" s="30"/>
      <c r="X870" s="10"/>
      <c r="AD870" s="30"/>
      <c r="AE870" s="35"/>
      <c r="AF870" s="35"/>
      <c r="AG870" s="10"/>
      <c r="AK870" s="30"/>
      <c r="AL870" s="10"/>
      <c r="AT870" s="30"/>
      <c r="AU870" s="10"/>
      <c r="BC870" s="30"/>
      <c r="BD870" s="10"/>
    </row>
    <row r="871" ht="15.75" customHeight="1">
      <c r="B871" s="30"/>
      <c r="C871" s="10"/>
      <c r="I871" s="30"/>
      <c r="J871" s="10"/>
      <c r="P871" s="30"/>
      <c r="Q871" s="10"/>
      <c r="W871" s="30"/>
      <c r="X871" s="10"/>
      <c r="AD871" s="30"/>
      <c r="AE871" s="35"/>
      <c r="AF871" s="35"/>
      <c r="AG871" s="10"/>
      <c r="AK871" s="30"/>
      <c r="AL871" s="10"/>
      <c r="AT871" s="30"/>
      <c r="AU871" s="10"/>
      <c r="BC871" s="30"/>
      <c r="BD871" s="10"/>
    </row>
    <row r="872" ht="15.75" customHeight="1">
      <c r="B872" s="30"/>
      <c r="C872" s="10"/>
      <c r="I872" s="30"/>
      <c r="J872" s="10"/>
      <c r="P872" s="30"/>
      <c r="Q872" s="10"/>
      <c r="W872" s="30"/>
      <c r="X872" s="10"/>
      <c r="AD872" s="30"/>
      <c r="AE872" s="35"/>
      <c r="AF872" s="35"/>
      <c r="AG872" s="10"/>
      <c r="AK872" s="30"/>
      <c r="AL872" s="10"/>
      <c r="AT872" s="30"/>
      <c r="AU872" s="10"/>
      <c r="BC872" s="30"/>
      <c r="BD872" s="10"/>
    </row>
    <row r="873" ht="15.75" customHeight="1">
      <c r="B873" s="30"/>
      <c r="C873" s="10"/>
      <c r="I873" s="30"/>
      <c r="J873" s="10"/>
      <c r="P873" s="30"/>
      <c r="Q873" s="10"/>
      <c r="W873" s="30"/>
      <c r="X873" s="10"/>
      <c r="AD873" s="30"/>
      <c r="AE873" s="35"/>
      <c r="AF873" s="35"/>
      <c r="AG873" s="10"/>
      <c r="AK873" s="30"/>
      <c r="AL873" s="10"/>
      <c r="AT873" s="30"/>
      <c r="AU873" s="10"/>
      <c r="BC873" s="30"/>
      <c r="BD873" s="10"/>
    </row>
    <row r="874" ht="15.75" customHeight="1">
      <c r="B874" s="30"/>
      <c r="C874" s="10"/>
      <c r="I874" s="30"/>
      <c r="J874" s="10"/>
      <c r="P874" s="30"/>
      <c r="Q874" s="10"/>
      <c r="W874" s="30"/>
      <c r="X874" s="10"/>
      <c r="AD874" s="30"/>
      <c r="AE874" s="35"/>
      <c r="AF874" s="35"/>
      <c r="AG874" s="10"/>
      <c r="AK874" s="30"/>
      <c r="AL874" s="10"/>
      <c r="AT874" s="30"/>
      <c r="AU874" s="10"/>
      <c r="BC874" s="30"/>
      <c r="BD874" s="10"/>
    </row>
    <row r="875" ht="15.75" customHeight="1">
      <c r="B875" s="30"/>
      <c r="C875" s="10"/>
      <c r="I875" s="30"/>
      <c r="J875" s="10"/>
      <c r="P875" s="30"/>
      <c r="Q875" s="10"/>
      <c r="W875" s="30"/>
      <c r="X875" s="10"/>
      <c r="AD875" s="30"/>
      <c r="AE875" s="35"/>
      <c r="AF875" s="35"/>
      <c r="AG875" s="10"/>
      <c r="AK875" s="30"/>
      <c r="AL875" s="10"/>
      <c r="AT875" s="30"/>
      <c r="AU875" s="10"/>
      <c r="BC875" s="30"/>
      <c r="BD875" s="10"/>
    </row>
    <row r="876" ht="15.75" customHeight="1">
      <c r="B876" s="30"/>
      <c r="C876" s="10"/>
      <c r="I876" s="30"/>
      <c r="J876" s="10"/>
      <c r="P876" s="30"/>
      <c r="Q876" s="10"/>
      <c r="W876" s="30"/>
      <c r="X876" s="10"/>
      <c r="AD876" s="30"/>
      <c r="AE876" s="35"/>
      <c r="AF876" s="35"/>
      <c r="AG876" s="10"/>
      <c r="AK876" s="30"/>
      <c r="AL876" s="10"/>
      <c r="AT876" s="30"/>
      <c r="AU876" s="10"/>
      <c r="BC876" s="30"/>
      <c r="BD876" s="10"/>
    </row>
    <row r="877" ht="15.75" customHeight="1">
      <c r="B877" s="30"/>
      <c r="C877" s="10"/>
      <c r="I877" s="30"/>
      <c r="J877" s="10"/>
      <c r="P877" s="30"/>
      <c r="Q877" s="10"/>
      <c r="W877" s="30"/>
      <c r="X877" s="10"/>
      <c r="AD877" s="30"/>
      <c r="AE877" s="35"/>
      <c r="AF877" s="35"/>
      <c r="AG877" s="10"/>
      <c r="AK877" s="30"/>
      <c r="AL877" s="10"/>
      <c r="AT877" s="30"/>
      <c r="AU877" s="10"/>
      <c r="BC877" s="30"/>
      <c r="BD877" s="10"/>
    </row>
    <row r="878" ht="15.75" customHeight="1">
      <c r="B878" s="30"/>
      <c r="C878" s="10"/>
      <c r="I878" s="30"/>
      <c r="J878" s="10"/>
      <c r="P878" s="30"/>
      <c r="Q878" s="10"/>
      <c r="W878" s="30"/>
      <c r="X878" s="10"/>
      <c r="AD878" s="30"/>
      <c r="AE878" s="35"/>
      <c r="AF878" s="35"/>
      <c r="AG878" s="10"/>
      <c r="AK878" s="30"/>
      <c r="AL878" s="10"/>
      <c r="AT878" s="30"/>
      <c r="AU878" s="10"/>
      <c r="BC878" s="30"/>
      <c r="BD878" s="10"/>
    </row>
    <row r="879" ht="15.75" customHeight="1">
      <c r="B879" s="30"/>
      <c r="C879" s="10"/>
      <c r="I879" s="30"/>
      <c r="J879" s="10"/>
      <c r="P879" s="30"/>
      <c r="Q879" s="10"/>
      <c r="W879" s="30"/>
      <c r="X879" s="10"/>
      <c r="AD879" s="30"/>
      <c r="AE879" s="35"/>
      <c r="AF879" s="35"/>
      <c r="AG879" s="10"/>
      <c r="AK879" s="30"/>
      <c r="AL879" s="10"/>
      <c r="AT879" s="30"/>
      <c r="AU879" s="10"/>
      <c r="BC879" s="30"/>
      <c r="BD879" s="10"/>
    </row>
    <row r="880" ht="15.75" customHeight="1">
      <c r="B880" s="30"/>
      <c r="C880" s="10"/>
      <c r="I880" s="30"/>
      <c r="J880" s="10"/>
      <c r="P880" s="30"/>
      <c r="Q880" s="10"/>
      <c r="W880" s="30"/>
      <c r="X880" s="10"/>
      <c r="AD880" s="30"/>
      <c r="AE880" s="35"/>
      <c r="AF880" s="35"/>
      <c r="AG880" s="10"/>
      <c r="AK880" s="30"/>
      <c r="AL880" s="10"/>
      <c r="AT880" s="30"/>
      <c r="AU880" s="10"/>
      <c r="BC880" s="30"/>
      <c r="BD880" s="10"/>
    </row>
    <row r="881" ht="15.75" customHeight="1">
      <c r="B881" s="30"/>
      <c r="C881" s="10"/>
      <c r="I881" s="30"/>
      <c r="J881" s="10"/>
      <c r="P881" s="30"/>
      <c r="Q881" s="10"/>
      <c r="W881" s="30"/>
      <c r="X881" s="10"/>
      <c r="AD881" s="30"/>
      <c r="AE881" s="35"/>
      <c r="AF881" s="35"/>
      <c r="AG881" s="10"/>
      <c r="AK881" s="30"/>
      <c r="AL881" s="10"/>
      <c r="AT881" s="30"/>
      <c r="AU881" s="10"/>
      <c r="BC881" s="30"/>
      <c r="BD881" s="10"/>
    </row>
    <row r="882" ht="15.75" customHeight="1">
      <c r="B882" s="30"/>
      <c r="C882" s="10"/>
      <c r="I882" s="30"/>
      <c r="J882" s="10"/>
      <c r="P882" s="30"/>
      <c r="Q882" s="10"/>
      <c r="W882" s="30"/>
      <c r="X882" s="10"/>
      <c r="AD882" s="30"/>
      <c r="AE882" s="35"/>
      <c r="AF882" s="35"/>
      <c r="AG882" s="10"/>
      <c r="AK882" s="30"/>
      <c r="AL882" s="10"/>
      <c r="AT882" s="30"/>
      <c r="AU882" s="10"/>
      <c r="BC882" s="30"/>
      <c r="BD882" s="10"/>
    </row>
    <row r="883" ht="15.75" customHeight="1">
      <c r="B883" s="30"/>
      <c r="C883" s="10"/>
      <c r="I883" s="30"/>
      <c r="J883" s="10"/>
      <c r="P883" s="30"/>
      <c r="Q883" s="10"/>
      <c r="W883" s="30"/>
      <c r="X883" s="10"/>
      <c r="AD883" s="30"/>
      <c r="AE883" s="35"/>
      <c r="AF883" s="35"/>
      <c r="AG883" s="10"/>
      <c r="AK883" s="30"/>
      <c r="AL883" s="10"/>
      <c r="AT883" s="30"/>
      <c r="AU883" s="10"/>
      <c r="BC883" s="30"/>
      <c r="BD883" s="10"/>
    </row>
    <row r="884" ht="15.75" customHeight="1">
      <c r="B884" s="30"/>
      <c r="C884" s="10"/>
      <c r="I884" s="30"/>
      <c r="J884" s="10"/>
      <c r="P884" s="30"/>
      <c r="Q884" s="10"/>
      <c r="W884" s="30"/>
      <c r="X884" s="10"/>
      <c r="AD884" s="30"/>
      <c r="AE884" s="35"/>
      <c r="AF884" s="35"/>
      <c r="AG884" s="10"/>
      <c r="AK884" s="30"/>
      <c r="AL884" s="10"/>
      <c r="AT884" s="30"/>
      <c r="AU884" s="10"/>
      <c r="BC884" s="30"/>
      <c r="BD884" s="10"/>
    </row>
    <row r="885" ht="15.75" customHeight="1">
      <c r="B885" s="30"/>
      <c r="C885" s="10"/>
      <c r="I885" s="30"/>
      <c r="J885" s="10"/>
      <c r="P885" s="30"/>
      <c r="Q885" s="10"/>
      <c r="W885" s="30"/>
      <c r="X885" s="10"/>
      <c r="AD885" s="30"/>
      <c r="AE885" s="35"/>
      <c r="AF885" s="35"/>
      <c r="AG885" s="10"/>
      <c r="AK885" s="30"/>
      <c r="AL885" s="10"/>
      <c r="AT885" s="30"/>
      <c r="AU885" s="10"/>
      <c r="BC885" s="30"/>
      <c r="BD885" s="10"/>
    </row>
    <row r="886" ht="15.75" customHeight="1">
      <c r="B886" s="30"/>
      <c r="C886" s="10"/>
      <c r="I886" s="30"/>
      <c r="J886" s="10"/>
      <c r="P886" s="30"/>
      <c r="Q886" s="10"/>
      <c r="W886" s="30"/>
      <c r="X886" s="10"/>
      <c r="AD886" s="30"/>
      <c r="AE886" s="35"/>
      <c r="AF886" s="35"/>
      <c r="AG886" s="10"/>
      <c r="AK886" s="30"/>
      <c r="AL886" s="10"/>
      <c r="AT886" s="30"/>
      <c r="AU886" s="10"/>
      <c r="BC886" s="30"/>
      <c r="BD886" s="10"/>
    </row>
    <row r="887" ht="15.75" customHeight="1">
      <c r="B887" s="30"/>
      <c r="C887" s="10"/>
      <c r="I887" s="30"/>
      <c r="J887" s="10"/>
      <c r="P887" s="30"/>
      <c r="Q887" s="10"/>
      <c r="W887" s="30"/>
      <c r="X887" s="10"/>
      <c r="AD887" s="30"/>
      <c r="AE887" s="35"/>
      <c r="AF887" s="35"/>
      <c r="AG887" s="10"/>
      <c r="AK887" s="30"/>
      <c r="AL887" s="10"/>
      <c r="AT887" s="30"/>
      <c r="AU887" s="10"/>
      <c r="BC887" s="30"/>
      <c r="BD887" s="10"/>
    </row>
    <row r="888" ht="15.75" customHeight="1">
      <c r="B888" s="30"/>
      <c r="C888" s="10"/>
      <c r="I888" s="30"/>
      <c r="J888" s="10"/>
      <c r="P888" s="30"/>
      <c r="Q888" s="10"/>
      <c r="W888" s="30"/>
      <c r="X888" s="10"/>
      <c r="AD888" s="30"/>
      <c r="AE888" s="35"/>
      <c r="AF888" s="35"/>
      <c r="AG888" s="10"/>
      <c r="AK888" s="30"/>
      <c r="AL888" s="10"/>
      <c r="AT888" s="30"/>
      <c r="AU888" s="10"/>
      <c r="BC888" s="30"/>
      <c r="BD888" s="10"/>
    </row>
    <row r="889" ht="15.75" customHeight="1">
      <c r="B889" s="30"/>
      <c r="C889" s="10"/>
      <c r="I889" s="30"/>
      <c r="J889" s="10"/>
      <c r="P889" s="30"/>
      <c r="Q889" s="10"/>
      <c r="W889" s="30"/>
      <c r="X889" s="10"/>
      <c r="AD889" s="30"/>
      <c r="AE889" s="35"/>
      <c r="AF889" s="35"/>
      <c r="AG889" s="10"/>
      <c r="AK889" s="30"/>
      <c r="AL889" s="10"/>
      <c r="AT889" s="30"/>
      <c r="AU889" s="10"/>
      <c r="BC889" s="30"/>
      <c r="BD889" s="10"/>
    </row>
    <row r="890" ht="15.75" customHeight="1">
      <c r="B890" s="30"/>
      <c r="C890" s="10"/>
      <c r="I890" s="30"/>
      <c r="J890" s="10"/>
      <c r="P890" s="30"/>
      <c r="Q890" s="10"/>
      <c r="W890" s="30"/>
      <c r="X890" s="10"/>
      <c r="AD890" s="30"/>
      <c r="AE890" s="35"/>
      <c r="AF890" s="35"/>
      <c r="AG890" s="10"/>
      <c r="AK890" s="30"/>
      <c r="AL890" s="10"/>
      <c r="AT890" s="30"/>
      <c r="AU890" s="10"/>
      <c r="BC890" s="30"/>
      <c r="BD890" s="10"/>
    </row>
    <row r="891" ht="15.75" customHeight="1">
      <c r="B891" s="30"/>
      <c r="C891" s="10"/>
      <c r="I891" s="30"/>
      <c r="J891" s="10"/>
      <c r="P891" s="30"/>
      <c r="Q891" s="10"/>
      <c r="W891" s="30"/>
      <c r="X891" s="10"/>
      <c r="AD891" s="30"/>
      <c r="AE891" s="35"/>
      <c r="AF891" s="35"/>
      <c r="AG891" s="10"/>
      <c r="AK891" s="30"/>
      <c r="AL891" s="10"/>
      <c r="AT891" s="30"/>
      <c r="AU891" s="10"/>
      <c r="BC891" s="30"/>
      <c r="BD891" s="10"/>
    </row>
    <row r="892" ht="15.75" customHeight="1">
      <c r="B892" s="30"/>
      <c r="C892" s="10"/>
      <c r="I892" s="30"/>
      <c r="J892" s="10"/>
      <c r="P892" s="30"/>
      <c r="Q892" s="10"/>
      <c r="W892" s="30"/>
      <c r="X892" s="10"/>
      <c r="AD892" s="30"/>
      <c r="AE892" s="35"/>
      <c r="AF892" s="35"/>
      <c r="AG892" s="10"/>
      <c r="AK892" s="30"/>
      <c r="AL892" s="10"/>
      <c r="AT892" s="30"/>
      <c r="AU892" s="10"/>
      <c r="BC892" s="30"/>
      <c r="BD892" s="10"/>
    </row>
    <row r="893" ht="15.75" customHeight="1">
      <c r="B893" s="30"/>
      <c r="C893" s="10"/>
      <c r="I893" s="30"/>
      <c r="J893" s="10"/>
      <c r="P893" s="30"/>
      <c r="Q893" s="10"/>
      <c r="W893" s="30"/>
      <c r="X893" s="10"/>
      <c r="AD893" s="30"/>
      <c r="AE893" s="35"/>
      <c r="AF893" s="35"/>
      <c r="AG893" s="10"/>
      <c r="AK893" s="30"/>
      <c r="AL893" s="10"/>
      <c r="AT893" s="30"/>
      <c r="AU893" s="10"/>
      <c r="BC893" s="30"/>
      <c r="BD893" s="10"/>
    </row>
    <row r="894" ht="15.75" customHeight="1">
      <c r="B894" s="30"/>
      <c r="C894" s="10"/>
      <c r="I894" s="30"/>
      <c r="J894" s="10"/>
      <c r="P894" s="30"/>
      <c r="Q894" s="10"/>
      <c r="W894" s="30"/>
      <c r="X894" s="10"/>
      <c r="AD894" s="30"/>
      <c r="AE894" s="35"/>
      <c r="AF894" s="35"/>
      <c r="AG894" s="10"/>
      <c r="AK894" s="30"/>
      <c r="AL894" s="10"/>
      <c r="AT894" s="30"/>
      <c r="AU894" s="10"/>
      <c r="BC894" s="30"/>
      <c r="BD894" s="10"/>
    </row>
    <row r="895" ht="15.75" customHeight="1">
      <c r="B895" s="30"/>
      <c r="C895" s="10"/>
      <c r="I895" s="30"/>
      <c r="J895" s="10"/>
      <c r="P895" s="30"/>
      <c r="Q895" s="10"/>
      <c r="W895" s="30"/>
      <c r="X895" s="10"/>
      <c r="AD895" s="30"/>
      <c r="AE895" s="35"/>
      <c r="AF895" s="35"/>
      <c r="AG895" s="10"/>
      <c r="AK895" s="30"/>
      <c r="AL895" s="10"/>
      <c r="AT895" s="30"/>
      <c r="AU895" s="10"/>
      <c r="BC895" s="30"/>
      <c r="BD895" s="10"/>
    </row>
    <row r="896" ht="15.75" customHeight="1">
      <c r="B896" s="30"/>
      <c r="C896" s="10"/>
      <c r="I896" s="30"/>
      <c r="J896" s="10"/>
      <c r="P896" s="30"/>
      <c r="Q896" s="10"/>
      <c r="W896" s="30"/>
      <c r="X896" s="10"/>
      <c r="AD896" s="30"/>
      <c r="AE896" s="35"/>
      <c r="AF896" s="35"/>
      <c r="AG896" s="10"/>
      <c r="AK896" s="30"/>
      <c r="AL896" s="10"/>
      <c r="AT896" s="30"/>
      <c r="AU896" s="10"/>
      <c r="BC896" s="30"/>
      <c r="BD896" s="10"/>
    </row>
    <row r="897" ht="15.75" customHeight="1">
      <c r="B897" s="30"/>
      <c r="C897" s="10"/>
      <c r="I897" s="30"/>
      <c r="J897" s="10"/>
      <c r="P897" s="30"/>
      <c r="Q897" s="10"/>
      <c r="W897" s="30"/>
      <c r="X897" s="10"/>
      <c r="AD897" s="30"/>
      <c r="AE897" s="35"/>
      <c r="AF897" s="35"/>
      <c r="AG897" s="10"/>
      <c r="AK897" s="30"/>
      <c r="AL897" s="10"/>
      <c r="AT897" s="30"/>
      <c r="AU897" s="10"/>
      <c r="BC897" s="30"/>
      <c r="BD897" s="10"/>
    </row>
    <row r="898" ht="15.75" customHeight="1">
      <c r="B898" s="30"/>
      <c r="C898" s="10"/>
      <c r="I898" s="30"/>
      <c r="J898" s="10"/>
      <c r="P898" s="30"/>
      <c r="Q898" s="10"/>
      <c r="W898" s="30"/>
      <c r="X898" s="10"/>
      <c r="AD898" s="30"/>
      <c r="AE898" s="35"/>
      <c r="AF898" s="35"/>
      <c r="AG898" s="10"/>
      <c r="AK898" s="30"/>
      <c r="AL898" s="10"/>
      <c r="AT898" s="30"/>
      <c r="AU898" s="10"/>
      <c r="BC898" s="30"/>
      <c r="BD898" s="10"/>
    </row>
    <row r="899" ht="15.75" customHeight="1">
      <c r="B899" s="30"/>
      <c r="C899" s="10"/>
      <c r="I899" s="30"/>
      <c r="J899" s="10"/>
      <c r="P899" s="30"/>
      <c r="Q899" s="10"/>
      <c r="W899" s="30"/>
      <c r="X899" s="10"/>
      <c r="AD899" s="30"/>
      <c r="AE899" s="35"/>
      <c r="AF899" s="35"/>
      <c r="AG899" s="10"/>
      <c r="AK899" s="30"/>
      <c r="AL899" s="10"/>
      <c r="AT899" s="30"/>
      <c r="AU899" s="10"/>
      <c r="BC899" s="30"/>
      <c r="BD899" s="10"/>
    </row>
    <row r="900" ht="15.75" customHeight="1">
      <c r="B900" s="30"/>
      <c r="C900" s="10"/>
      <c r="I900" s="30"/>
      <c r="J900" s="10"/>
      <c r="P900" s="30"/>
      <c r="Q900" s="10"/>
      <c r="W900" s="30"/>
      <c r="X900" s="10"/>
      <c r="AD900" s="30"/>
      <c r="AE900" s="35"/>
      <c r="AF900" s="35"/>
      <c r="AG900" s="10"/>
      <c r="AK900" s="30"/>
      <c r="AL900" s="10"/>
      <c r="AT900" s="30"/>
      <c r="AU900" s="10"/>
      <c r="BC900" s="30"/>
      <c r="BD900" s="10"/>
    </row>
    <row r="901" ht="15.75" customHeight="1">
      <c r="B901" s="30"/>
      <c r="C901" s="10"/>
      <c r="I901" s="30"/>
      <c r="J901" s="10"/>
      <c r="P901" s="30"/>
      <c r="Q901" s="10"/>
      <c r="W901" s="30"/>
      <c r="X901" s="10"/>
      <c r="AD901" s="30"/>
      <c r="AE901" s="35"/>
      <c r="AF901" s="35"/>
      <c r="AG901" s="10"/>
      <c r="AK901" s="30"/>
      <c r="AL901" s="10"/>
      <c r="AT901" s="30"/>
      <c r="AU901" s="10"/>
      <c r="BC901" s="30"/>
      <c r="BD901" s="10"/>
    </row>
    <row r="902" ht="15.75" customHeight="1">
      <c r="B902" s="30"/>
      <c r="C902" s="10"/>
      <c r="I902" s="30"/>
      <c r="J902" s="10"/>
      <c r="P902" s="30"/>
      <c r="Q902" s="10"/>
      <c r="W902" s="30"/>
      <c r="X902" s="10"/>
      <c r="AD902" s="30"/>
      <c r="AE902" s="35"/>
      <c r="AF902" s="35"/>
      <c r="AG902" s="10"/>
      <c r="AK902" s="30"/>
      <c r="AL902" s="10"/>
      <c r="AT902" s="30"/>
      <c r="AU902" s="10"/>
      <c r="BC902" s="30"/>
      <c r="BD902" s="10"/>
    </row>
    <row r="903" ht="15.75" customHeight="1">
      <c r="B903" s="30"/>
      <c r="C903" s="10"/>
      <c r="I903" s="30"/>
      <c r="J903" s="10"/>
      <c r="P903" s="30"/>
      <c r="Q903" s="10"/>
      <c r="W903" s="30"/>
      <c r="X903" s="10"/>
      <c r="AD903" s="30"/>
      <c r="AE903" s="35"/>
      <c r="AF903" s="35"/>
      <c r="AG903" s="10"/>
      <c r="AK903" s="30"/>
      <c r="AL903" s="10"/>
      <c r="AT903" s="30"/>
      <c r="AU903" s="10"/>
      <c r="BC903" s="30"/>
      <c r="BD903" s="10"/>
    </row>
    <row r="904" ht="15.75" customHeight="1">
      <c r="B904" s="30"/>
      <c r="C904" s="10"/>
      <c r="I904" s="30"/>
      <c r="J904" s="10"/>
      <c r="P904" s="30"/>
      <c r="Q904" s="10"/>
      <c r="W904" s="30"/>
      <c r="X904" s="10"/>
      <c r="AD904" s="30"/>
      <c r="AE904" s="35"/>
      <c r="AF904" s="35"/>
      <c r="AG904" s="10"/>
      <c r="AK904" s="30"/>
      <c r="AL904" s="10"/>
      <c r="AT904" s="30"/>
      <c r="AU904" s="10"/>
      <c r="BC904" s="30"/>
      <c r="BD904" s="10"/>
    </row>
    <row r="905" ht="15.75" customHeight="1">
      <c r="B905" s="30"/>
      <c r="C905" s="10"/>
      <c r="I905" s="30"/>
      <c r="J905" s="10"/>
      <c r="P905" s="30"/>
      <c r="Q905" s="10"/>
      <c r="W905" s="30"/>
      <c r="X905" s="10"/>
      <c r="AD905" s="30"/>
      <c r="AE905" s="35"/>
      <c r="AF905" s="35"/>
      <c r="AG905" s="10"/>
      <c r="AK905" s="30"/>
      <c r="AL905" s="10"/>
      <c r="AT905" s="30"/>
      <c r="AU905" s="10"/>
      <c r="BC905" s="30"/>
      <c r="BD905" s="10"/>
    </row>
    <row r="906" ht="15.75" customHeight="1">
      <c r="B906" s="30"/>
      <c r="C906" s="10"/>
      <c r="I906" s="30"/>
      <c r="J906" s="10"/>
      <c r="P906" s="30"/>
      <c r="Q906" s="10"/>
      <c r="W906" s="30"/>
      <c r="X906" s="10"/>
      <c r="AD906" s="30"/>
      <c r="AE906" s="35"/>
      <c r="AF906" s="35"/>
      <c r="AG906" s="10"/>
      <c r="AK906" s="30"/>
      <c r="AL906" s="10"/>
      <c r="AT906" s="30"/>
      <c r="AU906" s="10"/>
      <c r="BC906" s="30"/>
      <c r="BD906" s="10"/>
    </row>
    <row r="907" ht="15.75" customHeight="1">
      <c r="B907" s="30"/>
      <c r="C907" s="10"/>
      <c r="I907" s="30"/>
      <c r="J907" s="10"/>
      <c r="P907" s="30"/>
      <c r="Q907" s="10"/>
      <c r="W907" s="30"/>
      <c r="X907" s="10"/>
      <c r="AD907" s="30"/>
      <c r="AE907" s="35"/>
      <c r="AF907" s="35"/>
      <c r="AG907" s="10"/>
      <c r="AK907" s="30"/>
      <c r="AL907" s="10"/>
      <c r="AT907" s="30"/>
      <c r="AU907" s="10"/>
      <c r="BC907" s="30"/>
      <c r="BD907" s="10"/>
    </row>
    <row r="908" ht="15.75" customHeight="1">
      <c r="B908" s="30"/>
      <c r="C908" s="10"/>
      <c r="I908" s="30"/>
      <c r="J908" s="10"/>
      <c r="P908" s="30"/>
      <c r="Q908" s="10"/>
      <c r="W908" s="30"/>
      <c r="X908" s="10"/>
      <c r="AD908" s="30"/>
      <c r="AE908" s="35"/>
      <c r="AF908" s="35"/>
      <c r="AG908" s="10"/>
      <c r="AK908" s="30"/>
      <c r="AL908" s="10"/>
      <c r="AT908" s="30"/>
      <c r="AU908" s="10"/>
      <c r="BC908" s="30"/>
      <c r="BD908" s="10"/>
    </row>
    <row r="909" ht="15.75" customHeight="1">
      <c r="B909" s="30"/>
      <c r="C909" s="10"/>
      <c r="I909" s="30"/>
      <c r="J909" s="10"/>
      <c r="P909" s="30"/>
      <c r="Q909" s="10"/>
      <c r="W909" s="30"/>
      <c r="X909" s="10"/>
      <c r="AD909" s="30"/>
      <c r="AE909" s="35"/>
      <c r="AF909" s="35"/>
      <c r="AG909" s="10"/>
      <c r="AK909" s="30"/>
      <c r="AL909" s="10"/>
      <c r="AT909" s="30"/>
      <c r="AU909" s="10"/>
      <c r="BC909" s="30"/>
      <c r="BD909" s="10"/>
    </row>
    <row r="910" ht="15.75" customHeight="1">
      <c r="B910" s="30"/>
      <c r="C910" s="10"/>
      <c r="I910" s="30"/>
      <c r="J910" s="10"/>
      <c r="P910" s="30"/>
      <c r="Q910" s="10"/>
      <c r="W910" s="30"/>
      <c r="X910" s="10"/>
      <c r="AD910" s="30"/>
      <c r="AE910" s="35"/>
      <c r="AF910" s="35"/>
      <c r="AG910" s="10"/>
      <c r="AK910" s="30"/>
      <c r="AL910" s="10"/>
      <c r="AT910" s="30"/>
      <c r="AU910" s="10"/>
      <c r="BC910" s="30"/>
      <c r="BD910" s="10"/>
    </row>
    <row r="911" ht="15.75" customHeight="1">
      <c r="B911" s="30"/>
      <c r="C911" s="10"/>
      <c r="I911" s="30"/>
      <c r="J911" s="10"/>
      <c r="P911" s="30"/>
      <c r="Q911" s="10"/>
      <c r="W911" s="30"/>
      <c r="X911" s="10"/>
      <c r="AD911" s="30"/>
      <c r="AE911" s="35"/>
      <c r="AF911" s="35"/>
      <c r="AG911" s="10"/>
      <c r="AK911" s="30"/>
      <c r="AL911" s="10"/>
      <c r="AT911" s="30"/>
      <c r="AU911" s="10"/>
      <c r="BC911" s="30"/>
      <c r="BD911" s="10"/>
    </row>
    <row r="912" ht="15.75" customHeight="1">
      <c r="B912" s="30"/>
      <c r="C912" s="10"/>
      <c r="I912" s="30"/>
      <c r="J912" s="10"/>
      <c r="P912" s="30"/>
      <c r="Q912" s="10"/>
      <c r="W912" s="30"/>
      <c r="X912" s="10"/>
      <c r="AD912" s="30"/>
      <c r="AE912" s="35"/>
      <c r="AF912" s="35"/>
      <c r="AG912" s="10"/>
      <c r="AK912" s="30"/>
      <c r="AL912" s="10"/>
      <c r="AT912" s="30"/>
      <c r="AU912" s="10"/>
      <c r="BC912" s="30"/>
      <c r="BD912" s="10"/>
    </row>
    <row r="913" ht="15.75" customHeight="1">
      <c r="B913" s="30"/>
      <c r="C913" s="10"/>
      <c r="I913" s="30"/>
      <c r="J913" s="10"/>
      <c r="P913" s="30"/>
      <c r="Q913" s="10"/>
      <c r="W913" s="30"/>
      <c r="X913" s="10"/>
      <c r="AD913" s="30"/>
      <c r="AE913" s="35"/>
      <c r="AF913" s="35"/>
      <c r="AG913" s="10"/>
      <c r="AK913" s="30"/>
      <c r="AL913" s="10"/>
      <c r="AT913" s="30"/>
      <c r="AU913" s="10"/>
      <c r="BC913" s="30"/>
      <c r="BD913" s="10"/>
    </row>
    <row r="914" ht="15.75" customHeight="1">
      <c r="B914" s="30"/>
      <c r="C914" s="10"/>
      <c r="I914" s="30"/>
      <c r="J914" s="10"/>
      <c r="P914" s="30"/>
      <c r="Q914" s="10"/>
      <c r="W914" s="30"/>
      <c r="X914" s="10"/>
      <c r="AD914" s="30"/>
      <c r="AE914" s="35"/>
      <c r="AF914" s="35"/>
      <c r="AG914" s="10"/>
      <c r="AK914" s="30"/>
      <c r="AL914" s="10"/>
      <c r="AT914" s="30"/>
      <c r="AU914" s="10"/>
      <c r="BC914" s="30"/>
      <c r="BD914" s="10"/>
    </row>
    <row r="915" ht="15.75" customHeight="1">
      <c r="B915" s="30"/>
      <c r="C915" s="10"/>
      <c r="I915" s="30"/>
      <c r="J915" s="10"/>
      <c r="P915" s="30"/>
      <c r="Q915" s="10"/>
      <c r="W915" s="30"/>
      <c r="X915" s="10"/>
      <c r="AD915" s="30"/>
      <c r="AE915" s="35"/>
      <c r="AF915" s="35"/>
      <c r="AG915" s="10"/>
      <c r="AK915" s="30"/>
      <c r="AL915" s="10"/>
      <c r="AT915" s="30"/>
      <c r="AU915" s="10"/>
      <c r="BC915" s="30"/>
      <c r="BD915" s="10"/>
    </row>
    <row r="916" ht="15.75" customHeight="1">
      <c r="B916" s="30"/>
      <c r="C916" s="10"/>
      <c r="I916" s="30"/>
      <c r="J916" s="10"/>
      <c r="P916" s="30"/>
      <c r="Q916" s="10"/>
      <c r="W916" s="30"/>
      <c r="X916" s="10"/>
      <c r="AD916" s="30"/>
      <c r="AE916" s="35"/>
      <c r="AF916" s="35"/>
      <c r="AG916" s="10"/>
      <c r="AK916" s="30"/>
      <c r="AL916" s="10"/>
      <c r="AT916" s="30"/>
      <c r="AU916" s="10"/>
      <c r="BC916" s="30"/>
      <c r="BD916" s="10"/>
    </row>
    <row r="917" ht="15.75" customHeight="1">
      <c r="B917" s="30"/>
      <c r="C917" s="10"/>
      <c r="I917" s="30"/>
      <c r="J917" s="10"/>
      <c r="P917" s="30"/>
      <c r="Q917" s="10"/>
      <c r="W917" s="30"/>
      <c r="X917" s="10"/>
      <c r="AD917" s="30"/>
      <c r="AE917" s="35"/>
      <c r="AF917" s="35"/>
      <c r="AG917" s="10"/>
      <c r="AK917" s="30"/>
      <c r="AL917" s="10"/>
      <c r="AT917" s="30"/>
      <c r="AU917" s="10"/>
      <c r="BC917" s="30"/>
      <c r="BD917" s="10"/>
    </row>
    <row r="918" ht="15.75" customHeight="1">
      <c r="B918" s="30"/>
      <c r="C918" s="10"/>
      <c r="I918" s="30"/>
      <c r="J918" s="10"/>
      <c r="P918" s="30"/>
      <c r="Q918" s="10"/>
      <c r="W918" s="30"/>
      <c r="X918" s="10"/>
      <c r="AD918" s="30"/>
      <c r="AE918" s="35"/>
      <c r="AF918" s="35"/>
      <c r="AG918" s="10"/>
      <c r="AK918" s="30"/>
      <c r="AL918" s="10"/>
      <c r="AT918" s="30"/>
      <c r="AU918" s="10"/>
      <c r="BC918" s="30"/>
      <c r="BD918" s="10"/>
    </row>
    <row r="919" ht="15.75" customHeight="1">
      <c r="B919" s="30"/>
      <c r="C919" s="10"/>
      <c r="I919" s="30"/>
      <c r="J919" s="10"/>
      <c r="P919" s="30"/>
      <c r="Q919" s="10"/>
      <c r="W919" s="30"/>
      <c r="X919" s="10"/>
      <c r="AD919" s="30"/>
      <c r="AE919" s="35"/>
      <c r="AF919" s="35"/>
      <c r="AG919" s="10"/>
      <c r="AK919" s="30"/>
      <c r="AL919" s="10"/>
      <c r="AT919" s="30"/>
      <c r="AU919" s="10"/>
      <c r="BC919" s="30"/>
      <c r="BD919" s="10"/>
    </row>
    <row r="920" ht="15.75" customHeight="1">
      <c r="B920" s="30"/>
      <c r="C920" s="10"/>
      <c r="I920" s="30"/>
      <c r="J920" s="10"/>
      <c r="P920" s="30"/>
      <c r="Q920" s="10"/>
      <c r="W920" s="30"/>
      <c r="X920" s="10"/>
      <c r="AD920" s="30"/>
      <c r="AE920" s="35"/>
      <c r="AF920" s="35"/>
      <c r="AG920" s="10"/>
      <c r="AK920" s="30"/>
      <c r="AL920" s="10"/>
      <c r="AT920" s="30"/>
      <c r="AU920" s="10"/>
      <c r="BC920" s="30"/>
      <c r="BD920" s="10"/>
    </row>
    <row r="921" ht="15.75" customHeight="1">
      <c r="B921" s="30"/>
      <c r="C921" s="10"/>
      <c r="I921" s="30"/>
      <c r="J921" s="10"/>
      <c r="P921" s="30"/>
      <c r="Q921" s="10"/>
      <c r="W921" s="30"/>
      <c r="X921" s="10"/>
      <c r="AD921" s="30"/>
      <c r="AE921" s="35"/>
      <c r="AF921" s="35"/>
      <c r="AG921" s="10"/>
      <c r="AK921" s="30"/>
      <c r="AL921" s="10"/>
      <c r="AT921" s="30"/>
      <c r="AU921" s="10"/>
      <c r="BC921" s="30"/>
      <c r="BD921" s="10"/>
    </row>
    <row r="922" ht="15.75" customHeight="1">
      <c r="B922" s="30"/>
      <c r="C922" s="10"/>
      <c r="I922" s="30"/>
      <c r="J922" s="10"/>
      <c r="P922" s="30"/>
      <c r="Q922" s="10"/>
      <c r="W922" s="30"/>
      <c r="X922" s="10"/>
      <c r="AD922" s="30"/>
      <c r="AE922" s="35"/>
      <c r="AF922" s="35"/>
      <c r="AG922" s="10"/>
      <c r="AK922" s="30"/>
      <c r="AL922" s="10"/>
      <c r="AT922" s="30"/>
      <c r="AU922" s="10"/>
      <c r="BC922" s="30"/>
      <c r="BD922" s="10"/>
    </row>
    <row r="923" ht="15.75" customHeight="1">
      <c r="B923" s="30"/>
      <c r="C923" s="10"/>
      <c r="I923" s="30"/>
      <c r="J923" s="10"/>
      <c r="P923" s="30"/>
      <c r="Q923" s="10"/>
      <c r="W923" s="30"/>
      <c r="X923" s="10"/>
      <c r="AD923" s="30"/>
      <c r="AE923" s="35"/>
      <c r="AF923" s="35"/>
      <c r="AG923" s="10"/>
      <c r="AK923" s="30"/>
      <c r="AL923" s="10"/>
      <c r="AT923" s="30"/>
      <c r="AU923" s="10"/>
      <c r="BC923" s="30"/>
      <c r="BD923" s="10"/>
    </row>
    <row r="924" ht="15.75" customHeight="1">
      <c r="B924" s="30"/>
      <c r="C924" s="10"/>
      <c r="I924" s="30"/>
      <c r="J924" s="10"/>
      <c r="P924" s="30"/>
      <c r="Q924" s="10"/>
      <c r="W924" s="30"/>
      <c r="X924" s="10"/>
      <c r="AD924" s="30"/>
      <c r="AE924" s="35"/>
      <c r="AF924" s="35"/>
      <c r="AG924" s="10"/>
      <c r="AK924" s="30"/>
      <c r="AL924" s="10"/>
      <c r="AT924" s="30"/>
      <c r="AU924" s="10"/>
      <c r="BC924" s="30"/>
      <c r="BD924" s="10"/>
    </row>
    <row r="925" ht="15.75" customHeight="1">
      <c r="B925" s="30"/>
      <c r="C925" s="10"/>
      <c r="I925" s="30"/>
      <c r="J925" s="10"/>
      <c r="P925" s="30"/>
      <c r="Q925" s="10"/>
      <c r="W925" s="30"/>
      <c r="X925" s="10"/>
      <c r="AD925" s="30"/>
      <c r="AE925" s="35"/>
      <c r="AF925" s="35"/>
      <c r="AG925" s="10"/>
      <c r="AK925" s="30"/>
      <c r="AL925" s="10"/>
      <c r="AT925" s="30"/>
      <c r="AU925" s="10"/>
      <c r="BC925" s="30"/>
      <c r="BD925" s="10"/>
    </row>
    <row r="926" ht="15.75" customHeight="1">
      <c r="B926" s="30"/>
      <c r="C926" s="10"/>
      <c r="I926" s="30"/>
      <c r="J926" s="10"/>
      <c r="P926" s="30"/>
      <c r="Q926" s="10"/>
      <c r="W926" s="30"/>
      <c r="X926" s="10"/>
      <c r="AD926" s="30"/>
      <c r="AE926" s="35"/>
      <c r="AF926" s="35"/>
      <c r="AG926" s="10"/>
      <c r="AK926" s="30"/>
      <c r="AL926" s="10"/>
      <c r="AT926" s="30"/>
      <c r="AU926" s="10"/>
      <c r="BC926" s="30"/>
      <c r="BD926" s="10"/>
    </row>
    <row r="927" ht="15.75" customHeight="1">
      <c r="B927" s="30"/>
      <c r="C927" s="10"/>
      <c r="I927" s="30"/>
      <c r="J927" s="10"/>
      <c r="P927" s="30"/>
      <c r="Q927" s="10"/>
      <c r="W927" s="30"/>
      <c r="X927" s="10"/>
      <c r="AD927" s="30"/>
      <c r="AE927" s="35"/>
      <c r="AF927" s="35"/>
      <c r="AG927" s="10"/>
      <c r="AK927" s="30"/>
      <c r="AL927" s="10"/>
      <c r="AT927" s="30"/>
      <c r="AU927" s="10"/>
      <c r="BC927" s="30"/>
      <c r="BD927" s="10"/>
    </row>
    <row r="928" ht="15.75" customHeight="1">
      <c r="B928" s="30"/>
      <c r="C928" s="10"/>
      <c r="I928" s="30"/>
      <c r="J928" s="10"/>
      <c r="P928" s="30"/>
      <c r="Q928" s="10"/>
      <c r="W928" s="30"/>
      <c r="X928" s="10"/>
      <c r="AD928" s="30"/>
      <c r="AE928" s="35"/>
      <c r="AF928" s="35"/>
      <c r="AG928" s="10"/>
      <c r="AK928" s="30"/>
      <c r="AL928" s="10"/>
      <c r="AT928" s="30"/>
      <c r="AU928" s="10"/>
      <c r="BC928" s="30"/>
      <c r="BD928" s="10"/>
    </row>
    <row r="929" ht="15.75" customHeight="1">
      <c r="B929" s="30"/>
      <c r="C929" s="10"/>
      <c r="I929" s="30"/>
      <c r="J929" s="10"/>
      <c r="P929" s="30"/>
      <c r="Q929" s="10"/>
      <c r="W929" s="30"/>
      <c r="X929" s="10"/>
      <c r="AD929" s="30"/>
      <c r="AE929" s="35"/>
      <c r="AF929" s="35"/>
      <c r="AG929" s="10"/>
      <c r="AK929" s="30"/>
      <c r="AL929" s="10"/>
      <c r="AT929" s="30"/>
      <c r="AU929" s="10"/>
      <c r="BC929" s="30"/>
      <c r="BD929" s="10"/>
    </row>
    <row r="930" ht="15.75" customHeight="1">
      <c r="B930" s="30"/>
      <c r="C930" s="10"/>
      <c r="I930" s="30"/>
      <c r="J930" s="10"/>
      <c r="P930" s="30"/>
      <c r="Q930" s="10"/>
      <c r="W930" s="30"/>
      <c r="X930" s="10"/>
      <c r="AD930" s="30"/>
      <c r="AE930" s="35"/>
      <c r="AF930" s="35"/>
      <c r="AG930" s="10"/>
      <c r="AK930" s="30"/>
      <c r="AL930" s="10"/>
      <c r="AT930" s="30"/>
      <c r="AU930" s="10"/>
      <c r="BC930" s="30"/>
      <c r="BD930" s="10"/>
    </row>
    <row r="931" ht="15.75" customHeight="1">
      <c r="B931" s="30"/>
      <c r="C931" s="10"/>
      <c r="I931" s="30"/>
      <c r="J931" s="10"/>
      <c r="P931" s="30"/>
      <c r="Q931" s="10"/>
      <c r="W931" s="30"/>
      <c r="X931" s="10"/>
      <c r="AD931" s="30"/>
      <c r="AE931" s="35"/>
      <c r="AF931" s="35"/>
      <c r="AG931" s="10"/>
      <c r="AK931" s="30"/>
      <c r="AL931" s="10"/>
      <c r="AT931" s="30"/>
      <c r="AU931" s="10"/>
      <c r="BC931" s="30"/>
      <c r="BD931" s="10"/>
    </row>
    <row r="932" ht="15.75" customHeight="1">
      <c r="B932" s="30"/>
      <c r="C932" s="10"/>
      <c r="I932" s="30"/>
      <c r="J932" s="10"/>
      <c r="P932" s="30"/>
      <c r="Q932" s="10"/>
      <c r="W932" s="30"/>
      <c r="X932" s="10"/>
      <c r="AD932" s="30"/>
      <c r="AE932" s="35"/>
      <c r="AF932" s="35"/>
      <c r="AG932" s="10"/>
      <c r="AK932" s="30"/>
      <c r="AL932" s="10"/>
      <c r="AT932" s="30"/>
      <c r="AU932" s="10"/>
      <c r="BC932" s="30"/>
      <c r="BD932" s="10"/>
    </row>
    <row r="933" ht="15.75" customHeight="1">
      <c r="B933" s="30"/>
      <c r="C933" s="10"/>
      <c r="I933" s="30"/>
      <c r="J933" s="10"/>
      <c r="P933" s="30"/>
      <c r="Q933" s="10"/>
      <c r="W933" s="30"/>
      <c r="X933" s="10"/>
      <c r="AD933" s="30"/>
      <c r="AE933" s="35"/>
      <c r="AF933" s="35"/>
      <c r="AG933" s="10"/>
      <c r="AK933" s="30"/>
      <c r="AL933" s="10"/>
      <c r="AT933" s="30"/>
      <c r="AU933" s="10"/>
      <c r="BC933" s="30"/>
      <c r="BD933" s="10"/>
    </row>
    <row r="934" ht="15.75" customHeight="1">
      <c r="B934" s="30"/>
      <c r="C934" s="10"/>
      <c r="I934" s="30"/>
      <c r="J934" s="10"/>
      <c r="P934" s="30"/>
      <c r="Q934" s="10"/>
      <c r="W934" s="30"/>
      <c r="X934" s="10"/>
      <c r="AD934" s="30"/>
      <c r="AE934" s="35"/>
      <c r="AF934" s="35"/>
      <c r="AG934" s="10"/>
      <c r="AK934" s="30"/>
      <c r="AL934" s="10"/>
      <c r="AT934" s="30"/>
      <c r="AU934" s="10"/>
      <c r="BC934" s="30"/>
      <c r="BD934" s="10"/>
    </row>
    <row r="935" ht="15.75" customHeight="1">
      <c r="B935" s="30"/>
      <c r="C935" s="10"/>
      <c r="I935" s="30"/>
      <c r="J935" s="10"/>
      <c r="P935" s="30"/>
      <c r="Q935" s="10"/>
      <c r="W935" s="30"/>
      <c r="X935" s="10"/>
      <c r="AD935" s="30"/>
      <c r="AE935" s="35"/>
      <c r="AF935" s="35"/>
      <c r="AG935" s="10"/>
      <c r="AK935" s="30"/>
      <c r="AL935" s="10"/>
      <c r="AT935" s="30"/>
      <c r="AU935" s="10"/>
      <c r="BC935" s="30"/>
      <c r="BD935" s="10"/>
    </row>
    <row r="936" ht="15.75" customHeight="1">
      <c r="B936" s="30"/>
      <c r="C936" s="10"/>
      <c r="I936" s="30"/>
      <c r="J936" s="10"/>
      <c r="P936" s="30"/>
      <c r="Q936" s="10"/>
      <c r="W936" s="30"/>
      <c r="X936" s="10"/>
      <c r="AD936" s="30"/>
      <c r="AE936" s="35"/>
      <c r="AF936" s="35"/>
      <c r="AG936" s="10"/>
      <c r="AK936" s="30"/>
      <c r="AL936" s="10"/>
      <c r="AT936" s="30"/>
      <c r="AU936" s="10"/>
      <c r="BC936" s="30"/>
      <c r="BD936" s="10"/>
    </row>
    <row r="937" ht="15.75" customHeight="1">
      <c r="B937" s="30"/>
      <c r="C937" s="10"/>
      <c r="I937" s="30"/>
      <c r="J937" s="10"/>
      <c r="P937" s="30"/>
      <c r="Q937" s="10"/>
      <c r="W937" s="30"/>
      <c r="X937" s="10"/>
      <c r="AD937" s="30"/>
      <c r="AE937" s="35"/>
      <c r="AF937" s="35"/>
      <c r="AG937" s="10"/>
      <c r="AK937" s="30"/>
      <c r="AL937" s="10"/>
      <c r="AT937" s="30"/>
      <c r="AU937" s="10"/>
      <c r="BC937" s="30"/>
      <c r="BD937" s="10"/>
    </row>
    <row r="938" ht="15.75" customHeight="1">
      <c r="B938" s="30"/>
      <c r="C938" s="10"/>
      <c r="I938" s="30"/>
      <c r="J938" s="10"/>
      <c r="P938" s="30"/>
      <c r="Q938" s="10"/>
      <c r="W938" s="30"/>
      <c r="X938" s="10"/>
      <c r="AD938" s="30"/>
      <c r="AE938" s="35"/>
      <c r="AF938" s="35"/>
      <c r="AG938" s="10"/>
      <c r="AK938" s="30"/>
      <c r="AL938" s="10"/>
      <c r="AT938" s="30"/>
      <c r="AU938" s="10"/>
      <c r="BC938" s="30"/>
      <c r="BD938" s="10"/>
    </row>
    <row r="939" ht="15.75" customHeight="1">
      <c r="B939" s="30"/>
      <c r="C939" s="10"/>
      <c r="I939" s="30"/>
      <c r="J939" s="10"/>
      <c r="P939" s="30"/>
      <c r="Q939" s="10"/>
      <c r="W939" s="30"/>
      <c r="X939" s="10"/>
      <c r="AD939" s="30"/>
      <c r="AE939" s="35"/>
      <c r="AF939" s="35"/>
      <c r="AG939" s="10"/>
      <c r="AK939" s="30"/>
      <c r="AL939" s="10"/>
      <c r="AT939" s="30"/>
      <c r="AU939" s="10"/>
      <c r="BC939" s="30"/>
      <c r="BD939" s="10"/>
    </row>
    <row r="940" ht="15.75" customHeight="1">
      <c r="B940" s="30"/>
      <c r="C940" s="10"/>
      <c r="I940" s="30"/>
      <c r="J940" s="10"/>
      <c r="P940" s="30"/>
      <c r="Q940" s="10"/>
      <c r="W940" s="30"/>
      <c r="X940" s="10"/>
      <c r="AD940" s="30"/>
      <c r="AE940" s="35"/>
      <c r="AF940" s="35"/>
      <c r="AG940" s="10"/>
      <c r="AK940" s="30"/>
      <c r="AL940" s="10"/>
      <c r="AT940" s="30"/>
      <c r="AU940" s="10"/>
      <c r="BC940" s="30"/>
      <c r="BD940" s="10"/>
    </row>
    <row r="941" ht="15.75" customHeight="1">
      <c r="B941" s="30"/>
      <c r="C941" s="10"/>
      <c r="I941" s="30"/>
      <c r="J941" s="10"/>
      <c r="P941" s="30"/>
      <c r="Q941" s="10"/>
      <c r="W941" s="30"/>
      <c r="X941" s="10"/>
      <c r="AD941" s="30"/>
      <c r="AE941" s="35"/>
      <c r="AF941" s="35"/>
      <c r="AG941" s="10"/>
      <c r="AK941" s="30"/>
      <c r="AL941" s="10"/>
      <c r="AT941" s="30"/>
      <c r="AU941" s="10"/>
      <c r="BC941" s="30"/>
      <c r="BD941" s="10"/>
    </row>
    <row r="942" ht="15.75" customHeight="1">
      <c r="B942" s="30"/>
      <c r="C942" s="10"/>
      <c r="I942" s="30"/>
      <c r="J942" s="10"/>
      <c r="P942" s="30"/>
      <c r="Q942" s="10"/>
      <c r="W942" s="30"/>
      <c r="X942" s="10"/>
      <c r="AD942" s="30"/>
      <c r="AE942" s="35"/>
      <c r="AF942" s="35"/>
      <c r="AG942" s="10"/>
      <c r="AK942" s="30"/>
      <c r="AL942" s="10"/>
      <c r="AT942" s="30"/>
      <c r="AU942" s="10"/>
      <c r="BC942" s="30"/>
      <c r="BD942" s="10"/>
    </row>
    <row r="943" ht="15.75" customHeight="1">
      <c r="B943" s="30"/>
      <c r="C943" s="10"/>
      <c r="I943" s="30"/>
      <c r="J943" s="10"/>
      <c r="P943" s="30"/>
      <c r="Q943" s="10"/>
      <c r="W943" s="30"/>
      <c r="X943" s="10"/>
      <c r="AD943" s="30"/>
      <c r="AE943" s="35"/>
      <c r="AF943" s="35"/>
      <c r="AG943" s="10"/>
      <c r="AK943" s="30"/>
      <c r="AL943" s="10"/>
      <c r="AT943" s="30"/>
      <c r="AU943" s="10"/>
      <c r="BC943" s="30"/>
      <c r="BD943" s="10"/>
    </row>
    <row r="944" ht="15.75" customHeight="1">
      <c r="B944" s="30"/>
      <c r="C944" s="10"/>
      <c r="I944" s="30"/>
      <c r="J944" s="10"/>
      <c r="P944" s="30"/>
      <c r="Q944" s="10"/>
      <c r="W944" s="30"/>
      <c r="X944" s="10"/>
      <c r="AD944" s="30"/>
      <c r="AE944" s="35"/>
      <c r="AF944" s="35"/>
      <c r="AG944" s="10"/>
      <c r="AK944" s="30"/>
      <c r="AL944" s="10"/>
      <c r="AT944" s="30"/>
      <c r="AU944" s="10"/>
      <c r="BC944" s="30"/>
      <c r="BD944" s="10"/>
    </row>
    <row r="945" ht="15.75" customHeight="1">
      <c r="B945" s="30"/>
      <c r="C945" s="10"/>
      <c r="I945" s="30"/>
      <c r="J945" s="10"/>
      <c r="P945" s="30"/>
      <c r="Q945" s="10"/>
      <c r="W945" s="30"/>
      <c r="X945" s="10"/>
      <c r="AD945" s="30"/>
      <c r="AE945" s="35"/>
      <c r="AF945" s="35"/>
      <c r="AG945" s="10"/>
      <c r="AK945" s="30"/>
      <c r="AL945" s="10"/>
      <c r="AT945" s="30"/>
      <c r="AU945" s="10"/>
      <c r="BC945" s="30"/>
      <c r="BD945" s="10"/>
    </row>
    <row r="946" ht="15.75" customHeight="1">
      <c r="B946" s="30"/>
      <c r="C946" s="10"/>
      <c r="I946" s="30"/>
      <c r="J946" s="10"/>
      <c r="P946" s="30"/>
      <c r="Q946" s="10"/>
      <c r="W946" s="30"/>
      <c r="X946" s="10"/>
      <c r="AD946" s="30"/>
      <c r="AE946" s="35"/>
      <c r="AF946" s="35"/>
      <c r="AG946" s="10"/>
      <c r="AK946" s="30"/>
      <c r="AL946" s="10"/>
      <c r="AT946" s="30"/>
      <c r="AU946" s="10"/>
      <c r="BC946" s="30"/>
      <c r="BD946" s="10"/>
    </row>
    <row r="947" ht="15.75" customHeight="1">
      <c r="B947" s="30"/>
      <c r="C947" s="10"/>
      <c r="I947" s="30"/>
      <c r="J947" s="10"/>
      <c r="P947" s="30"/>
      <c r="Q947" s="10"/>
      <c r="W947" s="30"/>
      <c r="X947" s="10"/>
      <c r="AD947" s="30"/>
      <c r="AE947" s="35"/>
      <c r="AF947" s="35"/>
      <c r="AG947" s="10"/>
      <c r="AK947" s="30"/>
      <c r="AL947" s="10"/>
      <c r="AT947" s="30"/>
      <c r="AU947" s="10"/>
      <c r="BC947" s="30"/>
      <c r="BD947" s="10"/>
    </row>
    <row r="948" ht="15.75" customHeight="1">
      <c r="B948" s="30"/>
      <c r="C948" s="10"/>
      <c r="I948" s="30"/>
      <c r="J948" s="10"/>
      <c r="P948" s="30"/>
      <c r="Q948" s="10"/>
      <c r="W948" s="30"/>
      <c r="X948" s="10"/>
      <c r="AD948" s="30"/>
      <c r="AE948" s="35"/>
      <c r="AF948" s="35"/>
      <c r="AG948" s="10"/>
      <c r="AK948" s="30"/>
      <c r="AL948" s="10"/>
      <c r="AT948" s="30"/>
      <c r="AU948" s="10"/>
      <c r="BC948" s="30"/>
      <c r="BD948" s="10"/>
    </row>
    <row r="949" ht="15.75" customHeight="1">
      <c r="B949" s="30"/>
      <c r="C949" s="10"/>
      <c r="I949" s="30"/>
      <c r="J949" s="10"/>
      <c r="P949" s="30"/>
      <c r="Q949" s="10"/>
      <c r="W949" s="30"/>
      <c r="X949" s="10"/>
      <c r="AD949" s="30"/>
      <c r="AE949" s="35"/>
      <c r="AF949" s="35"/>
      <c r="AG949" s="10"/>
      <c r="AK949" s="30"/>
      <c r="AL949" s="10"/>
      <c r="AT949" s="30"/>
      <c r="AU949" s="10"/>
      <c r="BC949" s="30"/>
      <c r="BD949" s="10"/>
    </row>
    <row r="950" ht="15.75" customHeight="1">
      <c r="B950" s="30"/>
      <c r="C950" s="10"/>
      <c r="I950" s="30"/>
      <c r="J950" s="10"/>
      <c r="P950" s="30"/>
      <c r="Q950" s="10"/>
      <c r="W950" s="30"/>
      <c r="X950" s="10"/>
      <c r="AD950" s="30"/>
      <c r="AE950" s="35"/>
      <c r="AF950" s="35"/>
      <c r="AG950" s="10"/>
      <c r="AK950" s="30"/>
      <c r="AL950" s="10"/>
      <c r="AT950" s="30"/>
      <c r="AU950" s="10"/>
      <c r="BC950" s="30"/>
      <c r="BD950" s="10"/>
    </row>
    <row r="951" ht="15.75" customHeight="1">
      <c r="B951" s="30"/>
      <c r="C951" s="10"/>
      <c r="I951" s="30"/>
      <c r="J951" s="10"/>
      <c r="P951" s="30"/>
      <c r="Q951" s="10"/>
      <c r="W951" s="30"/>
      <c r="X951" s="10"/>
      <c r="AD951" s="30"/>
      <c r="AE951" s="35"/>
      <c r="AF951" s="35"/>
      <c r="AG951" s="10"/>
      <c r="AK951" s="30"/>
      <c r="AL951" s="10"/>
      <c r="AT951" s="30"/>
      <c r="AU951" s="10"/>
      <c r="BC951" s="30"/>
      <c r="BD951" s="10"/>
    </row>
    <row r="952" ht="15.75" customHeight="1">
      <c r="B952" s="30"/>
      <c r="C952" s="10"/>
      <c r="I952" s="30"/>
      <c r="J952" s="10"/>
      <c r="P952" s="30"/>
      <c r="Q952" s="10"/>
      <c r="W952" s="30"/>
      <c r="X952" s="10"/>
      <c r="AD952" s="30"/>
      <c r="AE952" s="35"/>
      <c r="AF952" s="35"/>
      <c r="AG952" s="10"/>
      <c r="AK952" s="30"/>
      <c r="AL952" s="10"/>
      <c r="AT952" s="30"/>
      <c r="AU952" s="10"/>
      <c r="BC952" s="30"/>
      <c r="BD952" s="10"/>
    </row>
    <row r="953" ht="15.75" customHeight="1">
      <c r="B953" s="30"/>
      <c r="C953" s="10"/>
      <c r="I953" s="30"/>
      <c r="J953" s="10"/>
      <c r="P953" s="30"/>
      <c r="Q953" s="10"/>
      <c r="W953" s="30"/>
      <c r="X953" s="10"/>
      <c r="AD953" s="30"/>
      <c r="AE953" s="35"/>
      <c r="AF953" s="35"/>
      <c r="AG953" s="10"/>
      <c r="AK953" s="30"/>
      <c r="AL953" s="10"/>
      <c r="AT953" s="30"/>
      <c r="AU953" s="10"/>
      <c r="BC953" s="30"/>
      <c r="BD953" s="10"/>
    </row>
    <row r="954" ht="15.75" customHeight="1">
      <c r="B954" s="30"/>
      <c r="C954" s="10"/>
      <c r="I954" s="30"/>
      <c r="J954" s="10"/>
      <c r="P954" s="30"/>
      <c r="Q954" s="10"/>
      <c r="W954" s="30"/>
      <c r="X954" s="10"/>
      <c r="AD954" s="30"/>
      <c r="AE954" s="35"/>
      <c r="AF954" s="35"/>
      <c r="AG954" s="10"/>
      <c r="AK954" s="30"/>
      <c r="AL954" s="10"/>
      <c r="AT954" s="30"/>
      <c r="AU954" s="10"/>
      <c r="BC954" s="30"/>
      <c r="BD954" s="10"/>
    </row>
    <row r="955" ht="15.75" customHeight="1">
      <c r="B955" s="30"/>
      <c r="C955" s="10"/>
      <c r="I955" s="30"/>
      <c r="J955" s="10"/>
      <c r="P955" s="30"/>
      <c r="Q955" s="10"/>
      <c r="W955" s="30"/>
      <c r="X955" s="10"/>
      <c r="AD955" s="30"/>
      <c r="AE955" s="35"/>
      <c r="AF955" s="35"/>
      <c r="AG955" s="10"/>
      <c r="AK955" s="30"/>
      <c r="AL955" s="10"/>
      <c r="AT955" s="30"/>
      <c r="AU955" s="10"/>
      <c r="BC955" s="30"/>
      <c r="BD955" s="10"/>
    </row>
    <row r="956" ht="15.75" customHeight="1">
      <c r="B956" s="30"/>
      <c r="C956" s="10"/>
      <c r="I956" s="30"/>
      <c r="J956" s="10"/>
      <c r="P956" s="30"/>
      <c r="Q956" s="10"/>
      <c r="W956" s="30"/>
      <c r="X956" s="10"/>
      <c r="AD956" s="30"/>
      <c r="AE956" s="35"/>
      <c r="AF956" s="35"/>
      <c r="AG956" s="10"/>
      <c r="AK956" s="30"/>
      <c r="AL956" s="10"/>
      <c r="AT956" s="30"/>
      <c r="AU956" s="10"/>
      <c r="BC956" s="30"/>
      <c r="BD956" s="10"/>
    </row>
    <row r="957" ht="15.75" customHeight="1">
      <c r="B957" s="30"/>
      <c r="C957" s="10"/>
      <c r="I957" s="30"/>
      <c r="J957" s="10"/>
      <c r="P957" s="30"/>
      <c r="Q957" s="10"/>
      <c r="W957" s="30"/>
      <c r="X957" s="10"/>
      <c r="AD957" s="30"/>
      <c r="AE957" s="35"/>
      <c r="AF957" s="35"/>
      <c r="AG957" s="10"/>
      <c r="AK957" s="30"/>
      <c r="AL957" s="10"/>
      <c r="AT957" s="30"/>
      <c r="AU957" s="10"/>
      <c r="BC957" s="30"/>
      <c r="BD957" s="10"/>
    </row>
    <row r="958" ht="15.75" customHeight="1">
      <c r="B958" s="30"/>
      <c r="C958" s="10"/>
      <c r="I958" s="30"/>
      <c r="J958" s="10"/>
      <c r="P958" s="30"/>
      <c r="Q958" s="10"/>
      <c r="W958" s="30"/>
      <c r="X958" s="10"/>
      <c r="AD958" s="30"/>
      <c r="AE958" s="35"/>
      <c r="AF958" s="35"/>
      <c r="AG958" s="10"/>
      <c r="AK958" s="30"/>
      <c r="AL958" s="10"/>
      <c r="AT958" s="30"/>
      <c r="AU958" s="10"/>
      <c r="BC958" s="30"/>
      <c r="BD958" s="10"/>
    </row>
    <row r="959" ht="15.75" customHeight="1">
      <c r="B959" s="30"/>
      <c r="C959" s="10"/>
      <c r="I959" s="30"/>
      <c r="J959" s="10"/>
      <c r="P959" s="30"/>
      <c r="Q959" s="10"/>
      <c r="W959" s="30"/>
      <c r="X959" s="10"/>
      <c r="AD959" s="30"/>
      <c r="AE959" s="35"/>
      <c r="AF959" s="35"/>
      <c r="AG959" s="10"/>
      <c r="AK959" s="30"/>
      <c r="AL959" s="10"/>
      <c r="AT959" s="30"/>
      <c r="AU959" s="10"/>
      <c r="BC959" s="30"/>
      <c r="BD959" s="10"/>
    </row>
    <row r="960" ht="15.75" customHeight="1">
      <c r="B960" s="30"/>
      <c r="C960" s="10"/>
      <c r="I960" s="30"/>
      <c r="J960" s="10"/>
      <c r="P960" s="30"/>
      <c r="Q960" s="10"/>
      <c r="W960" s="30"/>
      <c r="X960" s="10"/>
      <c r="AD960" s="30"/>
      <c r="AE960" s="35"/>
      <c r="AF960" s="35"/>
      <c r="AG960" s="10"/>
      <c r="AK960" s="30"/>
      <c r="AL960" s="10"/>
      <c r="AT960" s="30"/>
      <c r="AU960" s="10"/>
      <c r="BC960" s="30"/>
      <c r="BD960" s="10"/>
    </row>
    <row r="961" ht="15.75" customHeight="1">
      <c r="B961" s="30"/>
      <c r="C961" s="10"/>
      <c r="I961" s="30"/>
      <c r="J961" s="10"/>
      <c r="P961" s="30"/>
      <c r="Q961" s="10"/>
      <c r="W961" s="30"/>
      <c r="X961" s="10"/>
      <c r="AD961" s="30"/>
      <c r="AE961" s="35"/>
      <c r="AF961" s="35"/>
      <c r="AG961" s="10"/>
      <c r="AK961" s="30"/>
      <c r="AL961" s="10"/>
      <c r="AT961" s="30"/>
      <c r="AU961" s="10"/>
      <c r="BC961" s="30"/>
      <c r="BD961" s="10"/>
    </row>
    <row r="962" ht="15.75" customHeight="1">
      <c r="B962" s="30"/>
      <c r="C962" s="10"/>
      <c r="I962" s="30"/>
      <c r="J962" s="10"/>
      <c r="P962" s="30"/>
      <c r="Q962" s="10"/>
      <c r="W962" s="30"/>
      <c r="X962" s="10"/>
      <c r="AD962" s="30"/>
      <c r="AE962" s="35"/>
      <c r="AF962" s="35"/>
      <c r="AG962" s="10"/>
      <c r="AK962" s="30"/>
      <c r="AL962" s="10"/>
      <c r="AT962" s="30"/>
      <c r="AU962" s="10"/>
      <c r="BC962" s="30"/>
      <c r="BD962" s="10"/>
    </row>
    <row r="963" ht="15.75" customHeight="1">
      <c r="B963" s="30"/>
      <c r="C963" s="10"/>
      <c r="I963" s="30"/>
      <c r="J963" s="10"/>
      <c r="P963" s="30"/>
      <c r="Q963" s="10"/>
      <c r="W963" s="30"/>
      <c r="X963" s="10"/>
      <c r="AD963" s="30"/>
      <c r="AE963" s="35"/>
      <c r="AF963" s="35"/>
      <c r="AG963" s="10"/>
      <c r="AK963" s="30"/>
      <c r="AL963" s="10"/>
      <c r="AT963" s="30"/>
      <c r="AU963" s="10"/>
      <c r="BC963" s="30"/>
      <c r="BD963" s="10"/>
    </row>
    <row r="964" ht="15.75" customHeight="1">
      <c r="B964" s="30"/>
      <c r="C964" s="10"/>
      <c r="I964" s="30"/>
      <c r="J964" s="10"/>
      <c r="P964" s="30"/>
      <c r="Q964" s="10"/>
      <c r="W964" s="30"/>
      <c r="X964" s="10"/>
      <c r="AD964" s="30"/>
      <c r="AE964" s="35"/>
      <c r="AF964" s="35"/>
      <c r="AG964" s="10"/>
      <c r="AK964" s="30"/>
      <c r="AL964" s="10"/>
      <c r="AT964" s="30"/>
      <c r="AU964" s="10"/>
      <c r="BC964" s="30"/>
      <c r="BD964" s="10"/>
    </row>
    <row r="965" ht="15.75" customHeight="1">
      <c r="B965" s="30"/>
      <c r="C965" s="10"/>
      <c r="I965" s="30"/>
      <c r="J965" s="10"/>
      <c r="P965" s="30"/>
      <c r="Q965" s="10"/>
      <c r="W965" s="30"/>
      <c r="X965" s="10"/>
      <c r="AD965" s="30"/>
      <c r="AE965" s="35"/>
      <c r="AF965" s="35"/>
      <c r="AG965" s="10"/>
      <c r="AK965" s="30"/>
      <c r="AL965" s="10"/>
      <c r="AT965" s="30"/>
      <c r="AU965" s="10"/>
      <c r="BC965" s="30"/>
      <c r="BD965" s="10"/>
    </row>
    <row r="966" ht="15.75" customHeight="1">
      <c r="B966" s="30"/>
      <c r="C966" s="10"/>
      <c r="I966" s="30"/>
      <c r="J966" s="10"/>
      <c r="P966" s="30"/>
      <c r="Q966" s="10"/>
      <c r="W966" s="30"/>
      <c r="X966" s="10"/>
      <c r="AD966" s="30"/>
      <c r="AE966" s="35"/>
      <c r="AF966" s="35"/>
      <c r="AG966" s="10"/>
      <c r="AK966" s="30"/>
      <c r="AL966" s="10"/>
      <c r="AT966" s="30"/>
      <c r="AU966" s="10"/>
      <c r="BC966" s="30"/>
      <c r="BD966" s="10"/>
    </row>
    <row r="967" ht="15.75" customHeight="1">
      <c r="B967" s="30"/>
      <c r="C967" s="10"/>
      <c r="I967" s="30"/>
      <c r="J967" s="10"/>
      <c r="P967" s="30"/>
      <c r="Q967" s="10"/>
      <c r="W967" s="30"/>
      <c r="X967" s="10"/>
      <c r="AD967" s="30"/>
      <c r="AE967" s="35"/>
      <c r="AF967" s="35"/>
      <c r="AG967" s="10"/>
      <c r="AK967" s="30"/>
      <c r="AL967" s="10"/>
      <c r="AT967" s="30"/>
      <c r="AU967" s="10"/>
      <c r="BC967" s="30"/>
      <c r="BD967" s="10"/>
    </row>
    <row r="968" ht="15.75" customHeight="1">
      <c r="B968" s="30"/>
      <c r="C968" s="10"/>
      <c r="I968" s="30"/>
      <c r="J968" s="10"/>
      <c r="P968" s="30"/>
      <c r="Q968" s="10"/>
      <c r="W968" s="30"/>
      <c r="X968" s="10"/>
      <c r="AD968" s="30"/>
      <c r="AE968" s="35"/>
      <c r="AF968" s="35"/>
      <c r="AG968" s="10"/>
      <c r="AK968" s="30"/>
      <c r="AL968" s="10"/>
      <c r="AT968" s="30"/>
      <c r="AU968" s="10"/>
      <c r="BC968" s="30"/>
      <c r="BD968" s="10"/>
    </row>
    <row r="969" ht="15.75" customHeight="1">
      <c r="B969" s="30"/>
      <c r="C969" s="10"/>
      <c r="I969" s="30"/>
      <c r="J969" s="10"/>
      <c r="P969" s="30"/>
      <c r="Q969" s="10"/>
      <c r="W969" s="30"/>
      <c r="X969" s="10"/>
      <c r="AD969" s="30"/>
      <c r="AE969" s="35"/>
      <c r="AF969" s="35"/>
      <c r="AG969" s="10"/>
      <c r="AK969" s="30"/>
      <c r="AL969" s="10"/>
      <c r="AT969" s="30"/>
      <c r="AU969" s="10"/>
      <c r="BC969" s="30"/>
      <c r="BD969" s="10"/>
    </row>
    <row r="970" ht="15.75" customHeight="1">
      <c r="B970" s="30"/>
      <c r="C970" s="10"/>
      <c r="I970" s="30"/>
      <c r="J970" s="10"/>
      <c r="P970" s="30"/>
      <c r="Q970" s="10"/>
      <c r="W970" s="30"/>
      <c r="X970" s="10"/>
      <c r="AD970" s="30"/>
      <c r="AE970" s="35"/>
      <c r="AF970" s="35"/>
      <c r="AG970" s="10"/>
      <c r="AK970" s="30"/>
      <c r="AL970" s="10"/>
      <c r="AT970" s="30"/>
      <c r="AU970" s="10"/>
      <c r="BC970" s="30"/>
      <c r="BD970" s="10"/>
    </row>
    <row r="971" ht="15.75" customHeight="1">
      <c r="B971" s="30"/>
      <c r="C971" s="10"/>
      <c r="I971" s="30"/>
      <c r="J971" s="10"/>
      <c r="P971" s="30"/>
      <c r="Q971" s="10"/>
      <c r="W971" s="30"/>
      <c r="X971" s="10"/>
      <c r="AD971" s="30"/>
      <c r="AE971" s="35"/>
      <c r="AF971" s="35"/>
      <c r="AG971" s="10"/>
      <c r="AK971" s="30"/>
      <c r="AL971" s="10"/>
      <c r="AT971" s="30"/>
      <c r="AU971" s="10"/>
      <c r="BC971" s="30"/>
      <c r="BD971" s="10"/>
    </row>
    <row r="972" ht="15.75" customHeight="1">
      <c r="B972" s="30"/>
      <c r="C972" s="10"/>
      <c r="I972" s="30"/>
      <c r="J972" s="10"/>
      <c r="P972" s="30"/>
      <c r="Q972" s="10"/>
      <c r="W972" s="30"/>
      <c r="X972" s="10"/>
      <c r="AD972" s="30"/>
      <c r="AE972" s="35"/>
      <c r="AF972" s="35"/>
      <c r="AG972" s="10"/>
      <c r="AK972" s="30"/>
      <c r="AL972" s="10"/>
      <c r="AT972" s="30"/>
      <c r="AU972" s="10"/>
      <c r="BC972" s="30"/>
      <c r="BD972" s="10"/>
    </row>
    <row r="973" ht="15.75" customHeight="1">
      <c r="B973" s="30"/>
      <c r="C973" s="10"/>
      <c r="I973" s="30"/>
      <c r="J973" s="10"/>
      <c r="P973" s="30"/>
      <c r="Q973" s="10"/>
      <c r="W973" s="30"/>
      <c r="X973" s="10"/>
      <c r="AD973" s="30"/>
      <c r="AE973" s="35"/>
      <c r="AF973" s="35"/>
      <c r="AG973" s="10"/>
      <c r="AK973" s="30"/>
      <c r="AL973" s="10"/>
      <c r="AT973" s="30"/>
      <c r="AU973" s="10"/>
      <c r="BC973" s="30"/>
      <c r="BD973" s="10"/>
    </row>
    <row r="974" ht="15.75" customHeight="1">
      <c r="B974" s="30"/>
      <c r="C974" s="10"/>
      <c r="I974" s="30"/>
      <c r="J974" s="10"/>
      <c r="P974" s="30"/>
      <c r="Q974" s="10"/>
      <c r="W974" s="30"/>
      <c r="X974" s="10"/>
      <c r="AD974" s="30"/>
      <c r="AE974" s="35"/>
      <c r="AF974" s="35"/>
      <c r="AG974" s="10"/>
      <c r="AK974" s="30"/>
      <c r="AL974" s="10"/>
      <c r="AT974" s="30"/>
      <c r="AU974" s="10"/>
      <c r="BC974" s="30"/>
      <c r="BD974" s="10"/>
    </row>
    <row r="975" ht="15.75" customHeight="1">
      <c r="B975" s="30"/>
      <c r="C975" s="10"/>
      <c r="I975" s="30"/>
      <c r="J975" s="10"/>
      <c r="P975" s="30"/>
      <c r="Q975" s="10"/>
      <c r="W975" s="30"/>
      <c r="X975" s="10"/>
      <c r="AD975" s="30"/>
      <c r="AE975" s="35"/>
      <c r="AF975" s="35"/>
      <c r="AG975" s="10"/>
      <c r="AK975" s="30"/>
      <c r="AL975" s="10"/>
      <c r="AT975" s="30"/>
      <c r="AU975" s="10"/>
      <c r="BC975" s="30"/>
      <c r="BD975" s="10"/>
    </row>
    <row r="976" ht="15.75" customHeight="1">
      <c r="B976" s="30"/>
      <c r="C976" s="10"/>
      <c r="I976" s="30"/>
      <c r="J976" s="10"/>
      <c r="P976" s="30"/>
      <c r="Q976" s="10"/>
      <c r="W976" s="30"/>
      <c r="X976" s="10"/>
      <c r="AD976" s="30"/>
      <c r="AE976" s="35"/>
      <c r="AF976" s="35"/>
      <c r="AG976" s="10"/>
      <c r="AK976" s="30"/>
      <c r="AL976" s="10"/>
      <c r="AT976" s="30"/>
      <c r="AU976" s="10"/>
      <c r="BC976" s="30"/>
      <c r="BD976" s="10"/>
    </row>
    <row r="977" ht="15.75" customHeight="1">
      <c r="B977" s="30"/>
      <c r="C977" s="10"/>
      <c r="I977" s="30"/>
      <c r="J977" s="10"/>
      <c r="P977" s="30"/>
      <c r="Q977" s="10"/>
      <c r="W977" s="30"/>
      <c r="X977" s="10"/>
      <c r="AD977" s="30"/>
      <c r="AE977" s="35"/>
      <c r="AF977" s="35"/>
      <c r="AG977" s="10"/>
      <c r="AK977" s="30"/>
      <c r="AL977" s="10"/>
      <c r="AT977" s="30"/>
      <c r="AU977" s="10"/>
      <c r="BC977" s="30"/>
      <c r="BD977" s="10"/>
    </row>
    <row r="978" ht="15.75" customHeight="1">
      <c r="B978" s="30"/>
      <c r="C978" s="10"/>
      <c r="I978" s="30"/>
      <c r="J978" s="10"/>
      <c r="P978" s="30"/>
      <c r="Q978" s="10"/>
      <c r="W978" s="30"/>
      <c r="X978" s="10"/>
      <c r="AD978" s="30"/>
      <c r="AE978" s="35"/>
      <c r="AF978" s="35"/>
      <c r="AG978" s="10"/>
      <c r="AK978" s="30"/>
      <c r="AL978" s="10"/>
      <c r="AT978" s="30"/>
      <c r="AU978" s="10"/>
      <c r="BC978" s="30"/>
      <c r="BD978" s="10"/>
    </row>
    <row r="979" ht="15.75" customHeight="1">
      <c r="B979" s="30"/>
      <c r="C979" s="10"/>
      <c r="I979" s="30"/>
      <c r="J979" s="10"/>
      <c r="P979" s="30"/>
      <c r="Q979" s="10"/>
      <c r="W979" s="30"/>
      <c r="X979" s="10"/>
      <c r="AD979" s="30"/>
      <c r="AE979" s="35"/>
      <c r="AF979" s="35"/>
      <c r="AG979" s="10"/>
      <c r="AK979" s="30"/>
      <c r="AL979" s="10"/>
      <c r="AT979" s="30"/>
      <c r="AU979" s="10"/>
      <c r="BC979" s="30"/>
      <c r="BD979" s="10"/>
    </row>
    <row r="980" ht="15.75" customHeight="1">
      <c r="B980" s="30"/>
      <c r="C980" s="10"/>
      <c r="I980" s="30"/>
      <c r="J980" s="10"/>
      <c r="P980" s="30"/>
      <c r="Q980" s="10"/>
      <c r="W980" s="30"/>
      <c r="X980" s="10"/>
      <c r="AD980" s="30"/>
      <c r="AE980" s="35"/>
      <c r="AF980" s="35"/>
      <c r="AG980" s="10"/>
      <c r="AK980" s="30"/>
      <c r="AL980" s="10"/>
      <c r="AT980" s="30"/>
      <c r="AU980" s="10"/>
      <c r="BC980" s="30"/>
      <c r="BD980" s="10"/>
    </row>
    <row r="981" ht="15.75" customHeight="1">
      <c r="B981" s="30"/>
      <c r="C981" s="10"/>
      <c r="I981" s="30"/>
      <c r="J981" s="10"/>
      <c r="P981" s="30"/>
      <c r="Q981" s="10"/>
      <c r="W981" s="30"/>
      <c r="X981" s="10"/>
      <c r="AD981" s="30"/>
      <c r="AE981" s="35"/>
      <c r="AF981" s="35"/>
      <c r="AG981" s="10"/>
      <c r="AK981" s="30"/>
      <c r="AL981" s="10"/>
      <c r="AT981" s="30"/>
      <c r="AU981" s="10"/>
      <c r="BC981" s="30"/>
      <c r="BD981" s="10"/>
    </row>
    <row r="982" ht="15.75" customHeight="1">
      <c r="B982" s="30"/>
      <c r="C982" s="10"/>
      <c r="I982" s="30"/>
      <c r="J982" s="10"/>
      <c r="P982" s="30"/>
      <c r="Q982" s="10"/>
      <c r="W982" s="30"/>
      <c r="X982" s="10"/>
      <c r="AD982" s="30"/>
      <c r="AE982" s="35"/>
      <c r="AF982" s="35"/>
      <c r="AG982" s="10"/>
      <c r="AK982" s="30"/>
      <c r="AL982" s="10"/>
      <c r="AT982" s="30"/>
      <c r="AU982" s="10"/>
      <c r="BC982" s="30"/>
      <c r="BD982" s="10"/>
    </row>
    <row r="983" ht="15.75" customHeight="1">
      <c r="B983" s="30"/>
      <c r="C983" s="10"/>
      <c r="I983" s="30"/>
      <c r="J983" s="10"/>
      <c r="P983" s="30"/>
      <c r="Q983" s="10"/>
      <c r="W983" s="30"/>
      <c r="X983" s="10"/>
      <c r="AD983" s="30"/>
      <c r="AE983" s="35"/>
      <c r="AF983" s="35"/>
      <c r="AG983" s="10"/>
      <c r="AK983" s="30"/>
      <c r="AL983" s="10"/>
      <c r="AT983" s="30"/>
      <c r="AU983" s="10"/>
      <c r="BC983" s="30"/>
      <c r="BD983" s="10"/>
    </row>
    <row r="984" ht="15.75" customHeight="1">
      <c r="B984" s="30"/>
      <c r="C984" s="10"/>
      <c r="I984" s="30"/>
      <c r="J984" s="10"/>
      <c r="P984" s="30"/>
      <c r="Q984" s="10"/>
      <c r="W984" s="30"/>
      <c r="X984" s="10"/>
      <c r="AD984" s="30"/>
      <c r="AE984" s="35"/>
      <c r="AF984" s="35"/>
      <c r="AG984" s="10"/>
      <c r="AK984" s="30"/>
      <c r="AL984" s="10"/>
      <c r="AT984" s="30"/>
      <c r="AU984" s="10"/>
      <c r="BC984" s="30"/>
      <c r="BD984" s="10"/>
    </row>
    <row r="985" ht="15.75" customHeight="1">
      <c r="B985" s="30"/>
      <c r="C985" s="10"/>
      <c r="I985" s="30"/>
      <c r="J985" s="10"/>
      <c r="P985" s="30"/>
      <c r="Q985" s="10"/>
      <c r="W985" s="30"/>
      <c r="X985" s="10"/>
      <c r="AD985" s="30"/>
      <c r="AE985" s="35"/>
      <c r="AF985" s="35"/>
      <c r="AG985" s="10"/>
      <c r="AK985" s="30"/>
      <c r="AL985" s="10"/>
      <c r="AT985" s="30"/>
      <c r="AU985" s="10"/>
      <c r="BC985" s="30"/>
      <c r="BD985" s="10"/>
    </row>
    <row r="986" ht="15.75" customHeight="1">
      <c r="B986" s="30"/>
      <c r="C986" s="10"/>
      <c r="I986" s="30"/>
      <c r="J986" s="10"/>
      <c r="P986" s="30"/>
      <c r="Q986" s="10"/>
      <c r="W986" s="30"/>
      <c r="X986" s="10"/>
      <c r="AD986" s="30"/>
      <c r="AE986" s="35"/>
      <c r="AF986" s="35"/>
      <c r="AG986" s="10"/>
      <c r="AK986" s="30"/>
      <c r="AL986" s="10"/>
      <c r="AT986" s="30"/>
      <c r="AU986" s="10"/>
      <c r="BC986" s="30"/>
      <c r="BD986" s="10"/>
    </row>
    <row r="987" ht="15.75" customHeight="1">
      <c r="B987" s="30"/>
      <c r="C987" s="10"/>
      <c r="I987" s="30"/>
      <c r="J987" s="10"/>
      <c r="P987" s="30"/>
      <c r="Q987" s="10"/>
      <c r="W987" s="30"/>
      <c r="X987" s="10"/>
      <c r="AD987" s="30"/>
      <c r="AE987" s="35"/>
      <c r="AF987" s="35"/>
      <c r="AG987" s="10"/>
      <c r="AK987" s="30"/>
      <c r="AL987" s="10"/>
      <c r="AT987" s="30"/>
      <c r="AU987" s="10"/>
      <c r="BC987" s="30"/>
      <c r="BD987" s="10"/>
    </row>
    <row r="988" ht="15.75" customHeight="1">
      <c r="B988" s="30"/>
      <c r="C988" s="10"/>
      <c r="I988" s="30"/>
      <c r="J988" s="10"/>
      <c r="P988" s="30"/>
      <c r="Q988" s="10"/>
      <c r="W988" s="30"/>
      <c r="X988" s="10"/>
      <c r="AD988" s="30"/>
      <c r="AE988" s="35"/>
      <c r="AF988" s="35"/>
      <c r="AG988" s="10"/>
      <c r="AK988" s="30"/>
      <c r="AL988" s="10"/>
      <c r="AT988" s="30"/>
      <c r="AU988" s="10"/>
      <c r="BC988" s="30"/>
      <c r="BD988" s="10"/>
    </row>
    <row r="989" ht="15.75" customHeight="1">
      <c r="B989" s="30"/>
      <c r="C989" s="10"/>
      <c r="I989" s="30"/>
      <c r="J989" s="10"/>
      <c r="P989" s="30"/>
      <c r="Q989" s="10"/>
      <c r="W989" s="30"/>
      <c r="X989" s="10"/>
      <c r="AD989" s="30"/>
      <c r="AE989" s="35"/>
      <c r="AF989" s="35"/>
      <c r="AG989" s="10"/>
      <c r="AK989" s="30"/>
      <c r="AL989" s="10"/>
      <c r="AT989" s="30"/>
      <c r="AU989" s="10"/>
      <c r="BC989" s="30"/>
      <c r="BD989" s="10"/>
    </row>
    <row r="990" ht="15.75" customHeight="1">
      <c r="B990" s="30"/>
      <c r="C990" s="10"/>
      <c r="I990" s="30"/>
      <c r="J990" s="10"/>
      <c r="P990" s="30"/>
      <c r="Q990" s="10"/>
      <c r="W990" s="30"/>
      <c r="X990" s="10"/>
      <c r="AD990" s="30"/>
      <c r="AE990" s="35"/>
      <c r="AF990" s="35"/>
      <c r="AG990" s="10"/>
      <c r="AK990" s="30"/>
      <c r="AL990" s="10"/>
      <c r="AT990" s="30"/>
      <c r="AU990" s="10"/>
      <c r="BC990" s="30"/>
      <c r="BD990" s="10"/>
    </row>
    <row r="991" ht="15.75" customHeight="1">
      <c r="B991" s="30"/>
      <c r="C991" s="10"/>
      <c r="I991" s="30"/>
      <c r="J991" s="10"/>
      <c r="P991" s="30"/>
      <c r="Q991" s="10"/>
      <c r="W991" s="30"/>
      <c r="X991" s="10"/>
      <c r="AD991" s="30"/>
      <c r="AE991" s="35"/>
      <c r="AF991" s="35"/>
      <c r="AG991" s="10"/>
      <c r="AK991" s="30"/>
      <c r="AL991" s="10"/>
      <c r="AT991" s="30"/>
      <c r="AU991" s="10"/>
      <c r="BC991" s="30"/>
      <c r="BD991" s="10"/>
    </row>
    <row r="992" ht="15.75" customHeight="1">
      <c r="B992" s="30"/>
      <c r="C992" s="10"/>
      <c r="I992" s="30"/>
      <c r="J992" s="10"/>
      <c r="P992" s="30"/>
      <c r="Q992" s="10"/>
      <c r="W992" s="30"/>
      <c r="X992" s="10"/>
      <c r="AD992" s="30"/>
      <c r="AE992" s="35"/>
      <c r="AF992" s="35"/>
      <c r="AG992" s="10"/>
      <c r="AK992" s="30"/>
      <c r="AL992" s="10"/>
      <c r="AT992" s="30"/>
      <c r="AU992" s="10"/>
      <c r="BC992" s="30"/>
      <c r="BD992" s="10"/>
    </row>
    <row r="993" ht="15.75" customHeight="1">
      <c r="B993" s="30"/>
      <c r="C993" s="10"/>
      <c r="I993" s="30"/>
      <c r="J993" s="10"/>
      <c r="P993" s="30"/>
      <c r="Q993" s="10"/>
      <c r="W993" s="30"/>
      <c r="X993" s="10"/>
      <c r="AD993" s="30"/>
      <c r="AE993" s="35"/>
      <c r="AF993" s="35"/>
      <c r="AG993" s="10"/>
      <c r="AK993" s="30"/>
      <c r="AL993" s="10"/>
      <c r="AT993" s="30"/>
      <c r="AU993" s="10"/>
      <c r="BC993" s="30"/>
      <c r="BD993" s="10"/>
    </row>
    <row r="994" ht="15.75" customHeight="1">
      <c r="B994" s="30"/>
      <c r="C994" s="10"/>
      <c r="I994" s="30"/>
      <c r="J994" s="10"/>
      <c r="P994" s="30"/>
      <c r="Q994" s="10"/>
      <c r="W994" s="30"/>
      <c r="X994" s="10"/>
      <c r="AD994" s="30"/>
      <c r="AE994" s="35"/>
      <c r="AF994" s="35"/>
      <c r="AG994" s="10"/>
      <c r="AK994" s="30"/>
      <c r="AL994" s="10"/>
      <c r="AT994" s="30"/>
      <c r="AU994" s="10"/>
      <c r="BC994" s="30"/>
      <c r="BD994" s="10"/>
    </row>
    <row r="995" ht="15.75" customHeight="1">
      <c r="B995" s="30"/>
      <c r="C995" s="10"/>
      <c r="I995" s="30"/>
      <c r="J995" s="10"/>
      <c r="P995" s="30"/>
      <c r="Q995" s="10"/>
      <c r="W995" s="30"/>
      <c r="X995" s="10"/>
      <c r="AD995" s="30"/>
      <c r="AE995" s="35"/>
      <c r="AF995" s="35"/>
      <c r="AG995" s="10"/>
      <c r="AK995" s="30"/>
      <c r="AL995" s="10"/>
      <c r="AT995" s="30"/>
      <c r="AU995" s="10"/>
      <c r="BC995" s="30"/>
      <c r="BD995" s="10"/>
    </row>
    <row r="996" ht="15.75" customHeight="1">
      <c r="B996" s="30"/>
      <c r="C996" s="10"/>
      <c r="I996" s="30"/>
      <c r="J996" s="10"/>
      <c r="P996" s="30"/>
      <c r="Q996" s="10"/>
      <c r="W996" s="30"/>
      <c r="X996" s="10"/>
      <c r="AD996" s="30"/>
      <c r="AE996" s="35"/>
      <c r="AF996" s="35"/>
      <c r="AG996" s="10"/>
      <c r="AK996" s="30"/>
      <c r="AL996" s="10"/>
      <c r="AT996" s="30"/>
      <c r="AU996" s="10"/>
      <c r="BC996" s="30"/>
      <c r="BD996" s="10"/>
    </row>
    <row r="997" ht="15.75" customHeight="1">
      <c r="B997" s="30"/>
      <c r="C997" s="10"/>
      <c r="I997" s="30"/>
      <c r="J997" s="10"/>
      <c r="P997" s="30"/>
      <c r="Q997" s="10"/>
      <c r="W997" s="30"/>
      <c r="X997" s="10"/>
      <c r="AD997" s="30"/>
      <c r="AE997" s="35"/>
      <c r="AF997" s="35"/>
      <c r="AG997" s="10"/>
      <c r="AK997" s="30"/>
      <c r="AL997" s="10"/>
      <c r="AT997" s="30"/>
      <c r="AU997" s="10"/>
      <c r="BC997" s="30"/>
      <c r="BD997" s="10"/>
    </row>
    <row r="998" ht="15.75" customHeight="1">
      <c r="B998" s="30"/>
      <c r="C998" s="10"/>
      <c r="I998" s="30"/>
      <c r="J998" s="10"/>
      <c r="P998" s="30"/>
      <c r="Q998" s="10"/>
      <c r="W998" s="30"/>
      <c r="X998" s="10"/>
      <c r="AD998" s="30"/>
      <c r="AE998" s="35"/>
      <c r="AF998" s="35"/>
      <c r="AG998" s="10"/>
      <c r="AK998" s="30"/>
      <c r="AL998" s="10"/>
      <c r="AT998" s="30"/>
      <c r="AU998" s="10"/>
      <c r="BC998" s="30"/>
      <c r="BD998" s="10"/>
    </row>
    <row r="999" ht="15.75" customHeight="1">
      <c r="B999" s="30"/>
      <c r="C999" s="10"/>
      <c r="I999" s="30"/>
      <c r="J999" s="10"/>
      <c r="P999" s="30"/>
      <c r="Q999" s="10"/>
      <c r="W999" s="30"/>
      <c r="X999" s="10"/>
      <c r="AD999" s="30"/>
      <c r="AE999" s="35"/>
      <c r="AF999" s="35"/>
      <c r="AG999" s="10"/>
      <c r="AK999" s="30"/>
      <c r="AL999" s="10"/>
      <c r="AT999" s="30"/>
      <c r="AU999" s="10"/>
      <c r="BC999" s="30"/>
      <c r="BD999" s="10"/>
    </row>
    <row r="1000" ht="15.75" customHeight="1">
      <c r="B1000" s="30"/>
      <c r="C1000" s="10"/>
      <c r="I1000" s="30"/>
      <c r="J1000" s="10"/>
      <c r="P1000" s="30"/>
      <c r="Q1000" s="10"/>
      <c r="W1000" s="30"/>
      <c r="X1000" s="10"/>
      <c r="AD1000" s="30"/>
      <c r="AE1000" s="35"/>
      <c r="AF1000" s="35"/>
      <c r="AG1000" s="10"/>
      <c r="AK1000" s="30"/>
      <c r="AL1000" s="10"/>
      <c r="AT1000" s="30"/>
      <c r="AU1000" s="10"/>
      <c r="BC1000" s="30"/>
      <c r="BD1000" s="10"/>
    </row>
  </sheetData>
  <autoFilter ref="$A$3:$I$162"/>
  <mergeCells count="8">
    <mergeCell ref="C1:I1"/>
    <mergeCell ref="J1:P1"/>
    <mergeCell ref="Q1:W1"/>
    <mergeCell ref="X1:AD1"/>
    <mergeCell ref="AG1:AK1"/>
    <mergeCell ref="AL1:AT1"/>
    <mergeCell ref="AU1:BC1"/>
    <mergeCell ref="BD1:BH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6.0"/>
    <col customWidth="1" min="3" max="26" width="10.56"/>
  </cols>
  <sheetData>
    <row r="1" ht="15.75" customHeight="1"/>
    <row r="2" ht="15.75" customHeight="1">
      <c r="C2" s="33" t="s">
        <v>92</v>
      </c>
      <c r="E2" s="33" t="s">
        <v>93</v>
      </c>
      <c r="G2" s="33" t="s">
        <v>94</v>
      </c>
      <c r="I2" s="33" t="s">
        <v>95</v>
      </c>
      <c r="K2" s="33" t="s">
        <v>96</v>
      </c>
      <c r="M2" s="33" t="s">
        <v>97</v>
      </c>
      <c r="O2" s="33" t="s">
        <v>288</v>
      </c>
      <c r="Q2" s="33" t="s">
        <v>289</v>
      </c>
      <c r="S2" s="33" t="s">
        <v>290</v>
      </c>
      <c r="U2" s="33" t="s">
        <v>101</v>
      </c>
    </row>
    <row r="3" ht="15.75" customHeight="1">
      <c r="C3" s="6" t="s">
        <v>108</v>
      </c>
      <c r="D3" s="6" t="s">
        <v>291</v>
      </c>
      <c r="E3" s="6" t="s">
        <v>108</v>
      </c>
      <c r="F3" s="6" t="s">
        <v>291</v>
      </c>
      <c r="G3" s="6" t="s">
        <v>108</v>
      </c>
      <c r="H3" s="6" t="s">
        <v>291</v>
      </c>
      <c r="I3" s="6" t="s">
        <v>108</v>
      </c>
      <c r="J3" s="6" t="s">
        <v>291</v>
      </c>
      <c r="K3" s="6" t="s">
        <v>108</v>
      </c>
      <c r="L3" s="6" t="s">
        <v>291</v>
      </c>
      <c r="M3" s="6" t="s">
        <v>108</v>
      </c>
      <c r="N3" s="6" t="s">
        <v>291</v>
      </c>
      <c r="O3" s="6" t="s">
        <v>108</v>
      </c>
      <c r="P3" s="6" t="s">
        <v>291</v>
      </c>
      <c r="Q3" s="6" t="s">
        <v>108</v>
      </c>
      <c r="R3" s="6" t="s">
        <v>291</v>
      </c>
      <c r="S3" s="6" t="s">
        <v>108</v>
      </c>
      <c r="T3" s="6" t="s">
        <v>291</v>
      </c>
      <c r="U3" s="6" t="s">
        <v>108</v>
      </c>
      <c r="V3" s="6" t="s">
        <v>291</v>
      </c>
    </row>
    <row r="4" ht="15.75" customHeight="1">
      <c r="A4" s="6" t="s">
        <v>292</v>
      </c>
      <c r="C4" s="15">
        <v>58608.0</v>
      </c>
      <c r="D4" s="11">
        <f>C4/C9</f>
        <v>0.03333667034</v>
      </c>
      <c r="E4" s="15">
        <v>35894.0</v>
      </c>
      <c r="F4" s="11">
        <f>E4/E9</f>
        <v>0.03045413087</v>
      </c>
      <c r="G4" s="15">
        <v>36926.0</v>
      </c>
      <c r="H4" s="11">
        <f>G4/G9</f>
        <v>0.03065054593</v>
      </c>
      <c r="I4" s="15">
        <v>34172.0</v>
      </c>
      <c r="J4" s="11">
        <f>I4/I9</f>
        <v>0.03060178191</v>
      </c>
      <c r="K4" s="15">
        <v>454156.0</v>
      </c>
      <c r="L4" s="11">
        <f>K4/K9</f>
        <v>0.4793951984</v>
      </c>
      <c r="M4" s="15">
        <v>485894.0</v>
      </c>
      <c r="N4" s="11">
        <f>M4/M9</f>
        <v>0.489538615</v>
      </c>
      <c r="O4" s="15">
        <v>17472.0</v>
      </c>
      <c r="P4" s="11">
        <f>O4/O9</f>
        <v>0.02969877972</v>
      </c>
      <c r="Q4" s="15">
        <v>14795.0</v>
      </c>
      <c r="R4" s="11">
        <f>Q4/Q9</f>
        <v>0.02435627493</v>
      </c>
      <c r="S4" s="15">
        <v>24185.0</v>
      </c>
      <c r="T4" s="11">
        <f>S4/S9</f>
        <v>0.01866178381</v>
      </c>
      <c r="U4" s="15">
        <v>20103.0</v>
      </c>
      <c r="V4" s="11">
        <f>U4/U9</f>
        <v>0.03480074784</v>
      </c>
    </row>
    <row r="5" ht="15.75" customHeight="1">
      <c r="A5" s="6" t="s">
        <v>293</v>
      </c>
      <c r="C5" s="15">
        <v>827256.0</v>
      </c>
      <c r="D5" s="11">
        <f>C5/C9</f>
        <v>0.4705494225</v>
      </c>
      <c r="E5" s="15">
        <v>444038.0</v>
      </c>
      <c r="F5" s="11">
        <f>E5/E9</f>
        <v>0.3767423905</v>
      </c>
      <c r="G5" s="15">
        <v>452807.0</v>
      </c>
      <c r="H5" s="11">
        <f>G5/G9</f>
        <v>0.3758539173</v>
      </c>
      <c r="I5" s="15">
        <v>424782.0</v>
      </c>
      <c r="J5" s="11">
        <f>I5/I9</f>
        <v>0.3804016775</v>
      </c>
      <c r="K5" s="15">
        <v>127972.0</v>
      </c>
      <c r="L5" s="11">
        <f>K5/K9</f>
        <v>0.135083897</v>
      </c>
      <c r="M5" s="15">
        <v>145277.0</v>
      </c>
      <c r="N5" s="11">
        <f>M5/M9</f>
        <v>0.1463667001</v>
      </c>
      <c r="O5" s="15">
        <v>147645.0</v>
      </c>
      <c r="P5" s="11">
        <f>O5/O9</f>
        <v>0.2509659073</v>
      </c>
      <c r="Q5" s="15">
        <v>153264.0</v>
      </c>
      <c r="R5" s="11">
        <f>Q5/Q9</f>
        <v>0.252310924</v>
      </c>
      <c r="S5" s="15">
        <v>243228.0</v>
      </c>
      <c r="T5" s="11">
        <f>S5/S9</f>
        <v>0.1876811393</v>
      </c>
      <c r="U5" s="15">
        <v>175247.0</v>
      </c>
      <c r="V5" s="11">
        <f>U5/U9</f>
        <v>0.303373957</v>
      </c>
    </row>
    <row r="6" ht="16.5" customHeight="1">
      <c r="A6" s="6" t="s">
        <v>294</v>
      </c>
      <c r="C6" s="15">
        <v>870850.0</v>
      </c>
      <c r="D6" s="11">
        <f>C6/C9</f>
        <v>0.495346017</v>
      </c>
      <c r="E6" s="15">
        <v>697626.0</v>
      </c>
      <c r="F6" s="11">
        <f>E6/E9</f>
        <v>0.5918981864</v>
      </c>
      <c r="G6" s="15">
        <v>713907.0</v>
      </c>
      <c r="H6" s="11">
        <f>G6/G9</f>
        <v>0.5925808181</v>
      </c>
      <c r="I6" s="15">
        <v>656722.0</v>
      </c>
      <c r="J6" s="11">
        <f>I6/I9</f>
        <v>0.5881090782</v>
      </c>
      <c r="K6" s="15">
        <v>363288.0</v>
      </c>
      <c r="L6" s="11">
        <f>K6/K9</f>
        <v>0.3834773136</v>
      </c>
      <c r="M6" s="15">
        <v>359106.0</v>
      </c>
      <c r="N6" s="11">
        <f>M6/M9</f>
        <v>0.361799598</v>
      </c>
      <c r="O6" s="15">
        <v>420540.0</v>
      </c>
      <c r="P6" s="11">
        <f>O6/O9</f>
        <v>0.7148308621</v>
      </c>
      <c r="Q6" s="15">
        <v>438574.0</v>
      </c>
      <c r="R6" s="11">
        <f>Q6/Q9</f>
        <v>0.7220026307</v>
      </c>
      <c r="S6" s="15">
        <v>1025481.0</v>
      </c>
      <c r="T6" s="11">
        <f>S6/S9</f>
        <v>0.7912881839</v>
      </c>
      <c r="U6" s="15">
        <v>381921.0</v>
      </c>
      <c r="V6" s="11">
        <f>U6/U9</f>
        <v>0.6611518887</v>
      </c>
    </row>
    <row r="7" ht="15.75" customHeight="1">
      <c r="A7" s="6" t="s">
        <v>295</v>
      </c>
      <c r="C7" s="15">
        <v>1350.0</v>
      </c>
      <c r="D7" s="11">
        <f>C7/C9</f>
        <v>0.0007678901337</v>
      </c>
      <c r="E7" s="15">
        <v>1067.0</v>
      </c>
      <c r="F7" s="11">
        <f>E7/E9</f>
        <v>0.0009052921837</v>
      </c>
      <c r="G7" s="15">
        <v>1102.0</v>
      </c>
      <c r="H7" s="11">
        <f>G7/G9</f>
        <v>0.0009147186701</v>
      </c>
      <c r="I7" s="15">
        <v>991.0</v>
      </c>
      <c r="J7" s="11">
        <f>I7/I9</f>
        <v>0.0008874624217</v>
      </c>
      <c r="K7" s="15">
        <v>1936.0</v>
      </c>
      <c r="L7" s="11">
        <f>K7/K9</f>
        <v>0.002043590978</v>
      </c>
      <c r="M7" s="15">
        <v>2278.0</v>
      </c>
      <c r="N7" s="11">
        <f>M7/M9</f>
        <v>0.002295086922</v>
      </c>
      <c r="O7" s="15">
        <v>2650.0</v>
      </c>
      <c r="P7" s="11">
        <f>O7/O9</f>
        <v>0.004504450907</v>
      </c>
      <c r="Q7" s="15">
        <v>808.0</v>
      </c>
      <c r="R7" s="11">
        <f>Q7/Q9</f>
        <v>0.001330170338</v>
      </c>
      <c r="S7" s="15">
        <v>3070.0</v>
      </c>
      <c r="T7" s="11">
        <f>S7/S9</f>
        <v>0.002368892963</v>
      </c>
      <c r="U7" s="15">
        <v>389.0</v>
      </c>
      <c r="V7" s="11">
        <f>U7/U9</f>
        <v>0.0006734065021</v>
      </c>
    </row>
    <row r="8" ht="15.75" customHeight="1">
      <c r="C8" s="15"/>
      <c r="E8" s="15"/>
      <c r="F8" s="11"/>
      <c r="G8" s="15"/>
      <c r="H8" s="11"/>
      <c r="I8" s="15"/>
      <c r="J8" s="11"/>
      <c r="K8" s="15"/>
      <c r="M8" s="15"/>
      <c r="N8" s="11"/>
      <c r="O8" s="15"/>
      <c r="P8" s="11"/>
      <c r="Q8" s="15"/>
      <c r="R8" s="11"/>
      <c r="S8" s="15"/>
      <c r="T8" s="11"/>
      <c r="U8" s="15"/>
      <c r="V8" s="11"/>
    </row>
    <row r="9" ht="15.75" customHeight="1">
      <c r="A9" s="6" t="s">
        <v>108</v>
      </c>
      <c r="C9" s="15">
        <f>SUM(C4:C7)</f>
        <v>1758064</v>
      </c>
      <c r="D9" s="11">
        <f>C9/C9</f>
        <v>1</v>
      </c>
      <c r="E9" s="15">
        <v>1178625.0</v>
      </c>
      <c r="F9" s="11">
        <f>SUM(F4:F8)</f>
        <v>1</v>
      </c>
      <c r="G9" s="15">
        <v>1204742.0</v>
      </c>
      <c r="H9" s="11">
        <f>SUM(H4:H8)</f>
        <v>1</v>
      </c>
      <c r="I9" s="15">
        <v>1116667.0</v>
      </c>
      <c r="J9" s="11">
        <f t="shared" ref="J9:K9" si="1">SUM(J4:J7)</f>
        <v>1</v>
      </c>
      <c r="K9" s="15">
        <f t="shared" si="1"/>
        <v>947352</v>
      </c>
      <c r="L9" s="11">
        <f>K9/K9</f>
        <v>1</v>
      </c>
      <c r="M9" s="15">
        <f>SUM(M4:M8)</f>
        <v>992555</v>
      </c>
      <c r="N9" s="11">
        <f>M9/M9</f>
        <v>1</v>
      </c>
      <c r="O9" s="15">
        <f>SUM(O4:O8)</f>
        <v>588307</v>
      </c>
      <c r="P9" s="11">
        <f>O9/O9</f>
        <v>1</v>
      </c>
      <c r="Q9" s="15">
        <f>SUM(Q4:Q8)</f>
        <v>607441</v>
      </c>
      <c r="R9" s="11">
        <f>Q9/Q9</f>
        <v>1</v>
      </c>
      <c r="S9" s="15">
        <f>SUM(S4:S8)</f>
        <v>1295964</v>
      </c>
      <c r="T9" s="11">
        <f>S9/S9</f>
        <v>1</v>
      </c>
      <c r="U9" s="15">
        <f>SUM(U4:U8)</f>
        <v>577660</v>
      </c>
      <c r="V9" s="11">
        <f>U9/U9</f>
        <v>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Q2:R2"/>
    <mergeCell ref="S2:T2"/>
    <mergeCell ref="U2:V2"/>
    <mergeCell ref="C2:D2"/>
    <mergeCell ref="E2:F2"/>
    <mergeCell ref="G2:H2"/>
    <mergeCell ref="I2:J2"/>
    <mergeCell ref="K2:L2"/>
    <mergeCell ref="M2:N2"/>
    <mergeCell ref="O2:P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21" t="s">
        <v>103</v>
      </c>
      <c r="B1" s="21" t="s">
        <v>104</v>
      </c>
      <c r="C1" s="21" t="s">
        <v>35</v>
      </c>
      <c r="D1" s="22" t="s">
        <v>105</v>
      </c>
      <c r="E1" s="23" t="s">
        <v>36</v>
      </c>
      <c r="F1" s="24" t="s">
        <v>37</v>
      </c>
      <c r="G1" s="21" t="s">
        <v>38</v>
      </c>
      <c r="H1" s="24" t="s">
        <v>39</v>
      </c>
      <c r="I1" s="21" t="s">
        <v>40</v>
      </c>
      <c r="J1" s="25" t="s">
        <v>41</v>
      </c>
      <c r="K1" s="24" t="s">
        <v>106</v>
      </c>
      <c r="L1" s="24" t="s">
        <v>107</v>
      </c>
      <c r="M1" s="23" t="s">
        <v>108</v>
      </c>
      <c r="N1" s="24" t="s">
        <v>109</v>
      </c>
      <c r="O1" s="21" t="s">
        <v>108</v>
      </c>
      <c r="P1" s="24" t="s">
        <v>109</v>
      </c>
      <c r="Q1" s="21" t="s">
        <v>108</v>
      </c>
      <c r="R1" s="24" t="s">
        <v>109</v>
      </c>
      <c r="S1" s="26" t="s">
        <v>108</v>
      </c>
      <c r="T1" s="24" t="s">
        <v>109</v>
      </c>
      <c r="U1" s="21" t="s">
        <v>110</v>
      </c>
      <c r="V1" s="24" t="s">
        <v>109</v>
      </c>
      <c r="W1" s="21" t="s">
        <v>111</v>
      </c>
      <c r="X1" s="24" t="s">
        <v>109</v>
      </c>
      <c r="Y1" s="21" t="s">
        <v>108</v>
      </c>
      <c r="Z1" s="24" t="s">
        <v>109</v>
      </c>
      <c r="AA1" s="21" t="s">
        <v>108</v>
      </c>
      <c r="AB1" s="24" t="s">
        <v>109</v>
      </c>
      <c r="AC1" s="21" t="s">
        <v>108</v>
      </c>
      <c r="AD1" s="24" t="s">
        <v>109</v>
      </c>
      <c r="AE1" s="21" t="s">
        <v>108</v>
      </c>
      <c r="AF1" s="25" t="s">
        <v>109</v>
      </c>
      <c r="AG1" s="27" t="s">
        <v>112</v>
      </c>
      <c r="AH1" s="28" t="s">
        <v>113</v>
      </c>
      <c r="AI1" s="28" t="s">
        <v>114</v>
      </c>
      <c r="AJ1" s="28" t="s">
        <v>87</v>
      </c>
    </row>
    <row r="2" ht="15.75" customHeight="1">
      <c r="A2" s="6" t="s">
        <v>74</v>
      </c>
      <c r="B2" s="6" t="s">
        <v>88</v>
      </c>
      <c r="C2" s="6" t="s">
        <v>53</v>
      </c>
      <c r="D2" s="4" t="s">
        <v>9</v>
      </c>
      <c r="E2" s="19">
        <f t="shared" ref="E2:E160" si="1">AVERAGE(M2,O2,Q2,S2,U2,W2,Y2,AA2,AC2,AE2)</f>
        <v>67850.6</v>
      </c>
      <c r="F2" s="11">
        <f t="shared" ref="F2:F160" si="2">E2/$E$4</f>
        <v>1.437381764</v>
      </c>
      <c r="G2" s="15">
        <f t="shared" ref="G2:G160" si="3">AVERAGE(M2,U2,W2,AC2,AE2)</f>
        <v>63917</v>
      </c>
      <c r="H2" s="11">
        <f t="shared" ref="H2:H160" si="4">G2/$G$4</f>
        <v>1.573542952</v>
      </c>
      <c r="I2" s="15">
        <f t="shared" ref="I2:I160" si="5">AVERAGE(O2,Q2,S2,Y2,AA2)</f>
        <v>71784.2</v>
      </c>
      <c r="J2" s="20">
        <f t="shared" ref="J2:J160" si="6">I2/$I$4</f>
        <v>1.334556636</v>
      </c>
      <c r="K2" s="15">
        <f t="shared" ref="K2:K160" si="7">AVERAGE(O2,Q2,S2)</f>
        <v>89225</v>
      </c>
      <c r="L2" s="11">
        <f t="shared" ref="L2:L160" si="8">K2/$K$4</f>
        <v>1.347077118</v>
      </c>
      <c r="M2" s="19">
        <v>39947.0</v>
      </c>
      <c r="N2" s="11">
        <f t="shared" ref="N2:N160" si="9">M2/$M$4</f>
        <v>1.457919708</v>
      </c>
      <c r="O2" s="15">
        <v>90018.0</v>
      </c>
      <c r="P2" s="11">
        <f t="shared" ref="P2:P160" si="10">O2/$O$4</f>
        <v>1.342049944</v>
      </c>
      <c r="Q2" s="15">
        <v>92923.0</v>
      </c>
      <c r="R2" s="11">
        <f t="shared" ref="R2:R160" si="11">Q2/$Q$4</f>
        <v>1.331351367</v>
      </c>
      <c r="S2" s="17">
        <v>84734.0</v>
      </c>
      <c r="T2" s="29">
        <f t="shared" ref="T2:T160" si="12">S2/$S$4</f>
        <v>1.370279929</v>
      </c>
      <c r="U2" s="15">
        <v>63696.0</v>
      </c>
      <c r="V2" s="11">
        <f t="shared" ref="V2:V160" si="13">U2/$U$4</f>
        <v>1.881102153</v>
      </c>
      <c r="W2" s="15">
        <v>67252.0</v>
      </c>
      <c r="X2" s="11">
        <f t="shared" ref="X2:X160" si="14">W2/$W$4</f>
        <v>1.789616541</v>
      </c>
      <c r="Y2" s="15">
        <v>49527.0</v>
      </c>
      <c r="Z2" s="11">
        <f t="shared" ref="Z2:Z160" si="15">Y2/$Y$4</f>
        <v>1.411789858</v>
      </c>
      <c r="AA2" s="15">
        <v>41719.0</v>
      </c>
      <c r="AB2" s="11">
        <f t="shared" ref="AB2:AB160" si="16">AA2/$AA$4</f>
        <v>1.186715972</v>
      </c>
      <c r="AC2" s="15">
        <v>112197.0</v>
      </c>
      <c r="AD2" s="11">
        <f t="shared" ref="AD2:AD160" si="17">AC2/$AC$4</f>
        <v>1.323171451</v>
      </c>
      <c r="AE2" s="15">
        <v>36493.0</v>
      </c>
      <c r="AF2" s="20">
        <f t="shared" ref="AF2:AF93" si="18">AE2/$AE$4</f>
        <v>1.874800925</v>
      </c>
      <c r="AG2" s="19">
        <v>83977.0</v>
      </c>
      <c r="AH2" s="15">
        <v>54927.0</v>
      </c>
      <c r="AI2" s="15">
        <v>76807.0</v>
      </c>
      <c r="AJ2" s="15">
        <v>64497.0</v>
      </c>
    </row>
    <row r="3" ht="15.75" customHeight="1">
      <c r="A3" s="6" t="s">
        <v>74</v>
      </c>
      <c r="B3" s="6" t="s">
        <v>88</v>
      </c>
      <c r="C3" s="6" t="s">
        <v>53</v>
      </c>
      <c r="D3" s="4" t="s">
        <v>10</v>
      </c>
      <c r="E3" s="19">
        <f t="shared" si="1"/>
        <v>54995.7</v>
      </c>
      <c r="F3" s="11">
        <f t="shared" si="2"/>
        <v>1.165056997</v>
      </c>
      <c r="G3" s="15">
        <f t="shared" si="3"/>
        <v>53770.2</v>
      </c>
      <c r="H3" s="11">
        <f t="shared" si="4"/>
        <v>1.323743593</v>
      </c>
      <c r="I3" s="15">
        <f t="shared" si="5"/>
        <v>56221.2</v>
      </c>
      <c r="J3" s="20">
        <f t="shared" si="6"/>
        <v>1.04522131</v>
      </c>
      <c r="K3" s="15">
        <f t="shared" si="7"/>
        <v>68183.66667</v>
      </c>
      <c r="L3" s="11">
        <f t="shared" si="8"/>
        <v>1.029404956</v>
      </c>
      <c r="M3" s="19">
        <v>29075.0</v>
      </c>
      <c r="N3" s="11">
        <f t="shared" si="9"/>
        <v>1.061131387</v>
      </c>
      <c r="O3" s="15">
        <v>68504.0</v>
      </c>
      <c r="P3" s="11">
        <f t="shared" si="10"/>
        <v>1.02130451</v>
      </c>
      <c r="Q3" s="15">
        <v>70227.0</v>
      </c>
      <c r="R3" s="11">
        <f t="shared" si="11"/>
        <v>1.006175139</v>
      </c>
      <c r="S3" s="17">
        <v>65820.0</v>
      </c>
      <c r="T3" s="29">
        <f t="shared" si="12"/>
        <v>1.064411275</v>
      </c>
      <c r="U3" s="15">
        <v>57897.0</v>
      </c>
      <c r="V3" s="11">
        <f t="shared" si="13"/>
        <v>1.709843182</v>
      </c>
      <c r="W3" s="15">
        <v>60783.0</v>
      </c>
      <c r="X3" s="11">
        <f t="shared" si="14"/>
        <v>1.617472525</v>
      </c>
      <c r="Y3" s="15">
        <v>40312.0</v>
      </c>
      <c r="Z3" s="11">
        <f t="shared" si="15"/>
        <v>1.149112055</v>
      </c>
      <c r="AA3" s="15">
        <v>36243.0</v>
      </c>
      <c r="AB3" s="11">
        <f t="shared" si="16"/>
        <v>1.030948656</v>
      </c>
      <c r="AC3" s="15">
        <v>98949.0</v>
      </c>
      <c r="AD3" s="11">
        <f t="shared" si="17"/>
        <v>1.166933981</v>
      </c>
      <c r="AE3" s="15">
        <v>22147.0</v>
      </c>
      <c r="AF3" s="20">
        <f t="shared" si="18"/>
        <v>1.137785769</v>
      </c>
      <c r="AG3" s="19">
        <v>61667.0</v>
      </c>
      <c r="AH3" s="15">
        <v>41495.0</v>
      </c>
      <c r="AI3" s="15">
        <v>56484.0</v>
      </c>
      <c r="AJ3" s="15">
        <v>47348.0</v>
      </c>
    </row>
    <row r="4" ht="15.75" customHeight="1">
      <c r="A4" s="6" t="s">
        <v>74</v>
      </c>
      <c r="B4" s="6" t="s">
        <v>88</v>
      </c>
      <c r="C4" s="6" t="s">
        <v>53</v>
      </c>
      <c r="D4" s="4" t="s">
        <v>11</v>
      </c>
      <c r="E4" s="19">
        <f t="shared" si="1"/>
        <v>47204.3</v>
      </c>
      <c r="F4" s="11">
        <f t="shared" si="2"/>
        <v>1</v>
      </c>
      <c r="G4" s="15">
        <f t="shared" si="3"/>
        <v>40619.8</v>
      </c>
      <c r="H4" s="11">
        <f t="shared" si="4"/>
        <v>1</v>
      </c>
      <c r="I4" s="15">
        <f t="shared" si="5"/>
        <v>53788.8</v>
      </c>
      <c r="J4" s="20">
        <f t="shared" si="6"/>
        <v>1</v>
      </c>
      <c r="K4" s="15">
        <f t="shared" si="7"/>
        <v>66236</v>
      </c>
      <c r="L4" s="11">
        <f t="shared" si="8"/>
        <v>1</v>
      </c>
      <c r="M4" s="19">
        <v>27400.0</v>
      </c>
      <c r="N4" s="11">
        <f t="shared" si="9"/>
        <v>1</v>
      </c>
      <c r="O4" s="15">
        <v>67075.0</v>
      </c>
      <c r="P4" s="11">
        <f t="shared" si="10"/>
        <v>1</v>
      </c>
      <c r="Q4" s="15">
        <v>69796.0</v>
      </c>
      <c r="R4" s="11">
        <f t="shared" si="11"/>
        <v>1</v>
      </c>
      <c r="S4" s="17">
        <v>61837.0</v>
      </c>
      <c r="T4" s="29">
        <f t="shared" si="12"/>
        <v>1</v>
      </c>
      <c r="U4" s="15">
        <v>33861.0</v>
      </c>
      <c r="V4" s="11">
        <f t="shared" si="13"/>
        <v>1</v>
      </c>
      <c r="W4" s="15">
        <v>37579.0</v>
      </c>
      <c r="X4" s="11">
        <f t="shared" si="14"/>
        <v>1</v>
      </c>
      <c r="Y4" s="15">
        <v>35081.0</v>
      </c>
      <c r="Z4" s="11">
        <f t="shared" si="15"/>
        <v>1</v>
      </c>
      <c r="AA4" s="15">
        <v>35155.0</v>
      </c>
      <c r="AB4" s="11">
        <f t="shared" si="16"/>
        <v>1</v>
      </c>
      <c r="AC4" s="15">
        <v>84794.0</v>
      </c>
      <c r="AD4" s="11">
        <f t="shared" si="17"/>
        <v>1</v>
      </c>
      <c r="AE4" s="15">
        <v>19465.0</v>
      </c>
      <c r="AF4" s="20">
        <f t="shared" si="18"/>
        <v>1</v>
      </c>
      <c r="AG4" s="19">
        <v>64451.0</v>
      </c>
      <c r="AH4" s="15">
        <v>44613.0</v>
      </c>
      <c r="AI4" s="15">
        <v>58931.0</v>
      </c>
      <c r="AJ4" s="15">
        <v>50016.0</v>
      </c>
    </row>
    <row r="5" ht="15.75" customHeight="1">
      <c r="A5" s="6" t="s">
        <v>72</v>
      </c>
      <c r="B5" s="6" t="s">
        <v>89</v>
      </c>
      <c r="C5" s="6" t="s">
        <v>53</v>
      </c>
      <c r="D5" s="4" t="s">
        <v>12</v>
      </c>
      <c r="E5" s="19">
        <f t="shared" si="1"/>
        <v>36394.2</v>
      </c>
      <c r="F5" s="11">
        <f t="shared" si="2"/>
        <v>0.7709933205</v>
      </c>
      <c r="G5" s="15">
        <f t="shared" si="3"/>
        <v>34205</v>
      </c>
      <c r="H5" s="11">
        <f t="shared" si="4"/>
        <v>0.8420770166</v>
      </c>
      <c r="I5" s="15">
        <f t="shared" si="5"/>
        <v>38583.4</v>
      </c>
      <c r="J5" s="20">
        <f t="shared" si="6"/>
        <v>0.7173128979</v>
      </c>
      <c r="K5" s="15">
        <f t="shared" si="7"/>
        <v>50427.66667</v>
      </c>
      <c r="L5" s="11">
        <f t="shared" si="8"/>
        <v>0.7613332126</v>
      </c>
      <c r="M5" s="19">
        <v>26317.0</v>
      </c>
      <c r="N5" s="11">
        <f t="shared" si="9"/>
        <v>0.9604744526</v>
      </c>
      <c r="O5" s="15">
        <v>50700.0</v>
      </c>
      <c r="P5" s="11">
        <f t="shared" si="10"/>
        <v>0.7558702944</v>
      </c>
      <c r="Q5" s="15">
        <v>52199.0</v>
      </c>
      <c r="R5" s="11">
        <f t="shared" si="11"/>
        <v>0.7478795346</v>
      </c>
      <c r="S5" s="17">
        <v>48384.0</v>
      </c>
      <c r="T5" s="29">
        <f t="shared" si="12"/>
        <v>0.7824441677</v>
      </c>
      <c r="U5" s="15">
        <v>35457.0</v>
      </c>
      <c r="V5" s="11">
        <f t="shared" si="13"/>
        <v>1.047133871</v>
      </c>
      <c r="W5" s="15">
        <v>37450.0</v>
      </c>
      <c r="X5" s="11">
        <f t="shared" si="14"/>
        <v>0.9965672317</v>
      </c>
      <c r="Y5" s="15">
        <v>20646.0</v>
      </c>
      <c r="Z5" s="11">
        <f t="shared" si="15"/>
        <v>0.5885237023</v>
      </c>
      <c r="AA5" s="15">
        <v>20988.0</v>
      </c>
      <c r="AB5" s="11">
        <f t="shared" si="16"/>
        <v>0.5970132271</v>
      </c>
      <c r="AC5" s="15">
        <v>50327.0</v>
      </c>
      <c r="AD5" s="11">
        <f t="shared" si="17"/>
        <v>0.593520768</v>
      </c>
      <c r="AE5" s="15">
        <v>21474.0</v>
      </c>
      <c r="AF5" s="20">
        <f t="shared" si="18"/>
        <v>1.103210891</v>
      </c>
      <c r="AG5" s="19">
        <v>51300.0</v>
      </c>
      <c r="AH5" s="15">
        <v>33370.0</v>
      </c>
      <c r="AI5" s="15">
        <v>45812.0</v>
      </c>
      <c r="AJ5" s="15">
        <v>39190.0</v>
      </c>
    </row>
    <row r="6" ht="15.75" customHeight="1">
      <c r="A6" s="6" t="s">
        <v>72</v>
      </c>
      <c r="B6" s="6" t="s">
        <v>89</v>
      </c>
      <c r="C6" s="6" t="s">
        <v>53</v>
      </c>
      <c r="D6" s="4" t="s">
        <v>13</v>
      </c>
      <c r="E6" s="19">
        <f t="shared" si="1"/>
        <v>30326.3</v>
      </c>
      <c r="F6" s="11">
        <f t="shared" si="2"/>
        <v>0.6424478278</v>
      </c>
      <c r="G6" s="15">
        <f t="shared" si="3"/>
        <v>28044.6</v>
      </c>
      <c r="H6" s="11">
        <f t="shared" si="4"/>
        <v>0.6904169888</v>
      </c>
      <c r="I6" s="15">
        <f t="shared" si="5"/>
        <v>32608</v>
      </c>
      <c r="J6" s="20">
        <f t="shared" si="6"/>
        <v>0.6062228568</v>
      </c>
      <c r="K6" s="15">
        <f t="shared" si="7"/>
        <v>39320.66667</v>
      </c>
      <c r="L6" s="11">
        <f t="shared" si="8"/>
        <v>0.5936449464</v>
      </c>
      <c r="M6" s="19">
        <v>19736.0</v>
      </c>
      <c r="N6" s="11">
        <f t="shared" si="9"/>
        <v>0.7202919708</v>
      </c>
      <c r="O6" s="15">
        <v>39491.0</v>
      </c>
      <c r="P6" s="11">
        <f t="shared" si="10"/>
        <v>0.588758852</v>
      </c>
      <c r="Q6" s="15">
        <v>40466.0</v>
      </c>
      <c r="R6" s="11">
        <f t="shared" si="11"/>
        <v>0.5797753453</v>
      </c>
      <c r="S6" s="17">
        <v>38005.0</v>
      </c>
      <c r="T6" s="29">
        <f t="shared" si="12"/>
        <v>0.6145996733</v>
      </c>
      <c r="U6" s="15">
        <v>28848.0</v>
      </c>
      <c r="V6" s="11">
        <f t="shared" si="13"/>
        <v>0.8519535749</v>
      </c>
      <c r="W6" s="15">
        <v>30884.0</v>
      </c>
      <c r="X6" s="11">
        <f t="shared" si="14"/>
        <v>0.8218419862</v>
      </c>
      <c r="Y6" s="15">
        <v>19475.0</v>
      </c>
      <c r="Z6" s="11">
        <f t="shared" si="15"/>
        <v>0.55514381</v>
      </c>
      <c r="AA6" s="15">
        <v>25603.0</v>
      </c>
      <c r="AB6" s="11">
        <f t="shared" si="16"/>
        <v>0.7282890058</v>
      </c>
      <c r="AC6" s="15">
        <v>42318.0</v>
      </c>
      <c r="AD6" s="11">
        <f t="shared" si="17"/>
        <v>0.4990683303</v>
      </c>
      <c r="AE6" s="15">
        <v>18437.0</v>
      </c>
      <c r="AF6" s="20">
        <f t="shared" si="18"/>
        <v>0.9471872592</v>
      </c>
      <c r="AG6" s="19">
        <v>37710.0</v>
      </c>
      <c r="AH6" s="15">
        <v>24264.0</v>
      </c>
      <c r="AI6" s="15">
        <v>33866.0</v>
      </c>
      <c r="AJ6" s="15">
        <v>29071.0</v>
      </c>
    </row>
    <row r="7" ht="15.75" customHeight="1">
      <c r="A7" s="6" t="s">
        <v>76</v>
      </c>
      <c r="B7" s="6" t="s">
        <v>89</v>
      </c>
      <c r="C7" s="6" t="s">
        <v>53</v>
      </c>
      <c r="D7" s="4" t="s">
        <v>14</v>
      </c>
      <c r="E7" s="19">
        <f t="shared" si="1"/>
        <v>24588.3</v>
      </c>
      <c r="F7" s="11">
        <f t="shared" si="2"/>
        <v>0.5208911053</v>
      </c>
      <c r="G7" s="15">
        <f t="shared" si="3"/>
        <v>22999.6</v>
      </c>
      <c r="H7" s="11">
        <f t="shared" si="4"/>
        <v>0.5662164757</v>
      </c>
      <c r="I7" s="15">
        <f t="shared" si="5"/>
        <v>26177</v>
      </c>
      <c r="J7" s="20">
        <f t="shared" si="6"/>
        <v>0.486662651</v>
      </c>
      <c r="K7" s="15">
        <f t="shared" si="7"/>
        <v>32187.33333</v>
      </c>
      <c r="L7" s="11">
        <f t="shared" si="8"/>
        <v>0.485949232</v>
      </c>
      <c r="M7" s="19">
        <v>16864.0</v>
      </c>
      <c r="N7" s="11">
        <f t="shared" si="9"/>
        <v>0.6154744526</v>
      </c>
      <c r="O7" s="15">
        <v>32129.0</v>
      </c>
      <c r="P7" s="11">
        <f t="shared" si="10"/>
        <v>0.4790011182</v>
      </c>
      <c r="Q7" s="15">
        <v>32620.0</v>
      </c>
      <c r="R7" s="11">
        <f t="shared" si="11"/>
        <v>0.4673620265</v>
      </c>
      <c r="S7" s="17">
        <v>31813.0</v>
      </c>
      <c r="T7" s="29">
        <f t="shared" si="12"/>
        <v>0.5144654495</v>
      </c>
      <c r="U7" s="15">
        <v>26186.0</v>
      </c>
      <c r="V7" s="11">
        <f t="shared" si="13"/>
        <v>0.7733380585</v>
      </c>
      <c r="W7" s="15">
        <v>27725.0</v>
      </c>
      <c r="X7" s="11">
        <f t="shared" si="14"/>
        <v>0.7377790787</v>
      </c>
      <c r="Y7" s="15">
        <v>18823.0</v>
      </c>
      <c r="Z7" s="11">
        <f t="shared" si="15"/>
        <v>0.5365582509</v>
      </c>
      <c r="AA7" s="15">
        <v>15500.0</v>
      </c>
      <c r="AB7" s="11">
        <f t="shared" si="16"/>
        <v>0.4409045655</v>
      </c>
      <c r="AC7" s="15">
        <v>32623.0</v>
      </c>
      <c r="AD7" s="11">
        <f t="shared" si="17"/>
        <v>0.3847324103</v>
      </c>
      <c r="AE7" s="15">
        <v>11600.0</v>
      </c>
      <c r="AF7" s="20">
        <f t="shared" si="18"/>
        <v>0.5959414333</v>
      </c>
      <c r="AG7" s="19">
        <v>31654.0</v>
      </c>
      <c r="AH7" s="15">
        <v>20449.0</v>
      </c>
      <c r="AI7" s="15">
        <v>27985.0</v>
      </c>
      <c r="AJ7" s="15">
        <v>23240.0</v>
      </c>
    </row>
    <row r="8" ht="15.75" customHeight="1">
      <c r="A8" s="6" t="s">
        <v>74</v>
      </c>
      <c r="B8" s="6" t="s">
        <v>89</v>
      </c>
      <c r="C8" s="6" t="s">
        <v>53</v>
      </c>
      <c r="D8" s="4" t="s">
        <v>15</v>
      </c>
      <c r="E8" s="19">
        <f t="shared" si="1"/>
        <v>22326.8</v>
      </c>
      <c r="F8" s="11">
        <f t="shared" si="2"/>
        <v>0.4729823342</v>
      </c>
      <c r="G8" s="15">
        <f t="shared" si="3"/>
        <v>20893.8</v>
      </c>
      <c r="H8" s="11">
        <f t="shared" si="4"/>
        <v>0.514374763</v>
      </c>
      <c r="I8" s="15">
        <f t="shared" si="5"/>
        <v>23759.8</v>
      </c>
      <c r="J8" s="20">
        <f t="shared" si="6"/>
        <v>0.4417239277</v>
      </c>
      <c r="K8" s="15">
        <f t="shared" si="7"/>
        <v>29072</v>
      </c>
      <c r="L8" s="11">
        <f t="shared" si="8"/>
        <v>0.4389153934</v>
      </c>
      <c r="M8" s="19">
        <v>12595.0</v>
      </c>
      <c r="N8" s="11">
        <f t="shared" si="9"/>
        <v>0.4596715328</v>
      </c>
      <c r="O8" s="15">
        <v>29395.0</v>
      </c>
      <c r="P8" s="11">
        <f t="shared" si="10"/>
        <v>0.4382407753</v>
      </c>
      <c r="Q8" s="15">
        <v>30685.0</v>
      </c>
      <c r="R8" s="11">
        <f t="shared" si="11"/>
        <v>0.4396383747</v>
      </c>
      <c r="S8" s="17">
        <v>27136.0</v>
      </c>
      <c r="T8" s="29">
        <f t="shared" si="12"/>
        <v>0.4388311205</v>
      </c>
      <c r="U8" s="15">
        <v>17425.0</v>
      </c>
      <c r="V8" s="11">
        <f t="shared" si="13"/>
        <v>0.5146038215</v>
      </c>
      <c r="W8" s="15">
        <v>18923.0</v>
      </c>
      <c r="X8" s="11">
        <f t="shared" si="14"/>
        <v>0.503552516</v>
      </c>
      <c r="Y8" s="15">
        <v>16498.0</v>
      </c>
      <c r="Z8" s="11">
        <f t="shared" si="15"/>
        <v>0.4702830592</v>
      </c>
      <c r="AA8" s="15">
        <v>15085.0</v>
      </c>
      <c r="AB8" s="11">
        <f t="shared" si="16"/>
        <v>0.4290997013</v>
      </c>
      <c r="AC8" s="15">
        <v>44450.0</v>
      </c>
      <c r="AD8" s="11">
        <f t="shared" si="17"/>
        <v>0.5242116187</v>
      </c>
      <c r="AE8" s="15">
        <v>11076.0</v>
      </c>
      <c r="AF8" s="20">
        <f t="shared" si="18"/>
        <v>0.5690213203</v>
      </c>
      <c r="AG8" s="19">
        <v>28258.0</v>
      </c>
      <c r="AH8" s="15">
        <v>20438.0</v>
      </c>
      <c r="AI8" s="15">
        <v>26134.0</v>
      </c>
      <c r="AJ8" s="15">
        <v>21407.0</v>
      </c>
    </row>
    <row r="9" ht="15.75" customHeight="1">
      <c r="A9" s="6" t="s">
        <v>69</v>
      </c>
      <c r="B9" s="6" t="s">
        <v>89</v>
      </c>
      <c r="C9" s="6" t="s">
        <v>54</v>
      </c>
      <c r="D9" s="4" t="s">
        <v>16</v>
      </c>
      <c r="E9" s="19">
        <f t="shared" si="1"/>
        <v>18897.9</v>
      </c>
      <c r="F9" s="11">
        <f t="shared" si="2"/>
        <v>0.4003427654</v>
      </c>
      <c r="G9" s="15">
        <f t="shared" si="3"/>
        <v>17679.8</v>
      </c>
      <c r="H9" s="11">
        <f t="shared" si="4"/>
        <v>0.435250789</v>
      </c>
      <c r="I9" s="15">
        <f t="shared" si="5"/>
        <v>20116</v>
      </c>
      <c r="J9" s="20">
        <f t="shared" si="6"/>
        <v>0.3739812005</v>
      </c>
      <c r="K9" s="15">
        <f t="shared" si="7"/>
        <v>23315.66667</v>
      </c>
      <c r="L9" s="11">
        <f t="shared" si="8"/>
        <v>0.352008978</v>
      </c>
      <c r="M9" s="19">
        <v>13437.0</v>
      </c>
      <c r="N9" s="11">
        <f t="shared" si="9"/>
        <v>0.4904014599</v>
      </c>
      <c r="O9" s="15">
        <v>23595.0</v>
      </c>
      <c r="P9" s="11">
        <f t="shared" si="10"/>
        <v>0.3517704063</v>
      </c>
      <c r="Q9" s="15">
        <v>24011.0</v>
      </c>
      <c r="R9" s="11">
        <f t="shared" si="11"/>
        <v>0.3440168491</v>
      </c>
      <c r="S9" s="17">
        <v>22341.0</v>
      </c>
      <c r="T9" s="29">
        <f t="shared" si="12"/>
        <v>0.3612885489</v>
      </c>
      <c r="U9" s="15">
        <v>17358.0</v>
      </c>
      <c r="V9" s="11">
        <f t="shared" si="13"/>
        <v>0.512625144</v>
      </c>
      <c r="W9" s="15">
        <v>18509.0</v>
      </c>
      <c r="X9" s="11">
        <f t="shared" si="14"/>
        <v>0.4925357247</v>
      </c>
      <c r="Y9" s="15">
        <v>15530.0</v>
      </c>
      <c r="Z9" s="11">
        <f t="shared" si="15"/>
        <v>0.4426897751</v>
      </c>
      <c r="AA9" s="15">
        <v>15103.0</v>
      </c>
      <c r="AB9" s="11">
        <f t="shared" si="16"/>
        <v>0.4296117195</v>
      </c>
      <c r="AC9" s="15">
        <v>26505.0</v>
      </c>
      <c r="AD9" s="11">
        <f t="shared" si="17"/>
        <v>0.3125810788</v>
      </c>
      <c r="AE9" s="15">
        <v>12590.0</v>
      </c>
      <c r="AF9" s="20">
        <f t="shared" si="18"/>
        <v>0.6468019522</v>
      </c>
      <c r="AG9" s="19">
        <v>22892.0</v>
      </c>
      <c r="AH9" s="15">
        <v>14874.0</v>
      </c>
      <c r="AI9" s="15">
        <v>19440.0</v>
      </c>
      <c r="AJ9" s="15">
        <v>15287.0</v>
      </c>
    </row>
    <row r="10" ht="15.75" customHeight="1">
      <c r="A10" s="6" t="s">
        <v>70</v>
      </c>
      <c r="B10" s="6" t="s">
        <v>90</v>
      </c>
      <c r="C10" s="6" t="s">
        <v>287</v>
      </c>
      <c r="D10" s="4" t="s">
        <v>17</v>
      </c>
      <c r="E10" s="19">
        <f t="shared" si="1"/>
        <v>18257.1</v>
      </c>
      <c r="F10" s="11">
        <f t="shared" si="2"/>
        <v>0.3867677309</v>
      </c>
      <c r="G10" s="15">
        <f t="shared" si="3"/>
        <v>16762.4</v>
      </c>
      <c r="H10" s="11">
        <f t="shared" si="4"/>
        <v>0.4126657443</v>
      </c>
      <c r="I10" s="15">
        <f t="shared" si="5"/>
        <v>19751.8</v>
      </c>
      <c r="J10" s="20">
        <f t="shared" si="6"/>
        <v>0.3672102743</v>
      </c>
      <c r="K10" s="15">
        <f t="shared" si="7"/>
        <v>25138.66667</v>
      </c>
      <c r="L10" s="11">
        <f t="shared" si="8"/>
        <v>0.3795317753</v>
      </c>
      <c r="M10" s="19">
        <v>10055.0</v>
      </c>
      <c r="N10" s="11">
        <f t="shared" si="9"/>
        <v>0.3669708029</v>
      </c>
      <c r="O10" s="15">
        <v>25455.0</v>
      </c>
      <c r="P10" s="11">
        <f t="shared" si="10"/>
        <v>0.3795005591</v>
      </c>
      <c r="Q10" s="15">
        <v>26113.0</v>
      </c>
      <c r="R10" s="11">
        <f t="shared" si="11"/>
        <v>0.3741331881</v>
      </c>
      <c r="S10" s="17">
        <v>23848.0</v>
      </c>
      <c r="T10" s="29">
        <f t="shared" si="12"/>
        <v>0.3856590714</v>
      </c>
      <c r="U10" s="15">
        <v>18680.0</v>
      </c>
      <c r="V10" s="11">
        <f t="shared" si="13"/>
        <v>0.5516671097</v>
      </c>
      <c r="W10" s="15">
        <v>19461.0</v>
      </c>
      <c r="X10" s="11">
        <f t="shared" si="14"/>
        <v>0.5178690226</v>
      </c>
      <c r="Y10" s="15">
        <v>11949.0</v>
      </c>
      <c r="Z10" s="11">
        <f t="shared" si="15"/>
        <v>0.3406117271</v>
      </c>
      <c r="AA10" s="15">
        <v>11394.0</v>
      </c>
      <c r="AB10" s="11">
        <f t="shared" si="16"/>
        <v>0.3241075238</v>
      </c>
      <c r="AC10" s="15">
        <v>30671.0</v>
      </c>
      <c r="AD10" s="11">
        <f t="shared" si="17"/>
        <v>0.3617119136</v>
      </c>
      <c r="AE10" s="15">
        <v>4945.0</v>
      </c>
      <c r="AF10" s="20">
        <f t="shared" si="18"/>
        <v>0.2540457231</v>
      </c>
      <c r="AG10" s="19">
        <v>24415.0</v>
      </c>
      <c r="AH10" s="15">
        <v>16957.0</v>
      </c>
      <c r="AI10" s="15">
        <v>20970.0</v>
      </c>
      <c r="AJ10" s="15">
        <v>16663.0</v>
      </c>
    </row>
    <row r="11" ht="15.75" customHeight="1">
      <c r="A11" s="6" t="s">
        <v>72</v>
      </c>
      <c r="B11" s="6" t="s">
        <v>90</v>
      </c>
      <c r="C11" s="6" t="s">
        <v>53</v>
      </c>
      <c r="D11" s="4" t="s">
        <v>18</v>
      </c>
      <c r="E11" s="19">
        <f t="shared" si="1"/>
        <v>17804.8</v>
      </c>
      <c r="F11" s="11">
        <f t="shared" si="2"/>
        <v>0.3771859767</v>
      </c>
      <c r="G11" s="15">
        <f t="shared" si="3"/>
        <v>16351</v>
      </c>
      <c r="H11" s="11">
        <f t="shared" si="4"/>
        <v>0.4025376787</v>
      </c>
      <c r="I11" s="15">
        <f t="shared" si="5"/>
        <v>19258.6</v>
      </c>
      <c r="J11" s="20">
        <f t="shared" si="6"/>
        <v>0.3580410792</v>
      </c>
      <c r="K11" s="15">
        <f t="shared" si="7"/>
        <v>25115.33333</v>
      </c>
      <c r="L11" s="11">
        <f t="shared" si="8"/>
        <v>0.3791794996</v>
      </c>
      <c r="M11" s="19">
        <v>11288.0</v>
      </c>
      <c r="N11" s="11">
        <f t="shared" si="9"/>
        <v>0.4119708029</v>
      </c>
      <c r="O11" s="15">
        <v>25362.0</v>
      </c>
      <c r="P11" s="11">
        <f t="shared" si="10"/>
        <v>0.3781140514</v>
      </c>
      <c r="Q11" s="15">
        <v>25974.0</v>
      </c>
      <c r="R11" s="11">
        <f t="shared" si="11"/>
        <v>0.37214167</v>
      </c>
      <c r="S11" s="17">
        <v>24010.0</v>
      </c>
      <c r="T11" s="29">
        <f t="shared" si="12"/>
        <v>0.3882788622</v>
      </c>
      <c r="U11" s="15">
        <v>17274.0</v>
      </c>
      <c r="V11" s="11">
        <f t="shared" si="13"/>
        <v>0.5101444139</v>
      </c>
      <c r="W11" s="15">
        <v>18333.0</v>
      </c>
      <c r="X11" s="11">
        <f t="shared" si="14"/>
        <v>0.4878522579</v>
      </c>
      <c r="Y11" s="15">
        <v>10485.0</v>
      </c>
      <c r="Z11" s="11">
        <f t="shared" si="15"/>
        <v>0.2988797355</v>
      </c>
      <c r="AA11" s="15">
        <v>10462.0</v>
      </c>
      <c r="AB11" s="11">
        <f t="shared" si="16"/>
        <v>0.297596359</v>
      </c>
      <c r="AC11" s="15">
        <v>25333.0</v>
      </c>
      <c r="AD11" s="11">
        <f t="shared" si="17"/>
        <v>0.2987593462</v>
      </c>
      <c r="AE11" s="15">
        <v>9527.0</v>
      </c>
      <c r="AF11" s="20">
        <f t="shared" si="18"/>
        <v>0.4894425893</v>
      </c>
      <c r="AG11" s="19">
        <v>25132.0</v>
      </c>
      <c r="AH11" s="15">
        <v>15981.0</v>
      </c>
      <c r="AI11" s="15">
        <v>21805.0</v>
      </c>
      <c r="AJ11" s="15">
        <v>17476.0</v>
      </c>
    </row>
    <row r="12" ht="15.75" customHeight="1">
      <c r="A12" s="6" t="s">
        <v>72</v>
      </c>
      <c r="B12" s="6" t="s">
        <v>90</v>
      </c>
      <c r="C12" s="6" t="s">
        <v>53</v>
      </c>
      <c r="D12" s="4" t="s">
        <v>19</v>
      </c>
      <c r="E12" s="19">
        <f t="shared" si="1"/>
        <v>17306.2</v>
      </c>
      <c r="F12" s="11">
        <f t="shared" si="2"/>
        <v>0.3666233796</v>
      </c>
      <c r="G12" s="15">
        <f t="shared" si="3"/>
        <v>17064</v>
      </c>
      <c r="H12" s="11">
        <f t="shared" si="4"/>
        <v>0.4200906947</v>
      </c>
      <c r="I12" s="15">
        <f t="shared" si="5"/>
        <v>17548.4</v>
      </c>
      <c r="J12" s="20">
        <f t="shared" si="6"/>
        <v>0.3262463561</v>
      </c>
      <c r="K12" s="15">
        <f t="shared" si="7"/>
        <v>21474.66667</v>
      </c>
      <c r="L12" s="11">
        <f t="shared" si="8"/>
        <v>0.3242144252</v>
      </c>
      <c r="M12" s="19">
        <v>11562.0</v>
      </c>
      <c r="N12" s="11">
        <f t="shared" si="9"/>
        <v>0.4219708029</v>
      </c>
      <c r="O12" s="15">
        <v>21629.0</v>
      </c>
      <c r="P12" s="11">
        <f t="shared" si="10"/>
        <v>0.3224599329</v>
      </c>
      <c r="Q12" s="15">
        <v>22072.0</v>
      </c>
      <c r="R12" s="11">
        <f t="shared" si="11"/>
        <v>0.3162358874</v>
      </c>
      <c r="S12" s="17">
        <v>20723.0</v>
      </c>
      <c r="T12" s="29">
        <f t="shared" si="12"/>
        <v>0.3351229846</v>
      </c>
      <c r="U12" s="15">
        <v>19958.0</v>
      </c>
      <c r="V12" s="11">
        <f t="shared" si="13"/>
        <v>0.5894096453</v>
      </c>
      <c r="W12" s="15">
        <v>21062.0</v>
      </c>
      <c r="X12" s="11">
        <f t="shared" si="14"/>
        <v>0.5604726044</v>
      </c>
      <c r="Y12" s="15">
        <v>12117.0</v>
      </c>
      <c r="Z12" s="11">
        <f t="shared" si="15"/>
        <v>0.3454006442</v>
      </c>
      <c r="AA12" s="15">
        <v>11201.0</v>
      </c>
      <c r="AB12" s="11">
        <f t="shared" si="16"/>
        <v>0.3186175508</v>
      </c>
      <c r="AC12" s="15">
        <v>24177.0</v>
      </c>
      <c r="AD12" s="11">
        <f t="shared" si="17"/>
        <v>0.2851263061</v>
      </c>
      <c r="AE12" s="15">
        <v>8561.0</v>
      </c>
      <c r="AF12" s="20">
        <f t="shared" si="18"/>
        <v>0.4398150527</v>
      </c>
      <c r="AG12" s="19">
        <v>20367.0</v>
      </c>
      <c r="AH12" s="15">
        <v>13476.0</v>
      </c>
      <c r="AI12" s="15">
        <v>18040.0</v>
      </c>
      <c r="AJ12" s="15">
        <v>15362.0</v>
      </c>
    </row>
    <row r="13" ht="15.75" customHeight="1">
      <c r="A13" s="6" t="s">
        <v>72</v>
      </c>
      <c r="B13" s="6" t="s">
        <v>90</v>
      </c>
      <c r="C13" s="6" t="s">
        <v>53</v>
      </c>
      <c r="D13" s="4" t="s">
        <v>20</v>
      </c>
      <c r="E13" s="19">
        <f t="shared" si="1"/>
        <v>17008.4</v>
      </c>
      <c r="F13" s="11">
        <f t="shared" si="2"/>
        <v>0.3603146324</v>
      </c>
      <c r="G13" s="15">
        <f t="shared" si="3"/>
        <v>16701</v>
      </c>
      <c r="H13" s="11">
        <f t="shared" si="4"/>
        <v>0.4111541662</v>
      </c>
      <c r="I13" s="15">
        <f t="shared" si="5"/>
        <v>17315.8</v>
      </c>
      <c r="J13" s="20">
        <f t="shared" si="6"/>
        <v>0.3219220358</v>
      </c>
      <c r="K13" s="15">
        <f t="shared" si="7"/>
        <v>19646.66667</v>
      </c>
      <c r="L13" s="11">
        <f t="shared" si="8"/>
        <v>0.2966161403</v>
      </c>
      <c r="M13" s="19">
        <v>9196.0</v>
      </c>
      <c r="N13" s="11">
        <f t="shared" si="9"/>
        <v>0.335620438</v>
      </c>
      <c r="O13" s="15">
        <v>19697.0</v>
      </c>
      <c r="P13" s="11">
        <f t="shared" si="10"/>
        <v>0.2936563548</v>
      </c>
      <c r="Q13" s="15">
        <v>20117.0</v>
      </c>
      <c r="R13" s="11">
        <f t="shared" si="11"/>
        <v>0.2882256863</v>
      </c>
      <c r="S13" s="17">
        <v>19126.0</v>
      </c>
      <c r="T13" s="29">
        <f t="shared" si="12"/>
        <v>0.3092970228</v>
      </c>
      <c r="U13" s="15">
        <v>17417.0</v>
      </c>
      <c r="V13" s="11">
        <f t="shared" si="13"/>
        <v>0.5143675615</v>
      </c>
      <c r="W13" s="15">
        <v>18712.0</v>
      </c>
      <c r="X13" s="11">
        <f t="shared" si="14"/>
        <v>0.497937678</v>
      </c>
      <c r="Y13" s="15">
        <v>14637.0</v>
      </c>
      <c r="Z13" s="11">
        <f t="shared" si="15"/>
        <v>0.4172344004</v>
      </c>
      <c r="AA13" s="15">
        <v>13002.0</v>
      </c>
      <c r="AB13" s="11">
        <f t="shared" si="16"/>
        <v>0.3698478168</v>
      </c>
      <c r="AC13" s="15">
        <v>28289.0</v>
      </c>
      <c r="AD13" s="11">
        <f t="shared" si="17"/>
        <v>0.3336203033</v>
      </c>
      <c r="AE13" s="15">
        <v>9891.0</v>
      </c>
      <c r="AF13" s="20">
        <f t="shared" si="18"/>
        <v>0.5081428204</v>
      </c>
      <c r="AG13" s="19">
        <v>17423.0</v>
      </c>
      <c r="AH13" s="15">
        <v>11560.0</v>
      </c>
      <c r="AI13" s="15">
        <v>15922.0</v>
      </c>
      <c r="AJ13" s="15">
        <v>12865.0</v>
      </c>
    </row>
    <row r="14" ht="15.75" customHeight="1">
      <c r="A14" s="6" t="s">
        <v>72</v>
      </c>
      <c r="B14" s="6" t="s">
        <v>90</v>
      </c>
      <c r="C14" s="6" t="s">
        <v>53</v>
      </c>
      <c r="D14" s="4" t="s">
        <v>21</v>
      </c>
      <c r="E14" s="19">
        <f t="shared" si="1"/>
        <v>16042.1</v>
      </c>
      <c r="F14" s="11">
        <f t="shared" si="2"/>
        <v>0.3398440396</v>
      </c>
      <c r="G14" s="15">
        <f t="shared" si="3"/>
        <v>15622</v>
      </c>
      <c r="H14" s="11">
        <f t="shared" si="4"/>
        <v>0.3845907661</v>
      </c>
      <c r="I14" s="15">
        <f t="shared" si="5"/>
        <v>16462.2</v>
      </c>
      <c r="J14" s="20">
        <f t="shared" si="6"/>
        <v>0.3060525611</v>
      </c>
      <c r="K14" s="15">
        <f t="shared" si="7"/>
        <v>20317.66667</v>
      </c>
      <c r="L14" s="11">
        <f t="shared" si="8"/>
        <v>0.3067465829</v>
      </c>
      <c r="M14" s="19">
        <v>9880.0</v>
      </c>
      <c r="N14" s="11">
        <f t="shared" si="9"/>
        <v>0.3605839416</v>
      </c>
      <c r="O14" s="15">
        <v>20500.0</v>
      </c>
      <c r="P14" s="11">
        <f t="shared" si="10"/>
        <v>0.3056280283</v>
      </c>
      <c r="Q14" s="15">
        <v>21054.0</v>
      </c>
      <c r="R14" s="11">
        <f t="shared" si="11"/>
        <v>0.3016505244</v>
      </c>
      <c r="S14" s="17">
        <v>19399.0</v>
      </c>
      <c r="T14" s="29">
        <f t="shared" si="12"/>
        <v>0.3137118554</v>
      </c>
      <c r="U14" s="15">
        <v>14697.0</v>
      </c>
      <c r="V14" s="11">
        <f t="shared" si="13"/>
        <v>0.4340391601</v>
      </c>
      <c r="W14" s="15">
        <v>15875.0</v>
      </c>
      <c r="X14" s="11">
        <f t="shared" si="14"/>
        <v>0.4224433859</v>
      </c>
      <c r="Y14" s="15">
        <v>10726.0</v>
      </c>
      <c r="Z14" s="11">
        <f t="shared" si="15"/>
        <v>0.305749551</v>
      </c>
      <c r="AA14" s="15">
        <v>10632.0</v>
      </c>
      <c r="AB14" s="11">
        <f t="shared" si="16"/>
        <v>0.3024320865</v>
      </c>
      <c r="AC14" s="15">
        <v>24662.0</v>
      </c>
      <c r="AD14" s="11">
        <f t="shared" si="17"/>
        <v>0.2908460504</v>
      </c>
      <c r="AE14" s="15">
        <v>12996.0</v>
      </c>
      <c r="AF14" s="20">
        <f t="shared" si="18"/>
        <v>0.6676599024</v>
      </c>
      <c r="AG14" s="19">
        <v>19504.0</v>
      </c>
      <c r="AH14" s="15">
        <v>12454.0</v>
      </c>
      <c r="AI14" s="15">
        <v>17407.0</v>
      </c>
      <c r="AJ14" s="15">
        <v>13695.0</v>
      </c>
    </row>
    <row r="15" ht="15.75" customHeight="1">
      <c r="A15" s="6" t="s">
        <v>75</v>
      </c>
      <c r="B15" s="6" t="s">
        <v>91</v>
      </c>
      <c r="C15" s="6" t="s">
        <v>53</v>
      </c>
      <c r="D15" s="4" t="s">
        <v>22</v>
      </c>
      <c r="E15" s="19">
        <f t="shared" si="1"/>
        <v>14265.7</v>
      </c>
      <c r="F15" s="11">
        <f t="shared" si="2"/>
        <v>0.3022118748</v>
      </c>
      <c r="G15" s="15">
        <f t="shared" si="3"/>
        <v>13973.6</v>
      </c>
      <c r="H15" s="11">
        <f t="shared" si="4"/>
        <v>0.3440095717</v>
      </c>
      <c r="I15" s="15">
        <f t="shared" si="5"/>
        <v>14557.8</v>
      </c>
      <c r="J15" s="20">
        <f t="shared" si="6"/>
        <v>0.270647421</v>
      </c>
      <c r="K15" s="15">
        <f t="shared" si="7"/>
        <v>18241.66667</v>
      </c>
      <c r="L15" s="11">
        <f t="shared" si="8"/>
        <v>0.2754041106</v>
      </c>
      <c r="M15" s="19">
        <v>10062.0</v>
      </c>
      <c r="N15" s="11">
        <f t="shared" si="9"/>
        <v>0.3672262774</v>
      </c>
      <c r="O15" s="15">
        <v>18352.0</v>
      </c>
      <c r="P15" s="11">
        <f t="shared" si="10"/>
        <v>0.2736041744</v>
      </c>
      <c r="Q15" s="15">
        <v>18617.0</v>
      </c>
      <c r="R15" s="11">
        <f t="shared" si="11"/>
        <v>0.2667344834</v>
      </c>
      <c r="S15" s="17">
        <v>17756.0</v>
      </c>
      <c r="T15" s="29">
        <f t="shared" si="12"/>
        <v>0.2871420024</v>
      </c>
      <c r="U15" s="15">
        <v>15253.0</v>
      </c>
      <c r="V15" s="11">
        <f t="shared" si="13"/>
        <v>0.4504592304</v>
      </c>
      <c r="W15" s="15">
        <v>15828.0</v>
      </c>
      <c r="X15" s="11">
        <f t="shared" si="14"/>
        <v>0.4211926874</v>
      </c>
      <c r="Y15" s="15">
        <v>9798.0</v>
      </c>
      <c r="Z15" s="11">
        <f t="shared" si="15"/>
        <v>0.2792964853</v>
      </c>
      <c r="AA15" s="15">
        <v>8266.0</v>
      </c>
      <c r="AB15" s="11">
        <f t="shared" si="16"/>
        <v>0.235130138</v>
      </c>
      <c r="AC15" s="15">
        <v>19052.0</v>
      </c>
      <c r="AD15" s="11">
        <f t="shared" si="17"/>
        <v>0.2246857089</v>
      </c>
      <c r="AE15" s="15">
        <v>9673.0</v>
      </c>
      <c r="AF15" s="20">
        <f t="shared" si="18"/>
        <v>0.4969432314</v>
      </c>
      <c r="AG15" s="19">
        <v>18196.0</v>
      </c>
      <c r="AH15" s="15">
        <v>11583.0</v>
      </c>
      <c r="AI15" s="15">
        <v>16473.0</v>
      </c>
      <c r="AJ15" s="15">
        <v>13622.0</v>
      </c>
    </row>
    <row r="16" ht="15.75" customHeight="1">
      <c r="A16" s="6" t="s">
        <v>72</v>
      </c>
      <c r="B16" s="6" t="s">
        <v>91</v>
      </c>
      <c r="C16" s="6" t="s">
        <v>53</v>
      </c>
      <c r="D16" s="4" t="s">
        <v>23</v>
      </c>
      <c r="E16" s="19">
        <f t="shared" si="1"/>
        <v>13886.1</v>
      </c>
      <c r="F16" s="11">
        <f t="shared" si="2"/>
        <v>0.2941702345</v>
      </c>
      <c r="G16" s="15">
        <f t="shared" si="3"/>
        <v>13331.4</v>
      </c>
      <c r="H16" s="11">
        <f t="shared" si="4"/>
        <v>0.328199548</v>
      </c>
      <c r="I16" s="15">
        <f t="shared" si="5"/>
        <v>14440.8</v>
      </c>
      <c r="J16" s="20">
        <f t="shared" si="6"/>
        <v>0.268472247</v>
      </c>
      <c r="K16" s="15">
        <f t="shared" si="7"/>
        <v>17928.66667</v>
      </c>
      <c r="L16" s="11">
        <f t="shared" si="8"/>
        <v>0.2706785837</v>
      </c>
      <c r="M16" s="19">
        <v>9397.0</v>
      </c>
      <c r="N16" s="11">
        <f t="shared" si="9"/>
        <v>0.3429562044</v>
      </c>
      <c r="O16" s="15">
        <v>18084.0</v>
      </c>
      <c r="P16" s="11">
        <f t="shared" si="10"/>
        <v>0.269608647</v>
      </c>
      <c r="Q16" s="15">
        <v>18383.0</v>
      </c>
      <c r="R16" s="11">
        <f t="shared" si="11"/>
        <v>0.2633818557</v>
      </c>
      <c r="S16" s="17">
        <v>17319.0</v>
      </c>
      <c r="T16" s="29">
        <f t="shared" si="12"/>
        <v>0.280075036</v>
      </c>
      <c r="U16" s="15">
        <v>15290.0</v>
      </c>
      <c r="V16" s="11">
        <f t="shared" si="13"/>
        <v>0.4515519329</v>
      </c>
      <c r="W16" s="15">
        <v>15959.0</v>
      </c>
      <c r="X16" s="11">
        <f t="shared" si="14"/>
        <v>0.4246786769</v>
      </c>
      <c r="Y16" s="15">
        <v>8590.0</v>
      </c>
      <c r="Z16" s="11">
        <f t="shared" si="15"/>
        <v>0.2448618911</v>
      </c>
      <c r="AA16" s="15">
        <v>9828.0</v>
      </c>
      <c r="AB16" s="11">
        <f t="shared" si="16"/>
        <v>0.27956194</v>
      </c>
      <c r="AC16" s="15">
        <v>18031.0</v>
      </c>
      <c r="AD16" s="11">
        <f t="shared" si="17"/>
        <v>0.2126447626</v>
      </c>
      <c r="AE16" s="15">
        <v>7980.0</v>
      </c>
      <c r="AF16" s="20">
        <f t="shared" si="18"/>
        <v>0.4099666067</v>
      </c>
      <c r="AG16" s="19">
        <v>18038.0</v>
      </c>
      <c r="AH16" s="15">
        <v>11833.0</v>
      </c>
      <c r="AI16" s="15">
        <v>15819.0</v>
      </c>
      <c r="AJ16" s="15">
        <v>12706.0</v>
      </c>
    </row>
    <row r="17" ht="15.75" customHeight="1">
      <c r="A17" s="6" t="s">
        <v>73</v>
      </c>
      <c r="B17" s="6" t="s">
        <v>91</v>
      </c>
      <c r="C17" s="6" t="s">
        <v>60</v>
      </c>
      <c r="D17" s="4" t="s">
        <v>24</v>
      </c>
      <c r="E17" s="19">
        <f t="shared" si="1"/>
        <v>13347.7</v>
      </c>
      <c r="F17" s="11">
        <f t="shared" si="2"/>
        <v>0.2827644939</v>
      </c>
      <c r="G17" s="15">
        <f t="shared" si="3"/>
        <v>12647.4</v>
      </c>
      <c r="H17" s="11">
        <f t="shared" si="4"/>
        <v>0.3113604695</v>
      </c>
      <c r="I17" s="15">
        <f t="shared" si="5"/>
        <v>14048</v>
      </c>
      <c r="J17" s="20">
        <f t="shared" si="6"/>
        <v>0.2611696115</v>
      </c>
      <c r="K17" s="15">
        <f t="shared" si="7"/>
        <v>17880</v>
      </c>
      <c r="L17" s="11">
        <f t="shared" si="8"/>
        <v>0.2699438372</v>
      </c>
      <c r="M17" s="19">
        <v>8705.0</v>
      </c>
      <c r="N17" s="11">
        <f t="shared" si="9"/>
        <v>0.3177007299</v>
      </c>
      <c r="O17" s="15">
        <v>18074.0</v>
      </c>
      <c r="P17" s="11">
        <f t="shared" si="10"/>
        <v>0.2694595602</v>
      </c>
      <c r="Q17" s="15">
        <v>18309.0</v>
      </c>
      <c r="R17" s="11">
        <f t="shared" si="11"/>
        <v>0.262321623</v>
      </c>
      <c r="S17" s="17">
        <v>17257.0</v>
      </c>
      <c r="T17" s="29">
        <f t="shared" si="12"/>
        <v>0.2790724</v>
      </c>
      <c r="U17" s="15">
        <v>14177.0</v>
      </c>
      <c r="V17" s="11">
        <f t="shared" si="13"/>
        <v>0.4186822598</v>
      </c>
      <c r="W17" s="15">
        <v>14996.0</v>
      </c>
      <c r="X17" s="11">
        <f t="shared" si="14"/>
        <v>0.3990526624</v>
      </c>
      <c r="Y17" s="15">
        <v>8466.0</v>
      </c>
      <c r="Z17" s="11">
        <f t="shared" si="15"/>
        <v>0.2413272142</v>
      </c>
      <c r="AA17" s="15">
        <v>8134.0</v>
      </c>
      <c r="AB17" s="11">
        <f t="shared" si="16"/>
        <v>0.2313753378</v>
      </c>
      <c r="AC17" s="15">
        <v>19210.0</v>
      </c>
      <c r="AD17" s="11">
        <f t="shared" si="17"/>
        <v>0.2265490483</v>
      </c>
      <c r="AE17" s="15">
        <v>6149.0</v>
      </c>
      <c r="AF17" s="20">
        <f t="shared" si="18"/>
        <v>0.3159003339</v>
      </c>
      <c r="AG17" s="19">
        <v>17193.0</v>
      </c>
      <c r="AH17" s="15">
        <v>11529.0</v>
      </c>
      <c r="AI17" s="15">
        <v>15039.0</v>
      </c>
      <c r="AJ17" s="15">
        <v>11879.0</v>
      </c>
    </row>
    <row r="18" ht="15.75" customHeight="1">
      <c r="A18" s="6" t="s">
        <v>77</v>
      </c>
      <c r="B18" s="6" t="s">
        <v>91</v>
      </c>
      <c r="C18" s="6" t="s">
        <v>53</v>
      </c>
      <c r="D18" s="4" t="s">
        <v>25</v>
      </c>
      <c r="E18" s="19">
        <f t="shared" si="1"/>
        <v>12705</v>
      </c>
      <c r="F18" s="11">
        <f t="shared" si="2"/>
        <v>0.2691492089</v>
      </c>
      <c r="G18" s="15">
        <f t="shared" si="3"/>
        <v>12963.6</v>
      </c>
      <c r="H18" s="11">
        <f t="shared" si="4"/>
        <v>0.3191448505</v>
      </c>
      <c r="I18" s="15">
        <f t="shared" si="5"/>
        <v>12446.4</v>
      </c>
      <c r="J18" s="20">
        <f t="shared" si="6"/>
        <v>0.2313938961</v>
      </c>
      <c r="K18" s="15">
        <f t="shared" si="7"/>
        <v>15971.66667</v>
      </c>
      <c r="L18" s="11">
        <f t="shared" si="8"/>
        <v>0.2411327174</v>
      </c>
      <c r="M18" s="19">
        <v>8252.0</v>
      </c>
      <c r="N18" s="11">
        <f t="shared" si="9"/>
        <v>0.3011678832</v>
      </c>
      <c r="O18" s="15">
        <v>16057.0</v>
      </c>
      <c r="P18" s="11">
        <f t="shared" si="10"/>
        <v>0.2393887439</v>
      </c>
      <c r="Q18" s="15">
        <v>16396.0</v>
      </c>
      <c r="R18" s="11">
        <f t="shared" si="11"/>
        <v>0.2349131755</v>
      </c>
      <c r="S18" s="17">
        <v>15462.0</v>
      </c>
      <c r="T18" s="29">
        <f t="shared" si="12"/>
        <v>0.2500444718</v>
      </c>
      <c r="U18" s="15">
        <v>14559.0</v>
      </c>
      <c r="V18" s="11">
        <f t="shared" si="13"/>
        <v>0.429963675</v>
      </c>
      <c r="W18" s="15">
        <v>14762.0</v>
      </c>
      <c r="X18" s="11">
        <f t="shared" si="14"/>
        <v>0.3928257804</v>
      </c>
      <c r="Y18" s="15">
        <v>7504.0</v>
      </c>
      <c r="Z18" s="11">
        <f t="shared" si="15"/>
        <v>0.2139049628</v>
      </c>
      <c r="AA18" s="15">
        <v>6813.0</v>
      </c>
      <c r="AB18" s="11">
        <f t="shared" si="16"/>
        <v>0.1937988906</v>
      </c>
      <c r="AC18" s="15">
        <v>17977.0</v>
      </c>
      <c r="AD18" s="11">
        <f t="shared" si="17"/>
        <v>0.2120079251</v>
      </c>
      <c r="AE18" s="15">
        <v>9268.0</v>
      </c>
      <c r="AF18" s="20">
        <f t="shared" si="18"/>
        <v>0.4761366555</v>
      </c>
      <c r="AG18" s="19">
        <v>16094.0</v>
      </c>
      <c r="AH18" s="15">
        <v>10696.0</v>
      </c>
      <c r="AI18" s="15">
        <v>14150.0</v>
      </c>
      <c r="AJ18" s="15">
        <v>12036.0</v>
      </c>
    </row>
    <row r="19" ht="15.75" customHeight="1">
      <c r="A19" s="6" t="s">
        <v>73</v>
      </c>
      <c r="B19" s="6" t="s">
        <v>91</v>
      </c>
      <c r="C19" s="6" t="s">
        <v>60</v>
      </c>
      <c r="D19" s="4" t="s">
        <v>29</v>
      </c>
      <c r="E19" s="19">
        <f t="shared" si="1"/>
        <v>10234.8</v>
      </c>
      <c r="F19" s="11">
        <f t="shared" si="2"/>
        <v>0.2168192305</v>
      </c>
      <c r="G19" s="15">
        <f t="shared" si="3"/>
        <v>9112.8</v>
      </c>
      <c r="H19" s="11">
        <f t="shared" si="4"/>
        <v>0.2243437929</v>
      </c>
      <c r="I19" s="15">
        <f t="shared" si="5"/>
        <v>11356.8</v>
      </c>
      <c r="J19" s="20">
        <f t="shared" si="6"/>
        <v>0.211136891</v>
      </c>
      <c r="K19" s="15">
        <f t="shared" si="7"/>
        <v>13247.66667</v>
      </c>
      <c r="L19" s="11">
        <f t="shared" si="8"/>
        <v>0.2000070455</v>
      </c>
      <c r="M19" s="19">
        <v>5849.0</v>
      </c>
      <c r="N19" s="11">
        <f t="shared" si="9"/>
        <v>0.2134671533</v>
      </c>
      <c r="O19" s="15">
        <v>13403.0</v>
      </c>
      <c r="P19" s="11">
        <f t="shared" si="10"/>
        <v>0.1998210958</v>
      </c>
      <c r="Q19" s="15">
        <v>13624.0</v>
      </c>
      <c r="R19" s="11">
        <f t="shared" si="11"/>
        <v>0.1951974325</v>
      </c>
      <c r="S19" s="17">
        <v>12716.0</v>
      </c>
      <c r="T19" s="29">
        <f t="shared" si="12"/>
        <v>0.2056374016</v>
      </c>
      <c r="U19" s="15">
        <v>11137.0</v>
      </c>
      <c r="V19" s="11">
        <f t="shared" si="13"/>
        <v>0.3289034583</v>
      </c>
      <c r="W19" s="15">
        <v>11479.0</v>
      </c>
      <c r="X19" s="11">
        <f t="shared" si="14"/>
        <v>0.3054631576</v>
      </c>
      <c r="Y19" s="15">
        <v>8486.0</v>
      </c>
      <c r="Z19" s="11">
        <f t="shared" si="15"/>
        <v>0.2418973233</v>
      </c>
      <c r="AA19" s="15">
        <v>8555.0</v>
      </c>
      <c r="AB19" s="11">
        <f t="shared" si="16"/>
        <v>0.2433508747</v>
      </c>
      <c r="AC19" s="15">
        <v>15379.0</v>
      </c>
      <c r="AD19" s="11">
        <f t="shared" si="17"/>
        <v>0.1813689648</v>
      </c>
      <c r="AE19" s="15">
        <v>1720.0</v>
      </c>
      <c r="AF19" s="20">
        <f t="shared" si="18"/>
        <v>0.08836372977</v>
      </c>
      <c r="AG19" s="19">
        <v>12809.0</v>
      </c>
      <c r="AH19" s="15">
        <v>8809.0</v>
      </c>
      <c r="AI19" s="15">
        <v>11116.0</v>
      </c>
      <c r="AJ19" s="15">
        <v>8289.0</v>
      </c>
    </row>
    <row r="20" ht="15.75" customHeight="1">
      <c r="A20" s="6" t="s">
        <v>71</v>
      </c>
      <c r="B20" s="6" t="s">
        <v>91</v>
      </c>
      <c r="C20" s="6" t="s">
        <v>56</v>
      </c>
      <c r="D20" s="4" t="s">
        <v>30</v>
      </c>
      <c r="E20" s="19">
        <f t="shared" si="1"/>
        <v>10030.2</v>
      </c>
      <c r="F20" s="11">
        <f t="shared" si="2"/>
        <v>0.2124848796</v>
      </c>
      <c r="G20" s="15">
        <f t="shared" si="3"/>
        <v>9116.8</v>
      </c>
      <c r="H20" s="11">
        <f t="shared" si="4"/>
        <v>0.2244422671</v>
      </c>
      <c r="I20" s="15">
        <f t="shared" si="5"/>
        <v>10943.6</v>
      </c>
      <c r="J20" s="20">
        <f t="shared" si="6"/>
        <v>0.2034549943</v>
      </c>
      <c r="K20" s="15">
        <f t="shared" si="7"/>
        <v>13159.66667</v>
      </c>
      <c r="L20" s="11">
        <f t="shared" si="8"/>
        <v>0.1986784629</v>
      </c>
      <c r="M20" s="19">
        <v>5337.0</v>
      </c>
      <c r="N20" s="11">
        <f t="shared" si="9"/>
        <v>0.1947810219</v>
      </c>
      <c r="O20" s="15">
        <v>13412.0</v>
      </c>
      <c r="P20" s="11">
        <f t="shared" si="10"/>
        <v>0.1999552739</v>
      </c>
      <c r="Q20" s="15">
        <v>13762.0</v>
      </c>
      <c r="R20" s="11">
        <f t="shared" si="11"/>
        <v>0.1971746232</v>
      </c>
      <c r="S20" s="17">
        <v>12305.0</v>
      </c>
      <c r="T20" s="29">
        <f t="shared" si="12"/>
        <v>0.1989908954</v>
      </c>
      <c r="U20" s="15">
        <v>9287.0</v>
      </c>
      <c r="V20" s="11">
        <f t="shared" si="13"/>
        <v>0.2742683323</v>
      </c>
      <c r="W20" s="15">
        <v>9936.0</v>
      </c>
      <c r="X20" s="11">
        <f t="shared" si="14"/>
        <v>0.264402991</v>
      </c>
      <c r="Y20" s="15">
        <v>6060.0</v>
      </c>
      <c r="Z20" s="11">
        <f t="shared" si="15"/>
        <v>0.1727430803</v>
      </c>
      <c r="AA20" s="15">
        <v>9179.0</v>
      </c>
      <c r="AB20" s="11">
        <f t="shared" si="16"/>
        <v>0.2611008391</v>
      </c>
      <c r="AC20" s="15">
        <v>15517.0</v>
      </c>
      <c r="AD20" s="11">
        <f t="shared" si="17"/>
        <v>0.1829964384</v>
      </c>
      <c r="AE20" s="15">
        <v>5507.0</v>
      </c>
      <c r="AF20" s="20">
        <f t="shared" si="18"/>
        <v>0.2829180581</v>
      </c>
      <c r="AG20" s="19">
        <v>12896.0</v>
      </c>
      <c r="AH20" s="15">
        <v>8966.0</v>
      </c>
      <c r="AI20" s="15">
        <v>11225.0</v>
      </c>
      <c r="AJ20" s="15">
        <v>8224.0</v>
      </c>
    </row>
    <row r="21" ht="15.75" customHeight="1">
      <c r="A21" s="6" t="s">
        <v>69</v>
      </c>
      <c r="B21" s="6" t="s">
        <v>91</v>
      </c>
      <c r="C21" s="6" t="s">
        <v>54</v>
      </c>
      <c r="D21" s="4" t="s">
        <v>27</v>
      </c>
      <c r="E21" s="19">
        <f t="shared" si="1"/>
        <v>10455.8</v>
      </c>
      <c r="F21" s="11">
        <f t="shared" si="2"/>
        <v>0.2215010073</v>
      </c>
      <c r="G21" s="15">
        <f t="shared" si="3"/>
        <v>10147.8</v>
      </c>
      <c r="H21" s="11">
        <f t="shared" si="4"/>
        <v>0.2498239775</v>
      </c>
      <c r="I21" s="15">
        <f t="shared" si="5"/>
        <v>10763.8</v>
      </c>
      <c r="J21" s="20">
        <f t="shared" si="6"/>
        <v>0.200112291</v>
      </c>
      <c r="K21" s="15">
        <f t="shared" si="7"/>
        <v>12298.66667</v>
      </c>
      <c r="L21" s="11">
        <f t="shared" si="8"/>
        <v>0.1856794895</v>
      </c>
      <c r="M21" s="19">
        <v>5371.0</v>
      </c>
      <c r="N21" s="11">
        <f t="shared" si="9"/>
        <v>0.1960218978</v>
      </c>
      <c r="O21" s="15">
        <v>12485.0</v>
      </c>
      <c r="P21" s="11">
        <f t="shared" si="10"/>
        <v>0.1861349236</v>
      </c>
      <c r="Q21" s="15">
        <v>12715.0</v>
      </c>
      <c r="R21" s="11">
        <f t="shared" si="11"/>
        <v>0.1821737635</v>
      </c>
      <c r="S21" s="17">
        <v>11696.0</v>
      </c>
      <c r="T21" s="29">
        <f t="shared" si="12"/>
        <v>0.1891424228</v>
      </c>
      <c r="U21" s="15">
        <v>10678.0</v>
      </c>
      <c r="V21" s="11">
        <f t="shared" si="13"/>
        <v>0.3153480405</v>
      </c>
      <c r="W21" s="15">
        <v>10769.0</v>
      </c>
      <c r="X21" s="11">
        <f t="shared" si="14"/>
        <v>0.2865696267</v>
      </c>
      <c r="Y21" s="15">
        <v>6508.0</v>
      </c>
      <c r="Z21" s="11">
        <f t="shared" si="15"/>
        <v>0.1855135258</v>
      </c>
      <c r="AA21" s="15">
        <v>10415.0</v>
      </c>
      <c r="AB21" s="11">
        <f t="shared" si="16"/>
        <v>0.2962594226</v>
      </c>
      <c r="AC21" s="15">
        <v>15065.0</v>
      </c>
      <c r="AD21" s="11">
        <f t="shared" si="17"/>
        <v>0.1776658726</v>
      </c>
      <c r="AE21" s="15">
        <v>8856.0</v>
      </c>
      <c r="AF21" s="20">
        <f t="shared" si="18"/>
        <v>0.4549704598</v>
      </c>
      <c r="AG21" s="19">
        <v>11457.0</v>
      </c>
      <c r="AH21" s="15">
        <v>8071.0</v>
      </c>
      <c r="AI21" s="15">
        <v>9855.0</v>
      </c>
      <c r="AJ21" s="15">
        <v>7315.0</v>
      </c>
    </row>
    <row r="22" ht="15.75" customHeight="1">
      <c r="A22" s="6" t="s">
        <v>68</v>
      </c>
      <c r="B22" s="6" t="s">
        <v>91</v>
      </c>
      <c r="C22" s="6" t="s">
        <v>53</v>
      </c>
      <c r="D22" s="4" t="s">
        <v>28</v>
      </c>
      <c r="E22" s="19">
        <f t="shared" si="1"/>
        <v>10258.6</v>
      </c>
      <c r="F22" s="11">
        <f t="shared" si="2"/>
        <v>0.2173234218</v>
      </c>
      <c r="G22" s="15">
        <f t="shared" si="3"/>
        <v>9849.4</v>
      </c>
      <c r="H22" s="11">
        <f t="shared" si="4"/>
        <v>0.2424778064</v>
      </c>
      <c r="I22" s="15">
        <f t="shared" si="5"/>
        <v>10667.8</v>
      </c>
      <c r="J22" s="20">
        <f t="shared" si="6"/>
        <v>0.1983275329</v>
      </c>
      <c r="K22" s="15">
        <f t="shared" si="7"/>
        <v>13759.33333</v>
      </c>
      <c r="L22" s="11">
        <f t="shared" si="8"/>
        <v>0.2077319484</v>
      </c>
      <c r="M22" s="19">
        <v>7024.0</v>
      </c>
      <c r="N22" s="11">
        <f t="shared" si="9"/>
        <v>0.256350365</v>
      </c>
      <c r="O22" s="15">
        <v>13875.0</v>
      </c>
      <c r="P22" s="11">
        <f t="shared" si="10"/>
        <v>0.2068579948</v>
      </c>
      <c r="Q22" s="15">
        <v>14044.0</v>
      </c>
      <c r="R22" s="11">
        <f t="shared" si="11"/>
        <v>0.2012149693</v>
      </c>
      <c r="S22" s="17">
        <v>13359.0</v>
      </c>
      <c r="T22" s="29">
        <f t="shared" si="12"/>
        <v>0.2160357068</v>
      </c>
      <c r="U22" s="15">
        <v>11558.0</v>
      </c>
      <c r="V22" s="11">
        <f t="shared" si="13"/>
        <v>0.341336641</v>
      </c>
      <c r="W22" s="15">
        <v>12416.0</v>
      </c>
      <c r="X22" s="11">
        <f t="shared" si="14"/>
        <v>0.3303972964</v>
      </c>
      <c r="Y22" s="15">
        <v>6144.0</v>
      </c>
      <c r="Z22" s="11">
        <f t="shared" si="15"/>
        <v>0.1751375388</v>
      </c>
      <c r="AA22" s="15">
        <v>5917.0</v>
      </c>
      <c r="AB22" s="11">
        <f t="shared" si="16"/>
        <v>0.1683117622</v>
      </c>
      <c r="AC22" s="15">
        <v>12791.0</v>
      </c>
      <c r="AD22" s="11">
        <f t="shared" si="17"/>
        <v>0.1508479374</v>
      </c>
      <c r="AE22" s="15">
        <v>5458.0</v>
      </c>
      <c r="AF22" s="20">
        <f t="shared" si="18"/>
        <v>0.2804007192</v>
      </c>
      <c r="AG22" s="19">
        <v>14335.0</v>
      </c>
      <c r="AH22" s="15">
        <v>9237.0</v>
      </c>
      <c r="AI22" s="15">
        <v>12892.0</v>
      </c>
      <c r="AJ22" s="15">
        <v>10774.0</v>
      </c>
    </row>
    <row r="23" ht="15.75" customHeight="1">
      <c r="A23" s="6" t="s">
        <v>77</v>
      </c>
      <c r="B23" s="6" t="s">
        <v>91</v>
      </c>
      <c r="C23" s="6" t="s">
        <v>53</v>
      </c>
      <c r="D23" s="4" t="s">
        <v>26</v>
      </c>
      <c r="E23" s="19">
        <f t="shared" si="1"/>
        <v>10914.7</v>
      </c>
      <c r="F23" s="11">
        <f t="shared" si="2"/>
        <v>0.2312225793</v>
      </c>
      <c r="G23" s="15">
        <f t="shared" si="3"/>
        <v>11257.4</v>
      </c>
      <c r="H23" s="11">
        <f t="shared" si="4"/>
        <v>0.2771407048</v>
      </c>
      <c r="I23" s="15">
        <f t="shared" si="5"/>
        <v>10572</v>
      </c>
      <c r="J23" s="20">
        <f t="shared" si="6"/>
        <v>0.196546493</v>
      </c>
      <c r="K23" s="15">
        <f t="shared" si="7"/>
        <v>13396</v>
      </c>
      <c r="L23" s="11">
        <f t="shared" si="8"/>
        <v>0.2022465125</v>
      </c>
      <c r="M23" s="19">
        <v>7679.0</v>
      </c>
      <c r="N23" s="11">
        <f t="shared" si="9"/>
        <v>0.2802554745</v>
      </c>
      <c r="O23" s="15">
        <v>13538.0</v>
      </c>
      <c r="P23" s="11">
        <f t="shared" si="10"/>
        <v>0.2018337682</v>
      </c>
      <c r="Q23" s="15">
        <v>13875.0</v>
      </c>
      <c r="R23" s="11">
        <f t="shared" si="11"/>
        <v>0.1987936271</v>
      </c>
      <c r="S23" s="17">
        <v>12775.0</v>
      </c>
      <c r="T23" s="29">
        <f t="shared" si="12"/>
        <v>0.2065915229</v>
      </c>
      <c r="U23" s="15">
        <v>13227.0</v>
      </c>
      <c r="V23" s="11">
        <f t="shared" si="13"/>
        <v>0.3906263843</v>
      </c>
      <c r="W23" s="15">
        <v>13722.0</v>
      </c>
      <c r="X23" s="11">
        <f t="shared" si="14"/>
        <v>0.3651507491</v>
      </c>
      <c r="Y23" s="15">
        <v>5552.0</v>
      </c>
      <c r="Z23" s="11">
        <f t="shared" si="15"/>
        <v>0.1582623072</v>
      </c>
      <c r="AA23" s="15">
        <v>7120.0</v>
      </c>
      <c r="AB23" s="11">
        <f t="shared" si="16"/>
        <v>0.2025316456</v>
      </c>
      <c r="AC23" s="15">
        <v>14142.0</v>
      </c>
      <c r="AD23" s="11">
        <f t="shared" si="17"/>
        <v>0.1667806684</v>
      </c>
      <c r="AE23" s="15">
        <v>7517.0</v>
      </c>
      <c r="AF23" s="20">
        <f t="shared" si="18"/>
        <v>0.3861803237</v>
      </c>
      <c r="AG23" s="19">
        <v>13450.0</v>
      </c>
      <c r="AH23" s="15">
        <v>9165.0</v>
      </c>
      <c r="AI23" s="15">
        <v>12085.0</v>
      </c>
      <c r="AJ23" s="15">
        <v>9692.0</v>
      </c>
    </row>
    <row r="24" ht="15.75" customHeight="1">
      <c r="A24" s="6" t="s">
        <v>70</v>
      </c>
      <c r="B24" s="6" t="s">
        <v>91</v>
      </c>
      <c r="C24" s="6" t="s">
        <v>59</v>
      </c>
      <c r="D24" s="4" t="s">
        <v>31</v>
      </c>
      <c r="E24" s="19">
        <f t="shared" si="1"/>
        <v>9843.1</v>
      </c>
      <c r="F24" s="11">
        <f t="shared" si="2"/>
        <v>0.2085212576</v>
      </c>
      <c r="G24" s="15">
        <f t="shared" si="3"/>
        <v>9365.4</v>
      </c>
      <c r="H24" s="11">
        <f t="shared" si="4"/>
        <v>0.2305624351</v>
      </c>
      <c r="I24" s="15">
        <f t="shared" si="5"/>
        <v>10320.8</v>
      </c>
      <c r="J24" s="20">
        <f t="shared" si="6"/>
        <v>0.1918763758</v>
      </c>
      <c r="K24" s="15">
        <f t="shared" si="7"/>
        <v>12754.66667</v>
      </c>
      <c r="L24" s="11">
        <f t="shared" si="8"/>
        <v>0.1925639632</v>
      </c>
      <c r="M24" s="19">
        <v>6310.0</v>
      </c>
      <c r="N24" s="11">
        <f t="shared" si="9"/>
        <v>0.2302919708</v>
      </c>
      <c r="O24" s="15">
        <v>13035.0</v>
      </c>
      <c r="P24" s="11">
        <f t="shared" si="10"/>
        <v>0.1943347</v>
      </c>
      <c r="Q24" s="15">
        <v>13218.0</v>
      </c>
      <c r="R24" s="11">
        <f t="shared" si="11"/>
        <v>0.1893804803</v>
      </c>
      <c r="S24" s="17">
        <v>12011.0</v>
      </c>
      <c r="T24" s="29">
        <f t="shared" si="12"/>
        <v>0.1942364604</v>
      </c>
      <c r="U24" s="15">
        <v>9701.0</v>
      </c>
      <c r="V24" s="11">
        <f t="shared" si="13"/>
        <v>0.2864947875</v>
      </c>
      <c r="W24" s="15">
        <v>10501.0</v>
      </c>
      <c r="X24" s="11">
        <f t="shared" si="14"/>
        <v>0.279437984</v>
      </c>
      <c r="Y24" s="15">
        <v>6532.0</v>
      </c>
      <c r="Z24" s="11">
        <f t="shared" si="15"/>
        <v>0.1861976569</v>
      </c>
      <c r="AA24" s="15">
        <v>6808.0</v>
      </c>
      <c r="AB24" s="11">
        <f t="shared" si="16"/>
        <v>0.1936566633</v>
      </c>
      <c r="AC24" s="15">
        <v>12642.0</v>
      </c>
      <c r="AD24" s="11">
        <f t="shared" si="17"/>
        <v>0.1490907376</v>
      </c>
      <c r="AE24" s="15">
        <v>7673.0</v>
      </c>
      <c r="AF24" s="20">
        <f t="shared" si="18"/>
        <v>0.3941947085</v>
      </c>
      <c r="AG24" s="19">
        <v>12764.0</v>
      </c>
      <c r="AH24" s="15">
        <v>8644.0</v>
      </c>
      <c r="AI24" s="15">
        <v>11021.0</v>
      </c>
      <c r="AJ24" s="15">
        <v>8568.0</v>
      </c>
    </row>
    <row r="25" ht="15.75" customHeight="1">
      <c r="A25" s="6" t="s">
        <v>72</v>
      </c>
      <c r="B25" s="6" t="s">
        <v>32</v>
      </c>
      <c r="C25" s="6" t="s">
        <v>53</v>
      </c>
      <c r="D25" s="4" t="s">
        <v>116</v>
      </c>
      <c r="E25" s="19">
        <f t="shared" si="1"/>
        <v>9261.5</v>
      </c>
      <c r="F25" s="11">
        <f t="shared" si="2"/>
        <v>0.1962003462</v>
      </c>
      <c r="G25" s="15">
        <f t="shared" si="3"/>
        <v>9497.6</v>
      </c>
      <c r="H25" s="11">
        <f t="shared" si="4"/>
        <v>0.2338170055</v>
      </c>
      <c r="I25" s="15">
        <f t="shared" si="5"/>
        <v>9025.4</v>
      </c>
      <c r="J25" s="20">
        <f t="shared" si="6"/>
        <v>0.1677932953</v>
      </c>
      <c r="K25" s="15">
        <f t="shared" si="7"/>
        <v>10838</v>
      </c>
      <c r="L25" s="11">
        <f t="shared" si="8"/>
        <v>0.1636270306</v>
      </c>
      <c r="M25" s="19">
        <v>5366.0</v>
      </c>
      <c r="N25" s="11">
        <f t="shared" si="9"/>
        <v>0.1958394161</v>
      </c>
      <c r="O25" s="15">
        <v>10878.0</v>
      </c>
      <c r="P25" s="11">
        <f t="shared" si="10"/>
        <v>0.1621766679</v>
      </c>
      <c r="Q25" s="15">
        <v>11091.0</v>
      </c>
      <c r="R25" s="11">
        <f t="shared" si="11"/>
        <v>0.1589059545</v>
      </c>
      <c r="S25" s="17">
        <v>10545.0</v>
      </c>
      <c r="T25" s="29">
        <f t="shared" si="12"/>
        <v>0.1705289713</v>
      </c>
      <c r="U25" s="15">
        <v>8079.0</v>
      </c>
      <c r="V25" s="11">
        <f t="shared" si="13"/>
        <v>0.2385930717</v>
      </c>
      <c r="W25" s="15">
        <v>8440.0</v>
      </c>
      <c r="X25" s="11">
        <f t="shared" si="14"/>
        <v>0.224593523</v>
      </c>
      <c r="Y25" s="15">
        <v>6520.0</v>
      </c>
      <c r="Z25" s="11">
        <f t="shared" si="15"/>
        <v>0.1858555913</v>
      </c>
      <c r="AA25" s="15">
        <v>6093.0</v>
      </c>
      <c r="AB25" s="11">
        <f t="shared" si="16"/>
        <v>0.1733181624</v>
      </c>
      <c r="AC25" s="15">
        <v>16322.0</v>
      </c>
      <c r="AD25" s="11">
        <f t="shared" si="17"/>
        <v>0.1924900347</v>
      </c>
      <c r="AE25" s="15">
        <v>9281.0</v>
      </c>
      <c r="AF25" s="20">
        <f t="shared" si="18"/>
        <v>0.4768045209</v>
      </c>
      <c r="AG25" s="19">
        <v>9758.0</v>
      </c>
      <c r="AH25" s="15">
        <v>6464.0</v>
      </c>
      <c r="AI25" s="15">
        <v>8828.0</v>
      </c>
      <c r="AJ25" s="15">
        <v>7097.0</v>
      </c>
    </row>
    <row r="26" ht="15.75" customHeight="1">
      <c r="A26" s="6" t="s">
        <v>68</v>
      </c>
      <c r="B26" s="6" t="s">
        <v>32</v>
      </c>
      <c r="C26" s="6" t="s">
        <v>53</v>
      </c>
      <c r="D26" s="4" t="s">
        <v>118</v>
      </c>
      <c r="E26" s="19">
        <f t="shared" si="1"/>
        <v>8434.2</v>
      </c>
      <c r="F26" s="11">
        <f t="shared" si="2"/>
        <v>0.1786744004</v>
      </c>
      <c r="G26" s="15">
        <f t="shared" si="3"/>
        <v>7877</v>
      </c>
      <c r="H26" s="11">
        <f t="shared" si="4"/>
        <v>0.1939202064</v>
      </c>
      <c r="I26" s="15">
        <f t="shared" si="5"/>
        <v>8991.4</v>
      </c>
      <c r="J26" s="20">
        <f t="shared" si="6"/>
        <v>0.1671611934</v>
      </c>
      <c r="K26" s="15">
        <f t="shared" si="7"/>
        <v>11414.66667</v>
      </c>
      <c r="L26" s="11">
        <f t="shared" si="8"/>
        <v>0.1723332729</v>
      </c>
      <c r="M26" s="19">
        <v>5444.0</v>
      </c>
      <c r="N26" s="11">
        <f t="shared" si="9"/>
        <v>0.1986861314</v>
      </c>
      <c r="O26" s="15">
        <v>11483.0</v>
      </c>
      <c r="P26" s="11">
        <f t="shared" si="10"/>
        <v>0.1711964219</v>
      </c>
      <c r="Q26" s="15">
        <v>11662.0</v>
      </c>
      <c r="R26" s="11">
        <f t="shared" si="11"/>
        <v>0.1670869391</v>
      </c>
      <c r="S26" s="17">
        <v>11099.0</v>
      </c>
      <c r="T26" s="29">
        <f t="shared" si="12"/>
        <v>0.1794880088</v>
      </c>
      <c r="U26" s="15">
        <v>8476.0</v>
      </c>
      <c r="V26" s="11">
        <f t="shared" si="13"/>
        <v>0.2503174744</v>
      </c>
      <c r="W26" s="15">
        <v>9064.0</v>
      </c>
      <c r="X26" s="11">
        <f t="shared" si="14"/>
        <v>0.2411985417</v>
      </c>
      <c r="Y26" s="15">
        <v>5621.0</v>
      </c>
      <c r="Z26" s="11">
        <f t="shared" si="15"/>
        <v>0.1602291839</v>
      </c>
      <c r="AA26" s="15">
        <v>5092.0</v>
      </c>
      <c r="AB26" s="11">
        <f t="shared" si="16"/>
        <v>0.1448442611</v>
      </c>
      <c r="AC26" s="15">
        <v>11421.0</v>
      </c>
      <c r="AD26" s="11">
        <f t="shared" si="17"/>
        <v>0.1346911338</v>
      </c>
      <c r="AE26" s="15">
        <v>4980.0</v>
      </c>
      <c r="AF26" s="20">
        <f t="shared" si="18"/>
        <v>0.2558438222</v>
      </c>
      <c r="AG26" s="19">
        <v>11319.0</v>
      </c>
      <c r="AH26" s="15">
        <v>7489.0</v>
      </c>
      <c r="AI26" s="15">
        <v>10248.0</v>
      </c>
      <c r="AJ26" s="15">
        <v>8696.0</v>
      </c>
    </row>
    <row r="27" ht="15.75" customHeight="1">
      <c r="A27" s="6" t="s">
        <v>75</v>
      </c>
      <c r="B27" s="6" t="s">
        <v>32</v>
      </c>
      <c r="C27" s="6" t="s">
        <v>53</v>
      </c>
      <c r="D27" s="4" t="s">
        <v>117</v>
      </c>
      <c r="E27" s="19">
        <f t="shared" si="1"/>
        <v>8713.9</v>
      </c>
      <c r="F27" s="11">
        <f t="shared" si="2"/>
        <v>0.1845997081</v>
      </c>
      <c r="G27" s="15">
        <f t="shared" si="3"/>
        <v>8794.4</v>
      </c>
      <c r="H27" s="11">
        <f t="shared" si="4"/>
        <v>0.2165052511</v>
      </c>
      <c r="I27" s="15">
        <f t="shared" si="5"/>
        <v>8633.4</v>
      </c>
      <c r="J27" s="20">
        <f t="shared" si="6"/>
        <v>0.1605055328</v>
      </c>
      <c r="K27" s="15">
        <f t="shared" si="7"/>
        <v>10260.33333</v>
      </c>
      <c r="L27" s="11">
        <f t="shared" si="8"/>
        <v>0.1549056908</v>
      </c>
      <c r="M27" s="19">
        <v>5251.0</v>
      </c>
      <c r="N27" s="11">
        <f t="shared" si="9"/>
        <v>0.1916423358</v>
      </c>
      <c r="O27" s="15">
        <v>10297.0</v>
      </c>
      <c r="P27" s="11">
        <f t="shared" si="10"/>
        <v>0.1535147223</v>
      </c>
      <c r="Q27" s="15">
        <v>10487.0</v>
      </c>
      <c r="R27" s="11">
        <f t="shared" si="11"/>
        <v>0.1502521634</v>
      </c>
      <c r="S27" s="17">
        <v>9997.0</v>
      </c>
      <c r="T27" s="29">
        <f t="shared" si="12"/>
        <v>0.1616669631</v>
      </c>
      <c r="U27" s="15">
        <v>10069.0</v>
      </c>
      <c r="V27" s="11">
        <f t="shared" si="13"/>
        <v>0.2973627477</v>
      </c>
      <c r="W27" s="15">
        <v>10546.0</v>
      </c>
      <c r="X27" s="11">
        <f t="shared" si="14"/>
        <v>0.2806354613</v>
      </c>
      <c r="Y27" s="15">
        <v>6466.0</v>
      </c>
      <c r="Z27" s="11">
        <f t="shared" si="15"/>
        <v>0.1843162966</v>
      </c>
      <c r="AA27" s="15">
        <v>5920.0</v>
      </c>
      <c r="AB27" s="11">
        <f t="shared" si="16"/>
        <v>0.1683970986</v>
      </c>
      <c r="AC27" s="15">
        <v>12796.0</v>
      </c>
      <c r="AD27" s="11">
        <f t="shared" si="17"/>
        <v>0.1509069038</v>
      </c>
      <c r="AE27" s="15">
        <v>5310.0</v>
      </c>
      <c r="AF27" s="20">
        <f t="shared" si="18"/>
        <v>0.2727973285</v>
      </c>
      <c r="AG27" s="19">
        <v>9717.0</v>
      </c>
      <c r="AH27" s="15">
        <v>6353.0</v>
      </c>
      <c r="AI27" s="15">
        <v>8974.0</v>
      </c>
      <c r="AJ27" s="15">
        <v>7190.0</v>
      </c>
    </row>
    <row r="28" ht="15.75" customHeight="1">
      <c r="A28" s="6" t="s">
        <v>77</v>
      </c>
      <c r="B28" s="6" t="s">
        <v>32</v>
      </c>
      <c r="C28" s="6" t="s">
        <v>55</v>
      </c>
      <c r="D28" s="4" t="s">
        <v>115</v>
      </c>
      <c r="E28" s="19">
        <f t="shared" si="1"/>
        <v>9298.4</v>
      </c>
      <c r="F28" s="11">
        <f t="shared" si="2"/>
        <v>0.1969820546</v>
      </c>
      <c r="G28" s="15">
        <f t="shared" si="3"/>
        <v>9979.8</v>
      </c>
      <c r="H28" s="11">
        <f t="shared" si="4"/>
        <v>0.2456880635</v>
      </c>
      <c r="I28" s="15">
        <f t="shared" si="5"/>
        <v>8617</v>
      </c>
      <c r="J28" s="20">
        <f t="shared" si="6"/>
        <v>0.1602006366</v>
      </c>
      <c r="K28" s="15">
        <f t="shared" si="7"/>
        <v>11512.66667</v>
      </c>
      <c r="L28" s="11">
        <f t="shared" si="8"/>
        <v>0.1738128309</v>
      </c>
      <c r="M28" s="19">
        <v>6014.0</v>
      </c>
      <c r="N28" s="11">
        <f t="shared" si="9"/>
        <v>0.2194890511</v>
      </c>
      <c r="O28" s="15">
        <v>11756.0</v>
      </c>
      <c r="P28" s="11">
        <f t="shared" si="10"/>
        <v>0.1752664927</v>
      </c>
      <c r="Q28" s="15">
        <v>12048.0</v>
      </c>
      <c r="R28" s="11">
        <f t="shared" si="11"/>
        <v>0.172617342</v>
      </c>
      <c r="S28" s="17">
        <v>10734.0</v>
      </c>
      <c r="T28" s="29">
        <f t="shared" si="12"/>
        <v>0.1735853939</v>
      </c>
      <c r="U28" s="15">
        <v>11335.0</v>
      </c>
      <c r="V28" s="11">
        <f t="shared" si="13"/>
        <v>0.3347508934</v>
      </c>
      <c r="W28" s="15">
        <v>11212.0</v>
      </c>
      <c r="X28" s="11">
        <f t="shared" si="14"/>
        <v>0.2983581255</v>
      </c>
      <c r="Y28" s="15">
        <v>4029.0</v>
      </c>
      <c r="Z28" s="11">
        <f t="shared" si="15"/>
        <v>0.1148484935</v>
      </c>
      <c r="AA28" s="15">
        <v>4518.0</v>
      </c>
      <c r="AB28" s="11">
        <f t="shared" si="16"/>
        <v>0.1285165695</v>
      </c>
      <c r="AC28" s="15">
        <v>12778.0</v>
      </c>
      <c r="AD28" s="11">
        <f t="shared" si="17"/>
        <v>0.1506946246</v>
      </c>
      <c r="AE28" s="15">
        <v>8560.0</v>
      </c>
      <c r="AF28" s="20">
        <f t="shared" si="18"/>
        <v>0.4397636784</v>
      </c>
      <c r="AG28" s="19">
        <v>11618.0</v>
      </c>
      <c r="AH28" s="15">
        <v>7851.0</v>
      </c>
      <c r="AI28" s="15">
        <v>9831.0</v>
      </c>
      <c r="AJ28" s="15">
        <v>7501.0</v>
      </c>
    </row>
    <row r="29" ht="15.75" customHeight="1">
      <c r="A29" s="6" t="s">
        <v>68</v>
      </c>
      <c r="B29" s="6" t="s">
        <v>32</v>
      </c>
      <c r="C29" s="6" t="s">
        <v>53</v>
      </c>
      <c r="D29" s="4" t="s">
        <v>120</v>
      </c>
      <c r="E29" s="19">
        <f t="shared" si="1"/>
        <v>7887.5</v>
      </c>
      <c r="F29" s="11">
        <f t="shared" si="2"/>
        <v>0.1670928284</v>
      </c>
      <c r="G29" s="15">
        <f t="shared" si="3"/>
        <v>7347.6</v>
      </c>
      <c r="H29" s="11">
        <f t="shared" si="4"/>
        <v>0.1808871536</v>
      </c>
      <c r="I29" s="15">
        <f t="shared" si="5"/>
        <v>8427.4</v>
      </c>
      <c r="J29" s="20">
        <f t="shared" si="6"/>
        <v>0.1566757392</v>
      </c>
      <c r="K29" s="15">
        <f t="shared" si="7"/>
        <v>10263.33333</v>
      </c>
      <c r="L29" s="11">
        <f t="shared" si="8"/>
        <v>0.1549509834</v>
      </c>
      <c r="M29" s="19">
        <v>4473.0</v>
      </c>
      <c r="N29" s="11">
        <f t="shared" si="9"/>
        <v>0.1632481752</v>
      </c>
      <c r="O29" s="15">
        <v>10436.0</v>
      </c>
      <c r="P29" s="11">
        <f t="shared" si="10"/>
        <v>0.1555870294</v>
      </c>
      <c r="Q29" s="15">
        <v>10615.0</v>
      </c>
      <c r="R29" s="11">
        <f t="shared" si="11"/>
        <v>0.1520860794</v>
      </c>
      <c r="S29" s="17">
        <v>9739.0</v>
      </c>
      <c r="T29" s="29">
        <f t="shared" si="12"/>
        <v>0.1574947038</v>
      </c>
      <c r="U29" s="15">
        <v>8178.0</v>
      </c>
      <c r="V29" s="11">
        <f t="shared" si="13"/>
        <v>0.2415167892</v>
      </c>
      <c r="W29" s="15">
        <v>8816.0</v>
      </c>
      <c r="X29" s="11">
        <f t="shared" si="14"/>
        <v>0.2345991112</v>
      </c>
      <c r="Y29" s="15">
        <v>5678.0</v>
      </c>
      <c r="Z29" s="11">
        <f t="shared" si="15"/>
        <v>0.161853995</v>
      </c>
      <c r="AA29" s="15">
        <v>5669.0</v>
      </c>
      <c r="AB29" s="11">
        <f t="shared" si="16"/>
        <v>0.1612572891</v>
      </c>
      <c r="AC29" s="15">
        <v>9161.0</v>
      </c>
      <c r="AD29" s="11">
        <f t="shared" si="17"/>
        <v>0.1080383046</v>
      </c>
      <c r="AE29" s="15">
        <v>6110.0</v>
      </c>
      <c r="AF29" s="20">
        <f t="shared" si="18"/>
        <v>0.3138967377</v>
      </c>
      <c r="AG29" s="19">
        <v>10350.0</v>
      </c>
      <c r="AH29" s="15">
        <v>6411.0</v>
      </c>
      <c r="AI29" s="15">
        <v>9146.0</v>
      </c>
      <c r="AJ29" s="15">
        <v>7303.0</v>
      </c>
    </row>
    <row r="30" ht="15.75" customHeight="1">
      <c r="A30" s="6" t="s">
        <v>78</v>
      </c>
      <c r="B30" s="6" t="s">
        <v>32</v>
      </c>
      <c r="C30" s="6" t="s">
        <v>62</v>
      </c>
      <c r="D30" s="4" t="s">
        <v>122</v>
      </c>
      <c r="E30" s="19">
        <f t="shared" si="1"/>
        <v>7541.2</v>
      </c>
      <c r="F30" s="11">
        <f t="shared" si="2"/>
        <v>0.1597566323</v>
      </c>
      <c r="G30" s="15">
        <f t="shared" si="3"/>
        <v>6895.4</v>
      </c>
      <c r="H30" s="11">
        <f t="shared" si="4"/>
        <v>0.1697546517</v>
      </c>
      <c r="I30" s="15">
        <f t="shared" si="5"/>
        <v>8187</v>
      </c>
      <c r="J30" s="20">
        <f t="shared" si="6"/>
        <v>0.1522064073</v>
      </c>
      <c r="K30" s="15">
        <f t="shared" si="7"/>
        <v>10443</v>
      </c>
      <c r="L30" s="11">
        <f t="shared" si="8"/>
        <v>0.1576635063</v>
      </c>
      <c r="M30" s="19">
        <v>5086.0</v>
      </c>
      <c r="N30" s="11">
        <f t="shared" si="9"/>
        <v>0.185620438</v>
      </c>
      <c r="O30" s="15">
        <v>10660.0</v>
      </c>
      <c r="P30" s="11">
        <f t="shared" si="10"/>
        <v>0.1589265747</v>
      </c>
      <c r="Q30" s="15">
        <v>10778.0</v>
      </c>
      <c r="R30" s="11">
        <f t="shared" si="11"/>
        <v>0.1544214568</v>
      </c>
      <c r="S30" s="17">
        <v>9891.0</v>
      </c>
      <c r="T30" s="29">
        <f t="shared" si="12"/>
        <v>0.1599527791</v>
      </c>
      <c r="U30" s="15">
        <v>7080.0</v>
      </c>
      <c r="V30" s="11">
        <f t="shared" si="13"/>
        <v>0.2090901037</v>
      </c>
      <c r="W30" s="15">
        <v>7280.0</v>
      </c>
      <c r="X30" s="11">
        <f t="shared" si="14"/>
        <v>0.1937252189</v>
      </c>
      <c r="Y30" s="15">
        <v>4208.0</v>
      </c>
      <c r="Z30" s="11">
        <f t="shared" si="15"/>
        <v>0.1199509706</v>
      </c>
      <c r="AA30" s="15">
        <v>5398.0</v>
      </c>
      <c r="AB30" s="11">
        <f t="shared" si="16"/>
        <v>0.1535485706</v>
      </c>
      <c r="AC30" s="15">
        <v>12052.0</v>
      </c>
      <c r="AD30" s="11">
        <f t="shared" si="17"/>
        <v>0.1421326981</v>
      </c>
      <c r="AE30" s="15">
        <v>2979.0</v>
      </c>
      <c r="AF30" s="20">
        <f t="shared" si="18"/>
        <v>0.153043925</v>
      </c>
      <c r="AG30" s="19">
        <v>10239.0</v>
      </c>
      <c r="AH30" s="15">
        <v>6909.0</v>
      </c>
      <c r="AI30" s="15">
        <v>9054.0</v>
      </c>
      <c r="AJ30" s="15">
        <v>6985.0</v>
      </c>
    </row>
    <row r="31" ht="15.75" customHeight="1">
      <c r="A31" s="6" t="s">
        <v>77</v>
      </c>
      <c r="B31" s="6" t="s">
        <v>32</v>
      </c>
      <c r="C31" s="6" t="s">
        <v>55</v>
      </c>
      <c r="D31" s="4" t="s">
        <v>119</v>
      </c>
      <c r="E31" s="19">
        <f t="shared" si="1"/>
        <v>8354.4</v>
      </c>
      <c r="F31" s="11">
        <f t="shared" si="2"/>
        <v>0.1769838765</v>
      </c>
      <c r="G31" s="15">
        <f t="shared" si="3"/>
        <v>8851</v>
      </c>
      <c r="H31" s="11">
        <f t="shared" si="4"/>
        <v>0.2178986603</v>
      </c>
      <c r="I31" s="15">
        <f t="shared" si="5"/>
        <v>7857.8</v>
      </c>
      <c r="J31" s="20">
        <f t="shared" si="6"/>
        <v>0.1460861741</v>
      </c>
      <c r="K31" s="15">
        <f t="shared" si="7"/>
        <v>10909.66667</v>
      </c>
      <c r="L31" s="11">
        <f t="shared" si="8"/>
        <v>0.1647090203</v>
      </c>
      <c r="M31" s="19">
        <v>8273.0</v>
      </c>
      <c r="N31" s="11">
        <f t="shared" si="9"/>
        <v>0.3019343066</v>
      </c>
      <c r="O31" s="15">
        <v>11128.0</v>
      </c>
      <c r="P31" s="11">
        <f t="shared" si="10"/>
        <v>0.165903839</v>
      </c>
      <c r="Q31" s="15">
        <v>11311.0</v>
      </c>
      <c r="R31" s="11">
        <f t="shared" si="11"/>
        <v>0.1620579976</v>
      </c>
      <c r="S31" s="17">
        <v>10290.0</v>
      </c>
      <c r="T31" s="29">
        <f t="shared" si="12"/>
        <v>0.1664052266</v>
      </c>
      <c r="U31" s="15">
        <v>9604.0</v>
      </c>
      <c r="V31" s="11">
        <f t="shared" si="13"/>
        <v>0.283630135</v>
      </c>
      <c r="W31" s="15">
        <v>10092.0</v>
      </c>
      <c r="X31" s="11">
        <f t="shared" si="14"/>
        <v>0.2685542457</v>
      </c>
      <c r="Y31" s="15">
        <v>2816.0</v>
      </c>
      <c r="Z31" s="11">
        <f t="shared" si="15"/>
        <v>0.08027137197</v>
      </c>
      <c r="AA31" s="15">
        <v>3744.0</v>
      </c>
      <c r="AB31" s="11">
        <f t="shared" si="16"/>
        <v>0.1064997867</v>
      </c>
      <c r="AC31" s="15">
        <v>11115.0</v>
      </c>
      <c r="AD31" s="11">
        <f t="shared" si="17"/>
        <v>0.1310823879</v>
      </c>
      <c r="AE31" s="15">
        <v>5171.0</v>
      </c>
      <c r="AF31" s="20">
        <f t="shared" si="18"/>
        <v>0.2656563062</v>
      </c>
      <c r="AG31" s="19">
        <v>8708.0</v>
      </c>
      <c r="AH31" s="15">
        <v>6144.0</v>
      </c>
      <c r="AI31" s="15">
        <v>7709.0</v>
      </c>
      <c r="AJ31" s="15">
        <v>5908.0</v>
      </c>
    </row>
    <row r="32" ht="15.75" customHeight="1">
      <c r="A32" s="6" t="s">
        <v>72</v>
      </c>
      <c r="B32" s="6" t="s">
        <v>32</v>
      </c>
      <c r="C32" s="6" t="s">
        <v>53</v>
      </c>
      <c r="D32" s="4" t="s">
        <v>124</v>
      </c>
      <c r="E32" s="19">
        <f t="shared" si="1"/>
        <v>7337.6</v>
      </c>
      <c r="F32" s="11">
        <f t="shared" si="2"/>
        <v>0.155443466</v>
      </c>
      <c r="G32" s="15">
        <f t="shared" si="3"/>
        <v>7207</v>
      </c>
      <c r="H32" s="11">
        <f t="shared" si="4"/>
        <v>0.1774257874</v>
      </c>
      <c r="I32" s="15">
        <f t="shared" si="5"/>
        <v>7468.2</v>
      </c>
      <c r="J32" s="20">
        <f t="shared" si="6"/>
        <v>0.1388430305</v>
      </c>
      <c r="K32" s="15">
        <f t="shared" si="7"/>
        <v>8858.666667</v>
      </c>
      <c r="L32" s="11">
        <f t="shared" si="8"/>
        <v>0.1337439862</v>
      </c>
      <c r="M32" s="19">
        <v>5110.0</v>
      </c>
      <c r="N32" s="11">
        <f t="shared" si="9"/>
        <v>0.1864963504</v>
      </c>
      <c r="O32" s="15">
        <v>8898.0</v>
      </c>
      <c r="P32" s="11">
        <f t="shared" si="10"/>
        <v>0.132657473</v>
      </c>
      <c r="Q32" s="15">
        <v>9041.0</v>
      </c>
      <c r="R32" s="11">
        <f t="shared" si="11"/>
        <v>0.1295346438</v>
      </c>
      <c r="S32" s="17">
        <v>8637.0</v>
      </c>
      <c r="T32" s="29">
        <f t="shared" si="12"/>
        <v>0.1396736582</v>
      </c>
      <c r="U32" s="15">
        <v>7096.0</v>
      </c>
      <c r="V32" s="11">
        <f t="shared" si="13"/>
        <v>0.2095626237</v>
      </c>
      <c r="W32" s="15">
        <v>7696.0</v>
      </c>
      <c r="X32" s="11">
        <f t="shared" si="14"/>
        <v>0.2047952314</v>
      </c>
      <c r="Y32" s="15">
        <v>5043.0</v>
      </c>
      <c r="Z32" s="11">
        <f t="shared" si="15"/>
        <v>0.1437530287</v>
      </c>
      <c r="AA32" s="15">
        <v>5722.0</v>
      </c>
      <c r="AB32" s="11">
        <f t="shared" si="16"/>
        <v>0.1627648983</v>
      </c>
      <c r="AC32" s="15">
        <v>9964.0</v>
      </c>
      <c r="AD32" s="11">
        <f t="shared" si="17"/>
        <v>0.1175083143</v>
      </c>
      <c r="AE32" s="15">
        <v>6169.0</v>
      </c>
      <c r="AF32" s="20">
        <f t="shared" si="18"/>
        <v>0.3169278192</v>
      </c>
      <c r="AG32" s="19">
        <v>8612.0</v>
      </c>
      <c r="AH32" s="15">
        <v>5714.0</v>
      </c>
      <c r="AI32" s="15">
        <v>7693.0</v>
      </c>
      <c r="AJ32" s="15">
        <v>5909.0</v>
      </c>
    </row>
    <row r="33" ht="15.75" customHeight="1">
      <c r="A33" s="6" t="s">
        <v>76</v>
      </c>
      <c r="B33" s="6" t="s">
        <v>32</v>
      </c>
      <c r="C33" s="6" t="s">
        <v>53</v>
      </c>
      <c r="D33" s="4" t="s">
        <v>123</v>
      </c>
      <c r="E33" s="19">
        <f t="shared" si="1"/>
        <v>7401.3</v>
      </c>
      <c r="F33" s="11">
        <f t="shared" si="2"/>
        <v>0.1567929193</v>
      </c>
      <c r="G33" s="15">
        <f t="shared" si="3"/>
        <v>7561.6</v>
      </c>
      <c r="H33" s="11">
        <f t="shared" si="4"/>
        <v>0.1861555202</v>
      </c>
      <c r="I33" s="15">
        <f t="shared" si="5"/>
        <v>7241</v>
      </c>
      <c r="J33" s="20">
        <f t="shared" si="6"/>
        <v>0.1346191029</v>
      </c>
      <c r="K33" s="15">
        <f t="shared" si="7"/>
        <v>8942</v>
      </c>
      <c r="L33" s="11">
        <f t="shared" si="8"/>
        <v>0.1350021137</v>
      </c>
      <c r="M33" s="19">
        <v>4845.0</v>
      </c>
      <c r="N33" s="11">
        <f t="shared" si="9"/>
        <v>0.1768248175</v>
      </c>
      <c r="O33" s="15">
        <v>8995.0</v>
      </c>
      <c r="P33" s="11">
        <f t="shared" si="10"/>
        <v>0.1341036154</v>
      </c>
      <c r="Q33" s="15">
        <v>9123.0</v>
      </c>
      <c r="R33" s="11">
        <f t="shared" si="11"/>
        <v>0.1307094962</v>
      </c>
      <c r="S33" s="17">
        <v>8708.0</v>
      </c>
      <c r="T33" s="29">
        <f t="shared" si="12"/>
        <v>0.1408218381</v>
      </c>
      <c r="U33" s="15">
        <v>9012.0</v>
      </c>
      <c r="V33" s="11">
        <f t="shared" si="13"/>
        <v>0.2661468947</v>
      </c>
      <c r="W33" s="15">
        <v>9376.0</v>
      </c>
      <c r="X33" s="11">
        <f t="shared" si="14"/>
        <v>0.2495010511</v>
      </c>
      <c r="Y33" s="15">
        <v>4706.0</v>
      </c>
      <c r="Z33" s="11">
        <f t="shared" si="15"/>
        <v>0.1341466891</v>
      </c>
      <c r="AA33" s="15">
        <v>4673.0</v>
      </c>
      <c r="AB33" s="11">
        <f t="shared" si="16"/>
        <v>0.1329256151</v>
      </c>
      <c r="AC33" s="15">
        <v>7885.0</v>
      </c>
      <c r="AD33" s="11">
        <f t="shared" si="17"/>
        <v>0.09299007005</v>
      </c>
      <c r="AE33" s="15">
        <v>6690.0</v>
      </c>
      <c r="AF33" s="20">
        <f t="shared" si="18"/>
        <v>0.3436938094</v>
      </c>
      <c r="AG33" s="19">
        <v>8963.0</v>
      </c>
      <c r="AH33" s="15">
        <v>5887.0</v>
      </c>
      <c r="AI33" s="15">
        <v>7716.0</v>
      </c>
      <c r="AJ33" s="15">
        <v>6096.0</v>
      </c>
    </row>
    <row r="34" ht="15.75" customHeight="1">
      <c r="A34" s="6" t="s">
        <v>68</v>
      </c>
      <c r="B34" s="6" t="s">
        <v>32</v>
      </c>
      <c r="C34" s="6" t="s">
        <v>53</v>
      </c>
      <c r="D34" s="4" t="s">
        <v>129</v>
      </c>
      <c r="E34" s="19">
        <f t="shared" si="1"/>
        <v>6054.5</v>
      </c>
      <c r="F34" s="11">
        <f t="shared" si="2"/>
        <v>0.1282616202</v>
      </c>
      <c r="G34" s="15">
        <f t="shared" si="3"/>
        <v>4904.8</v>
      </c>
      <c r="H34" s="11">
        <f t="shared" si="4"/>
        <v>0.1207489943</v>
      </c>
      <c r="I34" s="15">
        <f t="shared" si="5"/>
        <v>7204.2</v>
      </c>
      <c r="J34" s="20">
        <f t="shared" si="6"/>
        <v>0.1339349456</v>
      </c>
      <c r="K34" s="15">
        <f t="shared" si="7"/>
        <v>8913.333333</v>
      </c>
      <c r="L34" s="11">
        <f t="shared" si="8"/>
        <v>0.1345693178</v>
      </c>
      <c r="M34" s="19">
        <v>3319.0</v>
      </c>
      <c r="N34" s="11">
        <f t="shared" si="9"/>
        <v>0.1211313869</v>
      </c>
      <c r="O34" s="15">
        <v>9101.0</v>
      </c>
      <c r="P34" s="11">
        <f t="shared" si="10"/>
        <v>0.1356839359</v>
      </c>
      <c r="Q34" s="15">
        <v>9312.0</v>
      </c>
      <c r="R34" s="11">
        <f t="shared" si="11"/>
        <v>0.1334173878</v>
      </c>
      <c r="S34" s="17">
        <v>8327.0</v>
      </c>
      <c r="T34" s="29">
        <f t="shared" si="12"/>
        <v>0.1346604784</v>
      </c>
      <c r="U34" s="15">
        <v>5004.0</v>
      </c>
      <c r="V34" s="11">
        <f t="shared" si="13"/>
        <v>0.1477806326</v>
      </c>
      <c r="W34" s="15">
        <v>5354.0</v>
      </c>
      <c r="X34" s="11">
        <f t="shared" si="14"/>
        <v>0.1424731898</v>
      </c>
      <c r="Y34" s="15">
        <v>4427.0</v>
      </c>
      <c r="Z34" s="11">
        <f t="shared" si="15"/>
        <v>0.1261936661</v>
      </c>
      <c r="AA34" s="15">
        <v>4854.0</v>
      </c>
      <c r="AB34" s="11">
        <f t="shared" si="16"/>
        <v>0.1380742426</v>
      </c>
      <c r="AC34" s="15">
        <v>8839.0</v>
      </c>
      <c r="AD34" s="11">
        <f t="shared" si="17"/>
        <v>0.1042408661</v>
      </c>
      <c r="AE34" s="15">
        <v>2008.0</v>
      </c>
      <c r="AF34" s="20">
        <f t="shared" si="18"/>
        <v>0.1031595171</v>
      </c>
      <c r="AG34" s="19">
        <v>8825.0</v>
      </c>
      <c r="AH34" s="15">
        <v>6212.0</v>
      </c>
      <c r="AI34" s="15">
        <v>7754.0</v>
      </c>
      <c r="AJ34" s="15">
        <v>6113.0</v>
      </c>
    </row>
    <row r="35" ht="15.75" customHeight="1">
      <c r="A35" s="6" t="s">
        <v>70</v>
      </c>
      <c r="B35" s="6" t="s">
        <v>32</v>
      </c>
      <c r="C35" s="6" t="s">
        <v>287</v>
      </c>
      <c r="D35" s="4" t="s">
        <v>126</v>
      </c>
      <c r="E35" s="19">
        <f t="shared" si="1"/>
        <v>6966.2</v>
      </c>
      <c r="F35" s="11">
        <f t="shared" si="2"/>
        <v>0.1475755387</v>
      </c>
      <c r="G35" s="15">
        <f t="shared" si="3"/>
        <v>6847</v>
      </c>
      <c r="H35" s="11">
        <f t="shared" si="4"/>
        <v>0.1685631145</v>
      </c>
      <c r="I35" s="15">
        <f t="shared" si="5"/>
        <v>7085.4</v>
      </c>
      <c r="J35" s="20">
        <f t="shared" si="6"/>
        <v>0.1317263073</v>
      </c>
      <c r="K35" s="15">
        <f t="shared" si="7"/>
        <v>9332</v>
      </c>
      <c r="L35" s="11">
        <f t="shared" si="8"/>
        <v>0.1408901504</v>
      </c>
      <c r="M35" s="19">
        <v>4890.0</v>
      </c>
      <c r="N35" s="11">
        <f t="shared" si="9"/>
        <v>0.1784671533</v>
      </c>
      <c r="O35" s="15">
        <v>9433.0</v>
      </c>
      <c r="P35" s="11">
        <f t="shared" si="10"/>
        <v>0.1406336191</v>
      </c>
      <c r="Q35" s="15">
        <v>9582.0</v>
      </c>
      <c r="R35" s="11">
        <f t="shared" si="11"/>
        <v>0.1372858043</v>
      </c>
      <c r="S35" s="17">
        <v>8981.0</v>
      </c>
      <c r="T35" s="29">
        <f t="shared" si="12"/>
        <v>0.1452366706</v>
      </c>
      <c r="U35" s="15">
        <v>8411.0</v>
      </c>
      <c r="V35" s="11">
        <f t="shared" si="13"/>
        <v>0.2483978618</v>
      </c>
      <c r="W35" s="15">
        <v>8494.0</v>
      </c>
      <c r="X35" s="11">
        <f t="shared" si="14"/>
        <v>0.2260304958</v>
      </c>
      <c r="Y35" s="15">
        <v>3531.0</v>
      </c>
      <c r="Z35" s="11">
        <f t="shared" si="15"/>
        <v>0.100652775</v>
      </c>
      <c r="AA35" s="15">
        <v>3900.0</v>
      </c>
      <c r="AB35" s="11">
        <f t="shared" si="16"/>
        <v>0.1109372778</v>
      </c>
      <c r="AC35" s="15">
        <v>9282.0</v>
      </c>
      <c r="AD35" s="11">
        <f t="shared" si="17"/>
        <v>0.1094652924</v>
      </c>
      <c r="AE35" s="15">
        <v>3158.0</v>
      </c>
      <c r="AF35" s="20">
        <f t="shared" si="18"/>
        <v>0.1622399178</v>
      </c>
      <c r="AG35" s="19">
        <v>9172.0</v>
      </c>
      <c r="AH35" s="15">
        <v>6076.0</v>
      </c>
      <c r="AI35" s="15">
        <v>7794.0</v>
      </c>
      <c r="AJ35" s="15">
        <v>6208.0</v>
      </c>
    </row>
    <row r="36" ht="15.75" customHeight="1">
      <c r="A36" s="6" t="s">
        <v>78</v>
      </c>
      <c r="B36" s="6" t="s">
        <v>32</v>
      </c>
      <c r="C36" s="6" t="s">
        <v>287</v>
      </c>
      <c r="D36" s="4" t="s">
        <v>125</v>
      </c>
      <c r="E36" s="19">
        <f t="shared" si="1"/>
        <v>7318.2</v>
      </c>
      <c r="F36" s="11">
        <f t="shared" si="2"/>
        <v>0.1550324864</v>
      </c>
      <c r="G36" s="15">
        <f t="shared" si="3"/>
        <v>7607</v>
      </c>
      <c r="H36" s="11">
        <f t="shared" si="4"/>
        <v>0.1872732017</v>
      </c>
      <c r="I36" s="15">
        <f t="shared" si="5"/>
        <v>7029.4</v>
      </c>
      <c r="J36" s="20">
        <f t="shared" si="6"/>
        <v>0.1306851984</v>
      </c>
      <c r="K36" s="15">
        <f t="shared" si="7"/>
        <v>8861</v>
      </c>
      <c r="L36" s="11">
        <f t="shared" si="8"/>
        <v>0.1337792137</v>
      </c>
      <c r="M36" s="19">
        <v>3903.0</v>
      </c>
      <c r="N36" s="11">
        <f t="shared" si="9"/>
        <v>0.1424452555</v>
      </c>
      <c r="O36" s="15">
        <v>8985.0</v>
      </c>
      <c r="P36" s="11">
        <f t="shared" si="10"/>
        <v>0.1339545285</v>
      </c>
      <c r="Q36" s="15">
        <v>9105.0</v>
      </c>
      <c r="R36" s="11">
        <f t="shared" si="11"/>
        <v>0.1304516018</v>
      </c>
      <c r="S36" s="17">
        <v>8493.0</v>
      </c>
      <c r="T36" s="29">
        <f t="shared" si="12"/>
        <v>0.1373449553</v>
      </c>
      <c r="U36" s="15">
        <v>8846.0</v>
      </c>
      <c r="V36" s="11">
        <f t="shared" si="13"/>
        <v>0.2612444996</v>
      </c>
      <c r="W36" s="15">
        <v>8951.0</v>
      </c>
      <c r="X36" s="11">
        <f t="shared" si="14"/>
        <v>0.2381915431</v>
      </c>
      <c r="Y36" s="15">
        <v>3878.0</v>
      </c>
      <c r="Z36" s="11">
        <f t="shared" si="15"/>
        <v>0.1105441692</v>
      </c>
      <c r="AA36" s="15">
        <v>4686.0</v>
      </c>
      <c r="AB36" s="11">
        <f t="shared" si="16"/>
        <v>0.1332954061</v>
      </c>
      <c r="AC36" s="15">
        <v>8253.0</v>
      </c>
      <c r="AD36" s="11">
        <f t="shared" si="17"/>
        <v>0.09732999976</v>
      </c>
      <c r="AE36" s="15">
        <v>8082.0</v>
      </c>
      <c r="AF36" s="20">
        <f t="shared" si="18"/>
        <v>0.4152067814</v>
      </c>
      <c r="AG36" s="19">
        <v>8888.0</v>
      </c>
      <c r="AH36" s="15">
        <v>6007.0</v>
      </c>
      <c r="AI36" s="15">
        <v>7755.0</v>
      </c>
      <c r="AJ36" s="15">
        <v>6066.0</v>
      </c>
    </row>
    <row r="37" ht="15.75" customHeight="1">
      <c r="A37" s="6" t="s">
        <v>77</v>
      </c>
      <c r="B37" s="6" t="s">
        <v>32</v>
      </c>
      <c r="C37" s="6" t="s">
        <v>55</v>
      </c>
      <c r="D37" s="4" t="s">
        <v>121</v>
      </c>
      <c r="E37" s="19">
        <f t="shared" si="1"/>
        <v>7701.7</v>
      </c>
      <c r="F37" s="11">
        <f t="shared" si="2"/>
        <v>0.1631567463</v>
      </c>
      <c r="G37" s="15">
        <f t="shared" si="3"/>
        <v>8391.8</v>
      </c>
      <c r="H37" s="11">
        <f t="shared" si="4"/>
        <v>0.2065938286</v>
      </c>
      <c r="I37" s="15">
        <f t="shared" si="5"/>
        <v>7011.6</v>
      </c>
      <c r="J37" s="20">
        <f t="shared" si="6"/>
        <v>0.1303542745</v>
      </c>
      <c r="K37" s="15">
        <f t="shared" si="7"/>
        <v>9488.333333</v>
      </c>
      <c r="L37" s="11">
        <f t="shared" si="8"/>
        <v>0.1432503976</v>
      </c>
      <c r="M37" s="19">
        <v>5627.0</v>
      </c>
      <c r="N37" s="11">
        <f t="shared" si="9"/>
        <v>0.2053649635</v>
      </c>
      <c r="O37" s="15">
        <v>9703.0</v>
      </c>
      <c r="P37" s="11">
        <f t="shared" si="10"/>
        <v>0.1446589638</v>
      </c>
      <c r="Q37" s="15">
        <v>9882.0</v>
      </c>
      <c r="R37" s="11">
        <f t="shared" si="11"/>
        <v>0.1415840449</v>
      </c>
      <c r="S37" s="17">
        <v>8880.0</v>
      </c>
      <c r="T37" s="29">
        <f t="shared" si="12"/>
        <v>0.1436033443</v>
      </c>
      <c r="U37" s="15">
        <v>10439.0</v>
      </c>
      <c r="V37" s="11">
        <f t="shared" si="13"/>
        <v>0.3082897729</v>
      </c>
      <c r="W37" s="15">
        <v>10178.0</v>
      </c>
      <c r="X37" s="11">
        <f t="shared" si="14"/>
        <v>0.2708427579</v>
      </c>
      <c r="Y37" s="15">
        <v>2831.0</v>
      </c>
      <c r="Z37" s="11">
        <f t="shared" si="15"/>
        <v>0.08069895385</v>
      </c>
      <c r="AA37" s="15">
        <v>3762.0</v>
      </c>
      <c r="AB37" s="11">
        <f t="shared" si="16"/>
        <v>0.1070118049</v>
      </c>
      <c r="AC37" s="15">
        <v>9989.0</v>
      </c>
      <c r="AD37" s="11">
        <f t="shared" si="17"/>
        <v>0.1178031464</v>
      </c>
      <c r="AE37" s="15">
        <v>5726.0</v>
      </c>
      <c r="AF37" s="20">
        <f t="shared" si="18"/>
        <v>0.2941690213</v>
      </c>
      <c r="AG37" s="19">
        <v>9509.0</v>
      </c>
      <c r="AH37" s="15">
        <v>6453.0</v>
      </c>
      <c r="AI37" s="15">
        <v>8044.0</v>
      </c>
      <c r="AJ37" s="15">
        <v>6048.0</v>
      </c>
    </row>
    <row r="38" ht="15.75" customHeight="1">
      <c r="A38" s="6" t="s">
        <v>77</v>
      </c>
      <c r="B38" s="6" t="s">
        <v>32</v>
      </c>
      <c r="C38" s="6" t="s">
        <v>53</v>
      </c>
      <c r="D38" s="4" t="s">
        <v>128</v>
      </c>
      <c r="E38" s="19">
        <f t="shared" si="1"/>
        <v>6813.2</v>
      </c>
      <c r="F38" s="11">
        <f t="shared" si="2"/>
        <v>0.1443343085</v>
      </c>
      <c r="G38" s="15">
        <f t="shared" si="3"/>
        <v>6883.6</v>
      </c>
      <c r="H38" s="11">
        <f t="shared" si="4"/>
        <v>0.169464153</v>
      </c>
      <c r="I38" s="15">
        <f t="shared" si="5"/>
        <v>6742.8</v>
      </c>
      <c r="J38" s="20">
        <f t="shared" si="6"/>
        <v>0.1253569516</v>
      </c>
      <c r="K38" s="15">
        <f t="shared" si="7"/>
        <v>8775.333333</v>
      </c>
      <c r="L38" s="11">
        <f t="shared" si="8"/>
        <v>0.1324858586</v>
      </c>
      <c r="M38" s="19">
        <v>5064.0</v>
      </c>
      <c r="N38" s="11">
        <f t="shared" si="9"/>
        <v>0.1848175182</v>
      </c>
      <c r="O38" s="15">
        <v>8862.0</v>
      </c>
      <c r="P38" s="11">
        <f t="shared" si="10"/>
        <v>0.1321207603</v>
      </c>
      <c r="Q38" s="15">
        <v>9073.0</v>
      </c>
      <c r="R38" s="11">
        <f t="shared" si="11"/>
        <v>0.1299931228</v>
      </c>
      <c r="S38" s="17">
        <v>8391.0</v>
      </c>
      <c r="T38" s="29">
        <f t="shared" si="12"/>
        <v>0.1356954574</v>
      </c>
      <c r="U38" s="15">
        <v>7735.0</v>
      </c>
      <c r="V38" s="11">
        <f t="shared" si="13"/>
        <v>0.2284338915</v>
      </c>
      <c r="W38" s="15">
        <v>7838.0</v>
      </c>
      <c r="X38" s="11">
        <f t="shared" si="14"/>
        <v>0.2085739376</v>
      </c>
      <c r="Y38" s="15">
        <v>3556.0</v>
      </c>
      <c r="Z38" s="11">
        <f t="shared" si="15"/>
        <v>0.1013654115</v>
      </c>
      <c r="AA38" s="15">
        <v>3832.0</v>
      </c>
      <c r="AB38" s="11">
        <f t="shared" si="16"/>
        <v>0.1090029868</v>
      </c>
      <c r="AC38" s="15">
        <v>8598.0</v>
      </c>
      <c r="AD38" s="11">
        <f t="shared" si="17"/>
        <v>0.1013986839</v>
      </c>
      <c r="AE38" s="15">
        <v>5183.0</v>
      </c>
      <c r="AF38" s="20">
        <f t="shared" si="18"/>
        <v>0.2662727973</v>
      </c>
      <c r="AG38" s="19">
        <v>8816.0</v>
      </c>
      <c r="AH38" s="15">
        <v>5887.0</v>
      </c>
      <c r="AI38" s="15">
        <v>7514.0</v>
      </c>
      <c r="AJ38" s="15">
        <v>6115.0</v>
      </c>
    </row>
    <row r="39" ht="15.75" customHeight="1">
      <c r="A39" s="6" t="s">
        <v>75</v>
      </c>
      <c r="B39" s="6" t="s">
        <v>32</v>
      </c>
      <c r="C39" s="6" t="s">
        <v>53</v>
      </c>
      <c r="D39" s="4" t="s">
        <v>127</v>
      </c>
      <c r="E39" s="19">
        <f t="shared" si="1"/>
        <v>6951.6</v>
      </c>
      <c r="F39" s="11">
        <f t="shared" si="2"/>
        <v>0.1472662448</v>
      </c>
      <c r="G39" s="15">
        <f t="shared" si="3"/>
        <v>7631</v>
      </c>
      <c r="H39" s="11">
        <f t="shared" si="4"/>
        <v>0.1878640466</v>
      </c>
      <c r="I39" s="15">
        <f t="shared" si="5"/>
        <v>6272.2</v>
      </c>
      <c r="J39" s="20">
        <f t="shared" si="6"/>
        <v>0.1166079184</v>
      </c>
      <c r="K39" s="15">
        <f t="shared" si="7"/>
        <v>7704</v>
      </c>
      <c r="L39" s="11">
        <f t="shared" si="8"/>
        <v>0.1163113715</v>
      </c>
      <c r="M39" s="19">
        <v>4458.0</v>
      </c>
      <c r="N39" s="11">
        <f t="shared" si="9"/>
        <v>0.1627007299</v>
      </c>
      <c r="O39" s="15">
        <v>7776.0</v>
      </c>
      <c r="P39" s="11">
        <f t="shared" si="10"/>
        <v>0.1159299292</v>
      </c>
      <c r="Q39" s="15">
        <v>7902.0</v>
      </c>
      <c r="R39" s="11">
        <f t="shared" si="11"/>
        <v>0.1132156571</v>
      </c>
      <c r="S39" s="17">
        <v>7434.0</v>
      </c>
      <c r="T39" s="29">
        <f t="shared" si="12"/>
        <v>0.1202192862</v>
      </c>
      <c r="U39" s="15">
        <v>8652.0</v>
      </c>
      <c r="V39" s="11">
        <f t="shared" si="13"/>
        <v>0.2555151945</v>
      </c>
      <c r="W39" s="15">
        <v>9060.0</v>
      </c>
      <c r="X39" s="11">
        <f t="shared" si="14"/>
        <v>0.2410920993</v>
      </c>
      <c r="Y39" s="15">
        <v>3899.0</v>
      </c>
      <c r="Z39" s="11">
        <f t="shared" si="15"/>
        <v>0.1111427838</v>
      </c>
      <c r="AA39" s="15">
        <v>4350.0</v>
      </c>
      <c r="AB39" s="11">
        <f t="shared" si="16"/>
        <v>0.1237377329</v>
      </c>
      <c r="AC39" s="15">
        <v>9580.0</v>
      </c>
      <c r="AD39" s="11">
        <f t="shared" si="17"/>
        <v>0.112979692</v>
      </c>
      <c r="AE39" s="15">
        <v>6405.0</v>
      </c>
      <c r="AF39" s="20">
        <f t="shared" si="18"/>
        <v>0.3290521449</v>
      </c>
      <c r="AG39" s="19">
        <v>7465.0</v>
      </c>
      <c r="AH39" s="15">
        <v>5032.0</v>
      </c>
      <c r="AI39" s="15">
        <v>6733.0</v>
      </c>
      <c r="AJ39" s="15">
        <v>5374.0</v>
      </c>
    </row>
    <row r="40" ht="15.75" customHeight="1">
      <c r="A40" s="6" t="s">
        <v>76</v>
      </c>
      <c r="B40" s="6" t="s">
        <v>32</v>
      </c>
      <c r="C40" s="6" t="s">
        <v>53</v>
      </c>
      <c r="D40" s="4" t="s">
        <v>132</v>
      </c>
      <c r="E40" s="19">
        <f t="shared" si="1"/>
        <v>5717.9</v>
      </c>
      <c r="F40" s="11">
        <f t="shared" si="2"/>
        <v>0.1211309139</v>
      </c>
      <c r="G40" s="15">
        <f t="shared" si="3"/>
        <v>5366.4</v>
      </c>
      <c r="H40" s="11">
        <f t="shared" si="4"/>
        <v>0.1321129105</v>
      </c>
      <c r="I40" s="15">
        <f t="shared" si="5"/>
        <v>6069.4</v>
      </c>
      <c r="J40" s="20">
        <f t="shared" si="6"/>
        <v>0.1128376168</v>
      </c>
      <c r="K40" s="15">
        <f t="shared" si="7"/>
        <v>7542</v>
      </c>
      <c r="L40" s="11">
        <f t="shared" si="8"/>
        <v>0.1138655716</v>
      </c>
      <c r="M40" s="19">
        <v>4954.0</v>
      </c>
      <c r="N40" s="11">
        <f t="shared" si="9"/>
        <v>0.1808029197</v>
      </c>
      <c r="O40" s="15">
        <v>7556.0</v>
      </c>
      <c r="P40" s="11">
        <f t="shared" si="10"/>
        <v>0.1126500186</v>
      </c>
      <c r="Q40" s="15">
        <v>7825.0</v>
      </c>
      <c r="R40" s="11">
        <f t="shared" si="11"/>
        <v>0.112112442</v>
      </c>
      <c r="S40" s="17">
        <v>7245.0</v>
      </c>
      <c r="T40" s="29">
        <f t="shared" si="12"/>
        <v>0.1171628637</v>
      </c>
      <c r="U40" s="15">
        <v>5242.0</v>
      </c>
      <c r="V40" s="11">
        <f t="shared" si="13"/>
        <v>0.1548093677</v>
      </c>
      <c r="W40" s="15">
        <v>6123.0</v>
      </c>
      <c r="X40" s="11">
        <f t="shared" si="14"/>
        <v>0.1629367466</v>
      </c>
      <c r="Y40" s="15">
        <v>3230.0</v>
      </c>
      <c r="Z40" s="11">
        <f t="shared" si="15"/>
        <v>0.09207263191</v>
      </c>
      <c r="AA40" s="15">
        <v>4491.0</v>
      </c>
      <c r="AB40" s="11">
        <f t="shared" si="16"/>
        <v>0.1277485422</v>
      </c>
      <c r="AC40" s="15">
        <v>5908.0</v>
      </c>
      <c r="AD40" s="11">
        <f t="shared" si="17"/>
        <v>0.06967474114</v>
      </c>
      <c r="AE40" s="15">
        <v>4605.0</v>
      </c>
      <c r="AF40" s="20">
        <f t="shared" si="18"/>
        <v>0.2365784742</v>
      </c>
      <c r="AG40" s="19">
        <v>7594.0</v>
      </c>
      <c r="AH40" s="15">
        <v>4908.0</v>
      </c>
      <c r="AI40" s="15">
        <v>6478.0</v>
      </c>
      <c r="AJ40" s="15">
        <v>4990.0</v>
      </c>
    </row>
    <row r="41" ht="15.75" customHeight="1">
      <c r="A41" s="6" t="s">
        <v>76</v>
      </c>
      <c r="B41" s="6" t="s">
        <v>32</v>
      </c>
      <c r="C41" s="6" t="s">
        <v>53</v>
      </c>
      <c r="D41" s="4" t="s">
        <v>130</v>
      </c>
      <c r="E41" s="19">
        <f t="shared" si="1"/>
        <v>6005.3</v>
      </c>
      <c r="F41" s="11">
        <f t="shared" si="2"/>
        <v>0.1272193423</v>
      </c>
      <c r="G41" s="15">
        <f t="shared" si="3"/>
        <v>5957.4</v>
      </c>
      <c r="H41" s="11">
        <f t="shared" si="4"/>
        <v>0.1466624651</v>
      </c>
      <c r="I41" s="15">
        <f t="shared" si="5"/>
        <v>6053.2</v>
      </c>
      <c r="J41" s="20">
        <f t="shared" si="6"/>
        <v>0.1125364388</v>
      </c>
      <c r="K41" s="15">
        <f t="shared" si="7"/>
        <v>7402</v>
      </c>
      <c r="L41" s="11">
        <f t="shared" si="8"/>
        <v>0.1117519174</v>
      </c>
      <c r="M41" s="19">
        <v>4480.0</v>
      </c>
      <c r="N41" s="11">
        <f t="shared" si="9"/>
        <v>0.1635036496</v>
      </c>
      <c r="O41" s="15">
        <v>7445.0</v>
      </c>
      <c r="P41" s="11">
        <f t="shared" si="10"/>
        <v>0.1109951547</v>
      </c>
      <c r="Q41" s="15">
        <v>7634.0</v>
      </c>
      <c r="R41" s="11">
        <f t="shared" si="11"/>
        <v>0.1093758955</v>
      </c>
      <c r="S41" s="17">
        <v>7127.0</v>
      </c>
      <c r="T41" s="29">
        <f t="shared" si="12"/>
        <v>0.115254621</v>
      </c>
      <c r="U41" s="15">
        <v>7114.0</v>
      </c>
      <c r="V41" s="11">
        <f t="shared" si="13"/>
        <v>0.2100942087</v>
      </c>
      <c r="W41" s="15">
        <v>7320.0</v>
      </c>
      <c r="X41" s="11">
        <f t="shared" si="14"/>
        <v>0.1947896432</v>
      </c>
      <c r="Y41" s="15">
        <v>3758.0</v>
      </c>
      <c r="Z41" s="11">
        <f t="shared" si="15"/>
        <v>0.1071235142</v>
      </c>
      <c r="AA41" s="15">
        <v>4302.0</v>
      </c>
      <c r="AB41" s="11">
        <f t="shared" si="16"/>
        <v>0.122372351</v>
      </c>
      <c r="AC41" s="15">
        <v>6987.0</v>
      </c>
      <c r="AD41" s="11">
        <f t="shared" si="17"/>
        <v>0.08239969809</v>
      </c>
      <c r="AE41" s="15">
        <v>3886.0</v>
      </c>
      <c r="AF41" s="20">
        <f t="shared" si="18"/>
        <v>0.1996403802</v>
      </c>
      <c r="AG41" s="19">
        <v>7800.0</v>
      </c>
      <c r="AH41" s="15">
        <v>5128.0</v>
      </c>
      <c r="AI41" s="15">
        <v>7033.0</v>
      </c>
      <c r="AJ41" s="15">
        <v>5697.0</v>
      </c>
    </row>
    <row r="42" ht="15.75" customHeight="1">
      <c r="A42" s="6" t="s">
        <v>76</v>
      </c>
      <c r="B42" s="6" t="s">
        <v>32</v>
      </c>
      <c r="C42" s="6" t="s">
        <v>53</v>
      </c>
      <c r="D42" s="4" t="s">
        <v>131</v>
      </c>
      <c r="E42" s="19">
        <f t="shared" si="1"/>
        <v>5806.5</v>
      </c>
      <c r="F42" s="11">
        <f t="shared" si="2"/>
        <v>0.1230078616</v>
      </c>
      <c r="G42" s="15">
        <f t="shared" si="3"/>
        <v>5602.2</v>
      </c>
      <c r="H42" s="11">
        <f t="shared" si="4"/>
        <v>0.1379179612</v>
      </c>
      <c r="I42" s="15">
        <f t="shared" si="5"/>
        <v>6010.8</v>
      </c>
      <c r="J42" s="20">
        <f t="shared" si="6"/>
        <v>0.1117481706</v>
      </c>
      <c r="K42" s="15">
        <f t="shared" si="7"/>
        <v>7689.666667</v>
      </c>
      <c r="L42" s="11">
        <f t="shared" si="8"/>
        <v>0.1160949735</v>
      </c>
      <c r="M42" s="19">
        <v>4369.0</v>
      </c>
      <c r="N42" s="11">
        <f t="shared" si="9"/>
        <v>0.1594525547</v>
      </c>
      <c r="O42" s="15">
        <v>7766.0</v>
      </c>
      <c r="P42" s="11">
        <f t="shared" si="10"/>
        <v>0.1157808423</v>
      </c>
      <c r="Q42" s="15">
        <v>7973.0</v>
      </c>
      <c r="R42" s="11">
        <f t="shared" si="11"/>
        <v>0.1142329073</v>
      </c>
      <c r="S42" s="17">
        <v>7330.0</v>
      </c>
      <c r="T42" s="29">
        <f t="shared" si="12"/>
        <v>0.1185374452</v>
      </c>
      <c r="U42" s="15">
        <v>6445.0</v>
      </c>
      <c r="V42" s="11">
        <f t="shared" si="13"/>
        <v>0.1903369658</v>
      </c>
      <c r="W42" s="15">
        <v>6778.0</v>
      </c>
      <c r="X42" s="11">
        <f t="shared" si="14"/>
        <v>0.1803666942</v>
      </c>
      <c r="Y42" s="15">
        <v>3155.0</v>
      </c>
      <c r="Z42" s="11">
        <f t="shared" si="15"/>
        <v>0.0899347225</v>
      </c>
      <c r="AA42" s="15">
        <v>3830.0</v>
      </c>
      <c r="AB42" s="11">
        <f t="shared" si="16"/>
        <v>0.1089460959</v>
      </c>
      <c r="AC42" s="15">
        <v>6467.0</v>
      </c>
      <c r="AD42" s="11">
        <f t="shared" si="17"/>
        <v>0.07626718872</v>
      </c>
      <c r="AE42" s="15">
        <v>3952.0</v>
      </c>
      <c r="AF42" s="20">
        <f t="shared" si="18"/>
        <v>0.2030310814</v>
      </c>
      <c r="AG42" s="19">
        <v>7786.0</v>
      </c>
      <c r="AH42" s="15">
        <v>5198.0</v>
      </c>
      <c r="AI42" s="15">
        <v>6811.0</v>
      </c>
      <c r="AJ42" s="15">
        <v>5419.0</v>
      </c>
    </row>
    <row r="43" ht="15.75" customHeight="1">
      <c r="A43" s="6" t="s">
        <v>75</v>
      </c>
      <c r="B43" s="6" t="s">
        <v>32</v>
      </c>
      <c r="C43" s="6" t="s">
        <v>60</v>
      </c>
      <c r="D43" s="4" t="s">
        <v>133</v>
      </c>
      <c r="E43" s="19">
        <f t="shared" si="1"/>
        <v>5553.1</v>
      </c>
      <c r="F43" s="11">
        <f t="shared" si="2"/>
        <v>0.1176397066</v>
      </c>
      <c r="G43" s="15">
        <f t="shared" si="3"/>
        <v>5267.6</v>
      </c>
      <c r="H43" s="11">
        <f t="shared" si="4"/>
        <v>0.1296805991</v>
      </c>
      <c r="I43" s="15">
        <f t="shared" si="5"/>
        <v>5838.6</v>
      </c>
      <c r="J43" s="20">
        <f t="shared" si="6"/>
        <v>0.1085467607</v>
      </c>
      <c r="K43" s="15">
        <f t="shared" si="7"/>
        <v>7114.333333</v>
      </c>
      <c r="L43" s="11">
        <f t="shared" si="8"/>
        <v>0.1074088612</v>
      </c>
      <c r="M43" s="19">
        <v>3488.0</v>
      </c>
      <c r="N43" s="11">
        <f t="shared" si="9"/>
        <v>0.1272992701</v>
      </c>
      <c r="O43" s="15">
        <v>7216.0</v>
      </c>
      <c r="P43" s="11">
        <f t="shared" si="10"/>
        <v>0.107581066</v>
      </c>
      <c r="Q43" s="15">
        <v>7247.0</v>
      </c>
      <c r="R43" s="11">
        <f t="shared" si="11"/>
        <v>0.1038311651</v>
      </c>
      <c r="S43" s="17">
        <v>6880.0</v>
      </c>
      <c r="T43" s="29">
        <f t="shared" si="12"/>
        <v>0.1112602487</v>
      </c>
      <c r="U43" s="15">
        <v>5086.0</v>
      </c>
      <c r="V43" s="11">
        <f t="shared" si="13"/>
        <v>0.1502022976</v>
      </c>
      <c r="W43" s="15">
        <v>4976.0</v>
      </c>
      <c r="X43" s="11">
        <f t="shared" si="14"/>
        <v>0.1324143804</v>
      </c>
      <c r="Y43" s="15">
        <v>3658.0</v>
      </c>
      <c r="Z43" s="11">
        <f t="shared" si="15"/>
        <v>0.1042729683</v>
      </c>
      <c r="AA43" s="15">
        <v>4192.0</v>
      </c>
      <c r="AB43" s="11">
        <f t="shared" si="16"/>
        <v>0.1192433509</v>
      </c>
      <c r="AC43" s="15">
        <v>6968.0</v>
      </c>
      <c r="AD43" s="11">
        <f t="shared" si="17"/>
        <v>0.08217562563</v>
      </c>
      <c r="AE43" s="15">
        <v>5820.0</v>
      </c>
      <c r="AF43" s="20">
        <f t="shared" si="18"/>
        <v>0.2989982019</v>
      </c>
      <c r="AG43" s="19">
        <v>6916.0</v>
      </c>
      <c r="AH43" s="15">
        <v>4575.0</v>
      </c>
      <c r="AI43" s="15">
        <v>6118.0</v>
      </c>
      <c r="AJ43" s="15">
        <v>4224.0</v>
      </c>
    </row>
    <row r="44" ht="15.75" customHeight="1">
      <c r="A44" s="6" t="s">
        <v>76</v>
      </c>
      <c r="B44" s="6" t="s">
        <v>32</v>
      </c>
      <c r="C44" s="6" t="s">
        <v>53</v>
      </c>
      <c r="D44" s="4" t="s">
        <v>134</v>
      </c>
      <c r="E44" s="19">
        <f t="shared" si="1"/>
        <v>5425.2</v>
      </c>
      <c r="F44" s="11">
        <f t="shared" si="2"/>
        <v>0.1149302076</v>
      </c>
      <c r="G44" s="15">
        <f t="shared" si="3"/>
        <v>5470.2</v>
      </c>
      <c r="H44" s="11">
        <f t="shared" si="4"/>
        <v>0.1346683145</v>
      </c>
      <c r="I44" s="15">
        <f t="shared" si="5"/>
        <v>5380.2</v>
      </c>
      <c r="J44" s="20">
        <f t="shared" si="6"/>
        <v>0.1000245404</v>
      </c>
      <c r="K44" s="15">
        <f t="shared" si="7"/>
        <v>6474</v>
      </c>
      <c r="L44" s="11">
        <f t="shared" si="8"/>
        <v>0.09774140951</v>
      </c>
      <c r="M44" s="19">
        <v>3823.0</v>
      </c>
      <c r="N44" s="11">
        <f t="shared" si="9"/>
        <v>0.1395255474</v>
      </c>
      <c r="O44" s="15">
        <v>6504.0</v>
      </c>
      <c r="P44" s="11">
        <f t="shared" si="10"/>
        <v>0.09696608274</v>
      </c>
      <c r="Q44" s="15">
        <v>6603.0</v>
      </c>
      <c r="R44" s="11">
        <f t="shared" si="11"/>
        <v>0.09460427532</v>
      </c>
      <c r="S44" s="17">
        <v>6315.0</v>
      </c>
      <c r="T44" s="29">
        <f t="shared" si="12"/>
        <v>0.1021233242</v>
      </c>
      <c r="U44" s="15">
        <v>6475.0</v>
      </c>
      <c r="V44" s="11">
        <f t="shared" si="13"/>
        <v>0.1912229408</v>
      </c>
      <c r="W44" s="15">
        <v>6977.0</v>
      </c>
      <c r="X44" s="11">
        <f t="shared" si="14"/>
        <v>0.185662205</v>
      </c>
      <c r="Y44" s="15">
        <v>3849.0</v>
      </c>
      <c r="Z44" s="11">
        <f t="shared" si="15"/>
        <v>0.1097175109</v>
      </c>
      <c r="AA44" s="15">
        <v>3630.0</v>
      </c>
      <c r="AB44" s="11">
        <f t="shared" si="16"/>
        <v>0.1032570047</v>
      </c>
      <c r="AC44" s="15">
        <v>6007.0</v>
      </c>
      <c r="AD44" s="11">
        <f t="shared" si="17"/>
        <v>0.07084227658</v>
      </c>
      <c r="AE44" s="15">
        <v>4069.0</v>
      </c>
      <c r="AF44" s="20">
        <f t="shared" si="18"/>
        <v>0.20904187</v>
      </c>
      <c r="AG44" s="19">
        <v>6496.0</v>
      </c>
      <c r="AH44" s="15">
        <v>4271.0</v>
      </c>
      <c r="AI44" s="15">
        <v>5602.0</v>
      </c>
      <c r="AJ44" s="15">
        <v>4453.0</v>
      </c>
    </row>
    <row r="45" ht="15.75" customHeight="1">
      <c r="A45" s="6" t="s">
        <v>72</v>
      </c>
      <c r="B45" s="6" t="s">
        <v>32</v>
      </c>
      <c r="C45" s="6" t="s">
        <v>53</v>
      </c>
      <c r="D45" s="4" t="s">
        <v>138</v>
      </c>
      <c r="E45" s="19">
        <f t="shared" si="1"/>
        <v>5077.5</v>
      </c>
      <c r="F45" s="11">
        <f t="shared" si="2"/>
        <v>0.1075643532</v>
      </c>
      <c r="G45" s="15">
        <f t="shared" si="3"/>
        <v>4872.4</v>
      </c>
      <c r="H45" s="11">
        <f t="shared" si="4"/>
        <v>0.1199513538</v>
      </c>
      <c r="I45" s="15">
        <f t="shared" si="5"/>
        <v>5282.6</v>
      </c>
      <c r="J45" s="20">
        <f t="shared" si="6"/>
        <v>0.09821003629</v>
      </c>
      <c r="K45" s="15">
        <f t="shared" si="7"/>
        <v>5724.333333</v>
      </c>
      <c r="L45" s="11">
        <f t="shared" si="8"/>
        <v>0.08642329448</v>
      </c>
      <c r="M45" s="19">
        <v>3075.0</v>
      </c>
      <c r="N45" s="11">
        <f t="shared" si="9"/>
        <v>0.1122262774</v>
      </c>
      <c r="O45" s="15">
        <v>5764.0</v>
      </c>
      <c r="P45" s="11">
        <f t="shared" si="10"/>
        <v>0.08593365635</v>
      </c>
      <c r="Q45" s="15">
        <v>5881.0</v>
      </c>
      <c r="R45" s="11">
        <f t="shared" si="11"/>
        <v>0.08425984297</v>
      </c>
      <c r="S45" s="17">
        <v>5528.0</v>
      </c>
      <c r="T45" s="29">
        <f t="shared" si="12"/>
        <v>0.08939631612</v>
      </c>
      <c r="U45" s="15">
        <v>4421.0</v>
      </c>
      <c r="V45" s="11">
        <f t="shared" si="13"/>
        <v>0.1305631848</v>
      </c>
      <c r="W45" s="15">
        <v>4761.0</v>
      </c>
      <c r="X45" s="11">
        <f t="shared" si="14"/>
        <v>0.1266930999</v>
      </c>
      <c r="Y45" s="15">
        <v>4373.0</v>
      </c>
      <c r="Z45" s="11">
        <f t="shared" si="15"/>
        <v>0.1246543713</v>
      </c>
      <c r="AA45" s="15">
        <v>4867.0</v>
      </c>
      <c r="AB45" s="11">
        <f t="shared" si="16"/>
        <v>0.1384440336</v>
      </c>
      <c r="AC45" s="15">
        <v>9247.0</v>
      </c>
      <c r="AD45" s="11">
        <f t="shared" si="17"/>
        <v>0.1090525273</v>
      </c>
      <c r="AE45" s="15">
        <v>2858.0</v>
      </c>
      <c r="AF45" s="20">
        <f t="shared" si="18"/>
        <v>0.1468276394</v>
      </c>
      <c r="AG45" s="19">
        <v>4793.0</v>
      </c>
      <c r="AH45" s="15">
        <v>3288.0</v>
      </c>
      <c r="AI45" s="15">
        <v>4531.0</v>
      </c>
      <c r="AJ45" s="15">
        <v>3608.0</v>
      </c>
    </row>
    <row r="46" ht="15.75" customHeight="1">
      <c r="A46" s="6" t="s">
        <v>71</v>
      </c>
      <c r="B46" s="6" t="s">
        <v>32</v>
      </c>
      <c r="C46" s="6" t="s">
        <v>56</v>
      </c>
      <c r="D46" s="4" t="s">
        <v>140</v>
      </c>
      <c r="E46" s="19">
        <f t="shared" si="1"/>
        <v>4915</v>
      </c>
      <c r="F46" s="11">
        <f t="shared" si="2"/>
        <v>0.1041218703</v>
      </c>
      <c r="G46" s="15">
        <f t="shared" si="3"/>
        <v>4679.6</v>
      </c>
      <c r="H46" s="11">
        <f t="shared" si="4"/>
        <v>0.1152049001</v>
      </c>
      <c r="I46" s="15">
        <f t="shared" si="5"/>
        <v>5150.4</v>
      </c>
      <c r="J46" s="20">
        <f t="shared" si="6"/>
        <v>0.09575227557</v>
      </c>
      <c r="K46" s="15">
        <f t="shared" si="7"/>
        <v>6428.333333</v>
      </c>
      <c r="L46" s="11">
        <f t="shared" si="8"/>
        <v>0.09705195563</v>
      </c>
      <c r="M46" s="19">
        <v>3392.0</v>
      </c>
      <c r="N46" s="11">
        <f t="shared" si="9"/>
        <v>0.1237956204</v>
      </c>
      <c r="O46" s="15">
        <v>6546.0</v>
      </c>
      <c r="P46" s="11">
        <f t="shared" si="10"/>
        <v>0.09759224748</v>
      </c>
      <c r="Q46" s="15">
        <v>6676.0</v>
      </c>
      <c r="R46" s="11">
        <f t="shared" si="11"/>
        <v>0.09565018053</v>
      </c>
      <c r="S46" s="17">
        <v>6063.0</v>
      </c>
      <c r="T46" s="29">
        <f t="shared" si="12"/>
        <v>0.09804809418</v>
      </c>
      <c r="U46" s="15">
        <v>4942.0</v>
      </c>
      <c r="V46" s="11">
        <f t="shared" si="13"/>
        <v>0.1459496176</v>
      </c>
      <c r="W46" s="15">
        <v>5259.0</v>
      </c>
      <c r="X46" s="11">
        <f t="shared" si="14"/>
        <v>0.1399451821</v>
      </c>
      <c r="Y46" s="15">
        <v>2514.0</v>
      </c>
      <c r="Z46" s="11">
        <f t="shared" si="15"/>
        <v>0.07166272341</v>
      </c>
      <c r="AA46" s="15">
        <v>3953.0</v>
      </c>
      <c r="AB46" s="11">
        <f t="shared" si="16"/>
        <v>0.1124448869</v>
      </c>
      <c r="AC46" s="15">
        <v>6898.0</v>
      </c>
      <c r="AD46" s="11">
        <f t="shared" si="17"/>
        <v>0.08135009553</v>
      </c>
      <c r="AE46" s="15">
        <v>2907.0</v>
      </c>
      <c r="AF46" s="20">
        <f t="shared" si="18"/>
        <v>0.1493449782</v>
      </c>
      <c r="AG46" s="19">
        <v>6572.0</v>
      </c>
      <c r="AH46" s="15">
        <v>4293.0</v>
      </c>
      <c r="AI46" s="15">
        <v>5616.0</v>
      </c>
      <c r="AJ46" s="15">
        <v>4269.0</v>
      </c>
    </row>
    <row r="47" ht="15.75" customHeight="1">
      <c r="A47" s="6" t="s">
        <v>73</v>
      </c>
      <c r="B47" s="6" t="s">
        <v>32</v>
      </c>
      <c r="C47" s="6" t="s">
        <v>60</v>
      </c>
      <c r="D47" s="4" t="s">
        <v>144</v>
      </c>
      <c r="E47" s="19">
        <f t="shared" si="1"/>
        <v>4785.3</v>
      </c>
      <c r="F47" s="11">
        <f t="shared" si="2"/>
        <v>0.1013742392</v>
      </c>
      <c r="G47" s="15">
        <f t="shared" si="3"/>
        <v>4468.4</v>
      </c>
      <c r="H47" s="11">
        <f t="shared" si="4"/>
        <v>0.1100054653</v>
      </c>
      <c r="I47" s="15">
        <f t="shared" si="5"/>
        <v>5102.2</v>
      </c>
      <c r="J47" s="20">
        <f t="shared" si="6"/>
        <v>0.09485617824</v>
      </c>
      <c r="K47" s="15">
        <f t="shared" si="7"/>
        <v>6178</v>
      </c>
      <c r="L47" s="11">
        <f t="shared" si="8"/>
        <v>0.09327254061</v>
      </c>
      <c r="M47" s="19">
        <v>3153.0</v>
      </c>
      <c r="N47" s="11">
        <f t="shared" si="9"/>
        <v>0.1150729927</v>
      </c>
      <c r="O47" s="15">
        <v>6238.0</v>
      </c>
      <c r="P47" s="11">
        <f t="shared" si="10"/>
        <v>0.09300037272</v>
      </c>
      <c r="Q47" s="15">
        <v>6341.0</v>
      </c>
      <c r="R47" s="11">
        <f t="shared" si="11"/>
        <v>0.09085047854</v>
      </c>
      <c r="S47" s="17">
        <v>5955.0</v>
      </c>
      <c r="T47" s="29">
        <f t="shared" si="12"/>
        <v>0.09630156702</v>
      </c>
      <c r="U47" s="15">
        <v>4805.0</v>
      </c>
      <c r="V47" s="11">
        <f t="shared" si="13"/>
        <v>0.141903665</v>
      </c>
      <c r="W47" s="15">
        <v>4953.0</v>
      </c>
      <c r="X47" s="11">
        <f t="shared" si="14"/>
        <v>0.1318023364</v>
      </c>
      <c r="Y47" s="15">
        <v>3480.0</v>
      </c>
      <c r="Z47" s="11">
        <f t="shared" si="15"/>
        <v>0.09919899661</v>
      </c>
      <c r="AA47" s="15">
        <v>3497.0</v>
      </c>
      <c r="AB47" s="11">
        <f t="shared" si="16"/>
        <v>0.09947375907</v>
      </c>
      <c r="AC47" s="15">
        <v>5541.0</v>
      </c>
      <c r="AD47" s="11">
        <f t="shared" si="17"/>
        <v>0.06534660471</v>
      </c>
      <c r="AE47" s="15">
        <v>3890.0</v>
      </c>
      <c r="AF47" s="20">
        <f t="shared" si="18"/>
        <v>0.1998458772</v>
      </c>
      <c r="AG47" s="19">
        <v>6331.0</v>
      </c>
      <c r="AH47" s="15">
        <v>4045.0</v>
      </c>
      <c r="AI47" s="15">
        <v>5472.0</v>
      </c>
      <c r="AJ47" s="15">
        <v>4322.0</v>
      </c>
    </row>
    <row r="48" ht="15.75" customHeight="1">
      <c r="A48" s="6" t="s">
        <v>79</v>
      </c>
      <c r="B48" s="6" t="s">
        <v>32</v>
      </c>
      <c r="C48" s="6" t="s">
        <v>53</v>
      </c>
      <c r="D48" s="4" t="s">
        <v>135</v>
      </c>
      <c r="E48" s="19">
        <f t="shared" si="1"/>
        <v>5259.6</v>
      </c>
      <c r="F48" s="11">
        <f t="shared" si="2"/>
        <v>0.1114220527</v>
      </c>
      <c r="G48" s="15">
        <f t="shared" si="3"/>
        <v>5445.6</v>
      </c>
      <c r="H48" s="11">
        <f t="shared" si="4"/>
        <v>0.1340626985</v>
      </c>
      <c r="I48" s="15">
        <f t="shared" si="5"/>
        <v>5073.6</v>
      </c>
      <c r="J48" s="20">
        <f t="shared" si="6"/>
        <v>0.09432446903</v>
      </c>
      <c r="K48" s="15">
        <f t="shared" si="7"/>
        <v>6721.666667</v>
      </c>
      <c r="L48" s="11">
        <f t="shared" si="8"/>
        <v>0.1014805644</v>
      </c>
      <c r="M48" s="19">
        <v>3682.0</v>
      </c>
      <c r="N48" s="11">
        <f t="shared" si="9"/>
        <v>0.134379562</v>
      </c>
      <c r="O48" s="15">
        <v>6787.0</v>
      </c>
      <c r="P48" s="11">
        <f t="shared" si="10"/>
        <v>0.1011852404</v>
      </c>
      <c r="Q48" s="15">
        <v>6952.0</v>
      </c>
      <c r="R48" s="11">
        <f t="shared" si="11"/>
        <v>0.09960456187</v>
      </c>
      <c r="S48" s="17">
        <v>6426.0</v>
      </c>
      <c r="T48" s="29">
        <f t="shared" si="12"/>
        <v>0.103918366</v>
      </c>
      <c r="U48" s="15">
        <v>6432.0</v>
      </c>
      <c r="V48" s="11">
        <f t="shared" si="13"/>
        <v>0.1899530433</v>
      </c>
      <c r="W48" s="15">
        <v>6575.0</v>
      </c>
      <c r="X48" s="11">
        <f t="shared" si="14"/>
        <v>0.1749647409</v>
      </c>
      <c r="Y48" s="15">
        <v>2503.0</v>
      </c>
      <c r="Z48" s="11">
        <f t="shared" si="15"/>
        <v>0.07134916336</v>
      </c>
      <c r="AA48" s="15">
        <v>2700.0</v>
      </c>
      <c r="AB48" s="11">
        <f t="shared" si="16"/>
        <v>0.07680273076</v>
      </c>
      <c r="AC48" s="15">
        <v>6050.0</v>
      </c>
      <c r="AD48" s="11">
        <f t="shared" si="17"/>
        <v>0.07134938793</v>
      </c>
      <c r="AE48" s="15">
        <v>4489.0</v>
      </c>
      <c r="AF48" s="20">
        <f t="shared" si="18"/>
        <v>0.2306190599</v>
      </c>
      <c r="AG48" s="19">
        <v>6452.0</v>
      </c>
      <c r="AH48" s="15">
        <v>4443.0</v>
      </c>
      <c r="AI48" s="15">
        <v>5531.0</v>
      </c>
      <c r="AJ48" s="15">
        <v>4267.0</v>
      </c>
    </row>
    <row r="49" ht="15.75" customHeight="1">
      <c r="A49" s="6" t="s">
        <v>76</v>
      </c>
      <c r="B49" s="6" t="s">
        <v>32</v>
      </c>
      <c r="C49" s="6" t="s">
        <v>53</v>
      </c>
      <c r="D49" s="4" t="s">
        <v>137</v>
      </c>
      <c r="E49" s="19">
        <f t="shared" si="1"/>
        <v>5126.7</v>
      </c>
      <c r="F49" s="11">
        <f t="shared" si="2"/>
        <v>0.1086066312</v>
      </c>
      <c r="G49" s="15">
        <f t="shared" si="3"/>
        <v>5198</v>
      </c>
      <c r="H49" s="11">
        <f t="shared" si="4"/>
        <v>0.127967149</v>
      </c>
      <c r="I49" s="15">
        <f t="shared" si="5"/>
        <v>5055.4</v>
      </c>
      <c r="J49" s="20">
        <f t="shared" si="6"/>
        <v>0.09398610863</v>
      </c>
      <c r="K49" s="15">
        <f t="shared" si="7"/>
        <v>6412.666667</v>
      </c>
      <c r="L49" s="11">
        <f t="shared" si="8"/>
        <v>0.09681542766</v>
      </c>
      <c r="M49" s="19">
        <v>3691.0</v>
      </c>
      <c r="N49" s="11">
        <f t="shared" si="9"/>
        <v>0.1347080292</v>
      </c>
      <c r="O49" s="15">
        <v>6464.0</v>
      </c>
      <c r="P49" s="11">
        <f t="shared" si="10"/>
        <v>0.09636973537</v>
      </c>
      <c r="Q49" s="15">
        <v>6600.0</v>
      </c>
      <c r="R49" s="11">
        <f t="shared" si="11"/>
        <v>0.09456129291</v>
      </c>
      <c r="S49" s="17">
        <v>6174.0</v>
      </c>
      <c r="T49" s="29">
        <f t="shared" si="12"/>
        <v>0.09984313599</v>
      </c>
      <c r="U49" s="15">
        <v>5978.0</v>
      </c>
      <c r="V49" s="11">
        <f t="shared" si="13"/>
        <v>0.1765452881</v>
      </c>
      <c r="W49" s="15">
        <v>6410.0</v>
      </c>
      <c r="X49" s="11">
        <f t="shared" si="14"/>
        <v>0.1705739908</v>
      </c>
      <c r="Y49" s="15">
        <v>3077.0</v>
      </c>
      <c r="Z49" s="11">
        <f t="shared" si="15"/>
        <v>0.08771129671</v>
      </c>
      <c r="AA49" s="15">
        <v>2962.0</v>
      </c>
      <c r="AB49" s="11">
        <f t="shared" si="16"/>
        <v>0.08425544019</v>
      </c>
      <c r="AC49" s="15">
        <v>5838.0</v>
      </c>
      <c r="AD49" s="11">
        <f t="shared" si="17"/>
        <v>0.06884921103</v>
      </c>
      <c r="AE49" s="15">
        <v>4073.0</v>
      </c>
      <c r="AF49" s="20">
        <f t="shared" si="18"/>
        <v>0.2092473671</v>
      </c>
      <c r="AG49" s="19">
        <v>6638.0</v>
      </c>
      <c r="AH49" s="15">
        <v>4300.0</v>
      </c>
      <c r="AI49" s="15">
        <v>5960.0</v>
      </c>
      <c r="AJ49" s="15">
        <v>4902.0</v>
      </c>
    </row>
    <row r="50" ht="15.75" customHeight="1">
      <c r="A50" s="6" t="s">
        <v>70</v>
      </c>
      <c r="B50" s="6" t="s">
        <v>32</v>
      </c>
      <c r="C50" s="6" t="s">
        <v>59</v>
      </c>
      <c r="D50" s="4" t="s">
        <v>145</v>
      </c>
      <c r="E50" s="19">
        <f t="shared" si="1"/>
        <v>4740.9</v>
      </c>
      <c r="F50" s="11">
        <f t="shared" si="2"/>
        <v>0.1004336469</v>
      </c>
      <c r="G50" s="15">
        <f t="shared" si="3"/>
        <v>4436.6</v>
      </c>
      <c r="H50" s="11">
        <f t="shared" si="4"/>
        <v>0.1092225959</v>
      </c>
      <c r="I50" s="15">
        <f t="shared" si="5"/>
        <v>5045.2</v>
      </c>
      <c r="J50" s="20">
        <f t="shared" si="6"/>
        <v>0.09379647808</v>
      </c>
      <c r="K50" s="15">
        <f t="shared" si="7"/>
        <v>6445.666667</v>
      </c>
      <c r="L50" s="11">
        <f t="shared" si="8"/>
        <v>0.09731364615</v>
      </c>
      <c r="M50" s="19">
        <v>4026.0</v>
      </c>
      <c r="N50" s="11">
        <f t="shared" si="9"/>
        <v>0.1469343066</v>
      </c>
      <c r="O50" s="15">
        <v>6548.0</v>
      </c>
      <c r="P50" s="11">
        <f t="shared" si="10"/>
        <v>0.09762206485</v>
      </c>
      <c r="Q50" s="15">
        <v>6697.0</v>
      </c>
      <c r="R50" s="11">
        <f t="shared" si="11"/>
        <v>0.09595105737</v>
      </c>
      <c r="S50" s="17">
        <v>6092.0</v>
      </c>
      <c r="T50" s="29">
        <f t="shared" si="12"/>
        <v>0.09851706907</v>
      </c>
      <c r="U50" s="15">
        <v>4600.0</v>
      </c>
      <c r="V50" s="11">
        <f t="shared" si="13"/>
        <v>0.1358495024</v>
      </c>
      <c r="W50" s="15">
        <v>4888.0</v>
      </c>
      <c r="X50" s="11">
        <f t="shared" si="14"/>
        <v>0.130072647</v>
      </c>
      <c r="Y50" s="15">
        <v>2441.0</v>
      </c>
      <c r="Z50" s="11">
        <f t="shared" si="15"/>
        <v>0.06958182492</v>
      </c>
      <c r="AA50" s="15">
        <v>3448.0</v>
      </c>
      <c r="AB50" s="11">
        <f t="shared" si="16"/>
        <v>0.09807993173</v>
      </c>
      <c r="AC50" s="15">
        <v>6329.0</v>
      </c>
      <c r="AD50" s="11">
        <f t="shared" si="17"/>
        <v>0.07463971507</v>
      </c>
      <c r="AE50" s="15">
        <v>2340.0</v>
      </c>
      <c r="AF50" s="20">
        <f t="shared" si="18"/>
        <v>0.1202157719</v>
      </c>
      <c r="AG50" s="19">
        <v>6534.0</v>
      </c>
      <c r="AH50" s="15">
        <v>4401.0</v>
      </c>
      <c r="AI50" s="15">
        <v>5686.0</v>
      </c>
      <c r="AJ50" s="15">
        <v>4361.0</v>
      </c>
    </row>
    <row r="51" ht="15.75" customHeight="1">
      <c r="A51" s="6" t="s">
        <v>76</v>
      </c>
      <c r="B51" s="6" t="s">
        <v>32</v>
      </c>
      <c r="C51" s="6" t="s">
        <v>53</v>
      </c>
      <c r="D51" s="4" t="s">
        <v>136</v>
      </c>
      <c r="E51" s="19">
        <f t="shared" si="1"/>
        <v>5151.9</v>
      </c>
      <c r="F51" s="11">
        <f t="shared" si="2"/>
        <v>0.1091404808</v>
      </c>
      <c r="G51" s="15">
        <f t="shared" si="3"/>
        <v>5265.4</v>
      </c>
      <c r="H51" s="11">
        <f t="shared" si="4"/>
        <v>0.1296264383</v>
      </c>
      <c r="I51" s="15">
        <f t="shared" si="5"/>
        <v>5038.4</v>
      </c>
      <c r="J51" s="20">
        <f t="shared" si="6"/>
        <v>0.09367005771</v>
      </c>
      <c r="K51" s="15">
        <f t="shared" si="7"/>
        <v>6129.666667</v>
      </c>
      <c r="L51" s="11">
        <f t="shared" si="8"/>
        <v>0.09254282666</v>
      </c>
      <c r="M51" s="19">
        <v>3753.0</v>
      </c>
      <c r="N51" s="11">
        <f t="shared" si="9"/>
        <v>0.1369708029</v>
      </c>
      <c r="O51" s="15">
        <v>6160.0</v>
      </c>
      <c r="P51" s="11">
        <f t="shared" si="10"/>
        <v>0.09183749534</v>
      </c>
      <c r="Q51" s="15">
        <v>6335.0</v>
      </c>
      <c r="R51" s="11">
        <f t="shared" si="11"/>
        <v>0.09076451373</v>
      </c>
      <c r="S51" s="17">
        <v>5894.0</v>
      </c>
      <c r="T51" s="29">
        <f t="shared" si="12"/>
        <v>0.09531510261</v>
      </c>
      <c r="U51" s="15">
        <v>5799.0</v>
      </c>
      <c r="V51" s="11">
        <f t="shared" si="13"/>
        <v>0.1712589705</v>
      </c>
      <c r="W51" s="15">
        <v>6089.0</v>
      </c>
      <c r="X51" s="11">
        <f t="shared" si="14"/>
        <v>0.1620319859</v>
      </c>
      <c r="Y51" s="15">
        <v>3283.0</v>
      </c>
      <c r="Z51" s="11">
        <f t="shared" si="15"/>
        <v>0.09358342123</v>
      </c>
      <c r="AA51" s="15">
        <v>3520.0</v>
      </c>
      <c r="AB51" s="11">
        <f t="shared" si="16"/>
        <v>0.1001280046</v>
      </c>
      <c r="AC51" s="15">
        <v>5650.0</v>
      </c>
      <c r="AD51" s="11">
        <f t="shared" si="17"/>
        <v>0.06663207302</v>
      </c>
      <c r="AE51" s="15">
        <v>5036.0</v>
      </c>
      <c r="AF51" s="20">
        <f t="shared" si="18"/>
        <v>0.2587207809</v>
      </c>
      <c r="AG51" s="19">
        <v>5937.0</v>
      </c>
      <c r="AH51" s="15">
        <v>4057.0</v>
      </c>
      <c r="AI51" s="15">
        <v>5224.0</v>
      </c>
      <c r="AJ51" s="15">
        <v>3904.0</v>
      </c>
    </row>
    <row r="52" ht="15.75" customHeight="1">
      <c r="A52" s="6" t="s">
        <v>68</v>
      </c>
      <c r="B52" s="6" t="s">
        <v>33</v>
      </c>
      <c r="C52" s="6" t="s">
        <v>53</v>
      </c>
      <c r="D52" s="4" t="s">
        <v>141</v>
      </c>
      <c r="E52" s="19">
        <f t="shared" si="1"/>
        <v>4892.4</v>
      </c>
      <c r="F52" s="11">
        <f t="shared" si="2"/>
        <v>0.1036431003</v>
      </c>
      <c r="G52" s="15">
        <f t="shared" si="3"/>
        <v>4902</v>
      </c>
      <c r="H52" s="11">
        <f t="shared" si="4"/>
        <v>0.1206800624</v>
      </c>
      <c r="I52" s="15">
        <f t="shared" si="5"/>
        <v>4882.8</v>
      </c>
      <c r="J52" s="20">
        <f t="shared" si="6"/>
        <v>0.09077726218</v>
      </c>
      <c r="K52" s="15">
        <f t="shared" si="7"/>
        <v>6043.666667</v>
      </c>
      <c r="L52" s="11">
        <f t="shared" si="8"/>
        <v>0.09124443908</v>
      </c>
      <c r="M52" s="19">
        <v>3124.0</v>
      </c>
      <c r="N52" s="11">
        <f t="shared" si="9"/>
        <v>0.1140145985</v>
      </c>
      <c r="O52" s="15">
        <v>6125.0</v>
      </c>
      <c r="P52" s="11">
        <f t="shared" si="10"/>
        <v>0.09131569139</v>
      </c>
      <c r="Q52" s="15">
        <v>6193.0</v>
      </c>
      <c r="R52" s="11">
        <f t="shared" si="11"/>
        <v>0.08873001318</v>
      </c>
      <c r="S52" s="17">
        <v>5813.0</v>
      </c>
      <c r="T52" s="29">
        <f t="shared" si="12"/>
        <v>0.09400520724</v>
      </c>
      <c r="U52" s="15">
        <v>5594.0</v>
      </c>
      <c r="V52" s="11">
        <f t="shared" si="13"/>
        <v>0.1652048079</v>
      </c>
      <c r="W52" s="15">
        <v>5706.0</v>
      </c>
      <c r="X52" s="11">
        <f t="shared" si="14"/>
        <v>0.1518401235</v>
      </c>
      <c r="Y52" s="15">
        <v>3283.0</v>
      </c>
      <c r="Z52" s="11">
        <f t="shared" si="15"/>
        <v>0.09358342123</v>
      </c>
      <c r="AA52" s="15">
        <v>3000.0</v>
      </c>
      <c r="AB52" s="11">
        <f t="shared" si="16"/>
        <v>0.08533636752</v>
      </c>
      <c r="AC52" s="15">
        <v>5530.0</v>
      </c>
      <c r="AD52" s="11">
        <f t="shared" si="17"/>
        <v>0.06521687855</v>
      </c>
      <c r="AE52" s="15">
        <v>4556.0</v>
      </c>
      <c r="AF52" s="20">
        <f t="shared" si="18"/>
        <v>0.2340611354</v>
      </c>
      <c r="AG52" s="19">
        <v>6060.0</v>
      </c>
      <c r="AH52" s="15">
        <v>3949.0</v>
      </c>
      <c r="AI52" s="15">
        <v>5196.0</v>
      </c>
      <c r="AJ52" s="15">
        <v>4224.0</v>
      </c>
    </row>
    <row r="53" ht="15.75" customHeight="1">
      <c r="A53" s="6" t="s">
        <v>76</v>
      </c>
      <c r="B53" s="6" t="s">
        <v>33</v>
      </c>
      <c r="C53" s="6" t="s">
        <v>53</v>
      </c>
      <c r="D53" s="4" t="s">
        <v>139</v>
      </c>
      <c r="E53" s="19">
        <f t="shared" si="1"/>
        <v>4941.2</v>
      </c>
      <c r="F53" s="11">
        <f t="shared" si="2"/>
        <v>0.1046769044</v>
      </c>
      <c r="G53" s="15">
        <f t="shared" si="3"/>
        <v>5216.6</v>
      </c>
      <c r="H53" s="11">
        <f t="shared" si="4"/>
        <v>0.1284250538</v>
      </c>
      <c r="I53" s="15">
        <f t="shared" si="5"/>
        <v>4665.8</v>
      </c>
      <c r="J53" s="20">
        <f t="shared" si="6"/>
        <v>0.08674296508</v>
      </c>
      <c r="K53" s="15">
        <f t="shared" si="7"/>
        <v>5799.666667</v>
      </c>
      <c r="L53" s="11">
        <f t="shared" si="8"/>
        <v>0.08756064175</v>
      </c>
      <c r="M53" s="19">
        <v>3744.0</v>
      </c>
      <c r="N53" s="11">
        <f t="shared" si="9"/>
        <v>0.1366423358</v>
      </c>
      <c r="O53" s="15">
        <v>5832.0</v>
      </c>
      <c r="P53" s="11">
        <f t="shared" si="10"/>
        <v>0.08694744689</v>
      </c>
      <c r="Q53" s="15">
        <v>5957.0</v>
      </c>
      <c r="R53" s="11">
        <f t="shared" si="11"/>
        <v>0.08534873059</v>
      </c>
      <c r="S53" s="17">
        <v>5610.0</v>
      </c>
      <c r="T53" s="29">
        <f t="shared" si="12"/>
        <v>0.09072238304</v>
      </c>
      <c r="U53" s="15">
        <v>6109.0</v>
      </c>
      <c r="V53" s="11">
        <f t="shared" si="13"/>
        <v>0.1804140457</v>
      </c>
      <c r="W53" s="15">
        <v>6594.0</v>
      </c>
      <c r="X53" s="11">
        <f t="shared" si="14"/>
        <v>0.1754703425</v>
      </c>
      <c r="Y53" s="15">
        <v>3221.0</v>
      </c>
      <c r="Z53" s="11">
        <f t="shared" si="15"/>
        <v>0.09181608278</v>
      </c>
      <c r="AA53" s="15">
        <v>2709.0</v>
      </c>
      <c r="AB53" s="11">
        <f t="shared" si="16"/>
        <v>0.07705873987</v>
      </c>
      <c r="AC53" s="15">
        <v>5932.0</v>
      </c>
      <c r="AD53" s="11">
        <f t="shared" si="17"/>
        <v>0.06995778003</v>
      </c>
      <c r="AE53" s="15">
        <v>3704.0</v>
      </c>
      <c r="AF53" s="20">
        <f t="shared" si="18"/>
        <v>0.1902902646</v>
      </c>
      <c r="AG53" s="19">
        <v>5994.0</v>
      </c>
      <c r="AH53" s="15">
        <v>3993.0</v>
      </c>
      <c r="AI53" s="15">
        <v>5319.0</v>
      </c>
      <c r="AJ53" s="15">
        <v>4301.0</v>
      </c>
    </row>
    <row r="54" ht="15.75" customHeight="1">
      <c r="A54" s="6" t="s">
        <v>78</v>
      </c>
      <c r="B54" s="6" t="s">
        <v>33</v>
      </c>
      <c r="C54" s="6" t="s">
        <v>62</v>
      </c>
      <c r="D54" s="4" t="s">
        <v>152</v>
      </c>
      <c r="E54" s="19">
        <f t="shared" si="1"/>
        <v>4157.7</v>
      </c>
      <c r="F54" s="11">
        <f t="shared" si="2"/>
        <v>0.08807884028</v>
      </c>
      <c r="G54" s="15">
        <f t="shared" si="3"/>
        <v>3706.8</v>
      </c>
      <c r="H54" s="11">
        <f t="shared" si="4"/>
        <v>0.09125598846</v>
      </c>
      <c r="I54" s="15">
        <f t="shared" si="5"/>
        <v>4608.6</v>
      </c>
      <c r="J54" s="20">
        <f t="shared" si="6"/>
        <v>0.08567954667</v>
      </c>
      <c r="K54" s="15">
        <f t="shared" si="7"/>
        <v>6118.666667</v>
      </c>
      <c r="L54" s="11">
        <f t="shared" si="8"/>
        <v>0.09237675383</v>
      </c>
      <c r="M54" s="19">
        <v>3388.0</v>
      </c>
      <c r="N54" s="11">
        <f t="shared" si="9"/>
        <v>0.123649635</v>
      </c>
      <c r="O54" s="15">
        <v>6267.0</v>
      </c>
      <c r="P54" s="11">
        <f t="shared" si="10"/>
        <v>0.09343272456</v>
      </c>
      <c r="Q54" s="15">
        <v>6347.0</v>
      </c>
      <c r="R54" s="11">
        <f t="shared" si="11"/>
        <v>0.09093644335</v>
      </c>
      <c r="S54" s="17">
        <v>5742.0</v>
      </c>
      <c r="T54" s="29">
        <f t="shared" si="12"/>
        <v>0.09285702735</v>
      </c>
      <c r="U54" s="15">
        <v>3380.0</v>
      </c>
      <c r="V54" s="11">
        <f t="shared" si="13"/>
        <v>0.09981985175</v>
      </c>
      <c r="W54" s="15">
        <v>3618.0</v>
      </c>
      <c r="X54" s="11">
        <f t="shared" si="14"/>
        <v>0.09627717608</v>
      </c>
      <c r="Y54" s="15">
        <v>2454.0</v>
      </c>
      <c r="Z54" s="11">
        <f t="shared" si="15"/>
        <v>0.06995239588</v>
      </c>
      <c r="AA54" s="15">
        <v>2233.0</v>
      </c>
      <c r="AB54" s="11">
        <f t="shared" si="16"/>
        <v>0.06351870289</v>
      </c>
      <c r="AC54" s="15">
        <v>6623.0</v>
      </c>
      <c r="AD54" s="11">
        <f t="shared" si="17"/>
        <v>0.07810694153</v>
      </c>
      <c r="AE54" s="15">
        <v>1525.0</v>
      </c>
      <c r="AF54" s="20">
        <f t="shared" si="18"/>
        <v>0.07834574878</v>
      </c>
      <c r="AG54" s="19">
        <v>6000.0</v>
      </c>
      <c r="AH54" s="15">
        <v>4033.0</v>
      </c>
      <c r="AI54" s="15">
        <v>5187.0</v>
      </c>
      <c r="AJ54" s="15">
        <v>3786.0</v>
      </c>
    </row>
    <row r="55" ht="15.75" customHeight="1">
      <c r="A55" s="6" t="s">
        <v>78</v>
      </c>
      <c r="B55" s="6" t="s">
        <v>33</v>
      </c>
      <c r="C55" s="6" t="s">
        <v>52</v>
      </c>
      <c r="D55" s="4" t="s">
        <v>146</v>
      </c>
      <c r="E55" s="19">
        <f t="shared" si="1"/>
        <v>4656.2</v>
      </c>
      <c r="F55" s="11">
        <f t="shared" si="2"/>
        <v>0.09863931888</v>
      </c>
      <c r="G55" s="15">
        <f t="shared" si="3"/>
        <v>4720.6</v>
      </c>
      <c r="H55" s="11">
        <f t="shared" si="4"/>
        <v>0.11621426</v>
      </c>
      <c r="I55" s="15">
        <f t="shared" si="5"/>
        <v>4591.8</v>
      </c>
      <c r="J55" s="20">
        <f t="shared" si="6"/>
        <v>0.08536721399</v>
      </c>
      <c r="K55" s="15">
        <f t="shared" si="7"/>
        <v>5608.666667</v>
      </c>
      <c r="L55" s="11">
        <f t="shared" si="8"/>
        <v>0.08467701351</v>
      </c>
      <c r="M55" s="19">
        <v>3100.0</v>
      </c>
      <c r="N55" s="11">
        <f t="shared" si="9"/>
        <v>0.1131386861</v>
      </c>
      <c r="O55" s="15">
        <v>5722.0</v>
      </c>
      <c r="P55" s="11">
        <f t="shared" si="10"/>
        <v>0.08530749161</v>
      </c>
      <c r="Q55" s="15">
        <v>5769.0</v>
      </c>
      <c r="R55" s="11">
        <f t="shared" si="11"/>
        <v>0.08265516649</v>
      </c>
      <c r="S55" s="17">
        <v>5335.0</v>
      </c>
      <c r="T55" s="29">
        <f t="shared" si="12"/>
        <v>0.0862752074</v>
      </c>
      <c r="U55" s="15">
        <v>5139.0</v>
      </c>
      <c r="V55" s="11">
        <f t="shared" si="13"/>
        <v>0.1517675202</v>
      </c>
      <c r="W55" s="15">
        <v>5118.0</v>
      </c>
      <c r="X55" s="11">
        <f t="shared" si="14"/>
        <v>0.1361930866</v>
      </c>
      <c r="Y55" s="15">
        <v>2633.0</v>
      </c>
      <c r="Z55" s="11">
        <f t="shared" si="15"/>
        <v>0.07505487301</v>
      </c>
      <c r="AA55" s="15">
        <v>3500.0</v>
      </c>
      <c r="AB55" s="11">
        <f t="shared" si="16"/>
        <v>0.09955909543</v>
      </c>
      <c r="AC55" s="15">
        <v>5982.0</v>
      </c>
      <c r="AD55" s="11">
        <f t="shared" si="17"/>
        <v>0.07054744439</v>
      </c>
      <c r="AE55" s="15">
        <v>4264.0</v>
      </c>
      <c r="AF55" s="20">
        <f t="shared" si="18"/>
        <v>0.219059851</v>
      </c>
      <c r="AG55" s="19">
        <v>5501.0</v>
      </c>
      <c r="AH55" s="15">
        <v>3729.0</v>
      </c>
      <c r="AI55" s="15">
        <v>4584.0</v>
      </c>
      <c r="AJ55" s="15">
        <v>3001.0</v>
      </c>
    </row>
    <row r="56" ht="15.75" customHeight="1">
      <c r="A56" s="6" t="s">
        <v>79</v>
      </c>
      <c r="B56" s="6" t="s">
        <v>33</v>
      </c>
      <c r="C56" s="6" t="s">
        <v>53</v>
      </c>
      <c r="D56" s="4" t="s">
        <v>142</v>
      </c>
      <c r="E56" s="19">
        <f t="shared" si="1"/>
        <v>4844.6</v>
      </c>
      <c r="F56" s="11">
        <f t="shared" si="2"/>
        <v>0.1026304807</v>
      </c>
      <c r="G56" s="15">
        <f t="shared" si="3"/>
        <v>5202.6</v>
      </c>
      <c r="H56" s="11">
        <f t="shared" si="4"/>
        <v>0.1280803943</v>
      </c>
      <c r="I56" s="15">
        <f t="shared" si="5"/>
        <v>4486.6</v>
      </c>
      <c r="J56" s="20">
        <f t="shared" si="6"/>
        <v>0.0834114165</v>
      </c>
      <c r="K56" s="15">
        <f t="shared" si="7"/>
        <v>5666</v>
      </c>
      <c r="L56" s="11">
        <f t="shared" si="8"/>
        <v>0.08554260523</v>
      </c>
      <c r="M56" s="19">
        <v>3352.0</v>
      </c>
      <c r="N56" s="11">
        <f t="shared" si="9"/>
        <v>0.1223357664</v>
      </c>
      <c r="O56" s="15">
        <v>5701.0</v>
      </c>
      <c r="P56" s="11">
        <f t="shared" si="10"/>
        <v>0.08499440924</v>
      </c>
      <c r="Q56" s="15">
        <v>5831.0</v>
      </c>
      <c r="R56" s="11">
        <f t="shared" si="11"/>
        <v>0.08354346954</v>
      </c>
      <c r="S56" s="17">
        <v>5466.0</v>
      </c>
      <c r="T56" s="29">
        <f t="shared" si="12"/>
        <v>0.08839368016</v>
      </c>
      <c r="U56" s="15">
        <v>6672.0</v>
      </c>
      <c r="V56" s="11">
        <f t="shared" si="13"/>
        <v>0.1970408434</v>
      </c>
      <c r="W56" s="15">
        <v>6693.0</v>
      </c>
      <c r="X56" s="11">
        <f t="shared" si="14"/>
        <v>0.1781047926</v>
      </c>
      <c r="Y56" s="15">
        <v>2768.0</v>
      </c>
      <c r="Z56" s="11">
        <f t="shared" si="15"/>
        <v>0.07890310995</v>
      </c>
      <c r="AA56" s="15">
        <v>2667.0</v>
      </c>
      <c r="AB56" s="11">
        <f t="shared" si="16"/>
        <v>0.07586403072</v>
      </c>
      <c r="AC56" s="15">
        <v>5707.0</v>
      </c>
      <c r="AD56" s="11">
        <f t="shared" si="17"/>
        <v>0.0673042904</v>
      </c>
      <c r="AE56" s="15">
        <v>3589.0</v>
      </c>
      <c r="AF56" s="20">
        <f t="shared" si="18"/>
        <v>0.1843822245</v>
      </c>
      <c r="AG56" s="19">
        <v>5700.0</v>
      </c>
      <c r="AH56" s="15">
        <v>3810.0</v>
      </c>
      <c r="AI56" s="15">
        <v>4898.0</v>
      </c>
      <c r="AJ56" s="15">
        <v>3840.0</v>
      </c>
    </row>
    <row r="57" ht="15.75" customHeight="1">
      <c r="A57" s="6" t="s">
        <v>70</v>
      </c>
      <c r="B57" s="6" t="s">
        <v>33</v>
      </c>
      <c r="C57" s="6" t="s">
        <v>287</v>
      </c>
      <c r="D57" s="4" t="s">
        <v>147</v>
      </c>
      <c r="E57" s="19">
        <f t="shared" si="1"/>
        <v>4559.5</v>
      </c>
      <c r="F57" s="11">
        <f t="shared" si="2"/>
        <v>0.09659077669</v>
      </c>
      <c r="G57" s="15">
        <f t="shared" si="3"/>
        <v>4680.2</v>
      </c>
      <c r="H57" s="11">
        <f t="shared" si="4"/>
        <v>0.1152196712</v>
      </c>
      <c r="I57" s="15">
        <f t="shared" si="5"/>
        <v>4438.8</v>
      </c>
      <c r="J57" s="20">
        <f t="shared" si="6"/>
        <v>0.08252275567</v>
      </c>
      <c r="K57" s="15">
        <f t="shared" si="7"/>
        <v>5964.666667</v>
      </c>
      <c r="L57" s="11">
        <f t="shared" si="8"/>
        <v>0.0900517342</v>
      </c>
      <c r="M57" s="19">
        <v>2896.0</v>
      </c>
      <c r="N57" s="11">
        <f t="shared" si="9"/>
        <v>0.1056934307</v>
      </c>
      <c r="O57" s="15">
        <v>6045.0</v>
      </c>
      <c r="P57" s="11">
        <f t="shared" si="10"/>
        <v>0.09012299665</v>
      </c>
      <c r="Q57" s="15">
        <v>6195.0</v>
      </c>
      <c r="R57" s="11">
        <f t="shared" si="11"/>
        <v>0.08875866812</v>
      </c>
      <c r="S57" s="17">
        <v>5654.0</v>
      </c>
      <c r="T57" s="29">
        <f t="shared" si="12"/>
        <v>0.09143393114</v>
      </c>
      <c r="U57" s="15">
        <v>5639.0</v>
      </c>
      <c r="V57" s="11">
        <f t="shared" si="13"/>
        <v>0.1665337704</v>
      </c>
      <c r="W57" s="15">
        <v>5696.0</v>
      </c>
      <c r="X57" s="11">
        <f t="shared" si="14"/>
        <v>0.1515740174</v>
      </c>
      <c r="Y57" s="15">
        <v>2085.0</v>
      </c>
      <c r="Z57" s="11">
        <f t="shared" si="15"/>
        <v>0.05943388159</v>
      </c>
      <c r="AA57" s="15">
        <v>2215.0</v>
      </c>
      <c r="AB57" s="11">
        <f t="shared" si="16"/>
        <v>0.06300668468</v>
      </c>
      <c r="AC57" s="15">
        <v>5672.0</v>
      </c>
      <c r="AD57" s="11">
        <f t="shared" si="17"/>
        <v>0.06689152534</v>
      </c>
      <c r="AE57" s="15">
        <v>3498.0</v>
      </c>
      <c r="AF57" s="20">
        <f t="shared" si="18"/>
        <v>0.1797071667</v>
      </c>
      <c r="AG57" s="19">
        <v>5730.0</v>
      </c>
      <c r="AH57" s="15">
        <v>3817.0</v>
      </c>
      <c r="AI57" s="15">
        <v>4808.0</v>
      </c>
      <c r="AJ57" s="15">
        <v>3898.0</v>
      </c>
    </row>
    <row r="58" ht="15.75" customHeight="1">
      <c r="A58" s="6" t="s">
        <v>77</v>
      </c>
      <c r="B58" s="6" t="s">
        <v>33</v>
      </c>
      <c r="C58" s="6" t="s">
        <v>55</v>
      </c>
      <c r="D58" s="4" t="s">
        <v>143</v>
      </c>
      <c r="E58" s="19">
        <f t="shared" si="1"/>
        <v>4830.8</v>
      </c>
      <c r="F58" s="11">
        <f t="shared" si="2"/>
        <v>0.1023381344</v>
      </c>
      <c r="G58" s="15">
        <f t="shared" si="3"/>
        <v>5328.4</v>
      </c>
      <c r="H58" s="11">
        <f t="shared" si="4"/>
        <v>0.1311774061</v>
      </c>
      <c r="I58" s="15">
        <f t="shared" si="5"/>
        <v>4333.2</v>
      </c>
      <c r="J58" s="20">
        <f t="shared" si="6"/>
        <v>0.08055952168</v>
      </c>
      <c r="K58" s="15">
        <f t="shared" si="7"/>
        <v>5958.666667</v>
      </c>
      <c r="L58" s="11">
        <f t="shared" si="8"/>
        <v>0.08996114902</v>
      </c>
      <c r="M58" s="19">
        <v>3140.0</v>
      </c>
      <c r="N58" s="11">
        <f t="shared" si="9"/>
        <v>0.1145985401</v>
      </c>
      <c r="O58" s="15">
        <v>6074.0</v>
      </c>
      <c r="P58" s="11">
        <f t="shared" si="10"/>
        <v>0.09055534849</v>
      </c>
      <c r="Q58" s="15">
        <v>6239.0</v>
      </c>
      <c r="R58" s="11">
        <f t="shared" si="11"/>
        <v>0.08938907674</v>
      </c>
      <c r="S58" s="17">
        <v>5563.0</v>
      </c>
      <c r="T58" s="29">
        <f t="shared" si="12"/>
        <v>0.08996232029</v>
      </c>
      <c r="U58" s="15">
        <v>6677.0</v>
      </c>
      <c r="V58" s="11">
        <f t="shared" si="13"/>
        <v>0.197188506</v>
      </c>
      <c r="W58" s="15">
        <v>6361.0</v>
      </c>
      <c r="X58" s="11">
        <f t="shared" si="14"/>
        <v>0.1692700711</v>
      </c>
      <c r="Y58" s="15">
        <v>1665.0</v>
      </c>
      <c r="Z58" s="11">
        <f t="shared" si="15"/>
        <v>0.04746158889</v>
      </c>
      <c r="AA58" s="15">
        <v>2125.0</v>
      </c>
      <c r="AB58" s="11">
        <f t="shared" si="16"/>
        <v>0.06044659366</v>
      </c>
      <c r="AC58" s="15">
        <v>5388.0</v>
      </c>
      <c r="AD58" s="11">
        <f t="shared" si="17"/>
        <v>0.06354223176</v>
      </c>
      <c r="AE58" s="15">
        <v>5076.0</v>
      </c>
      <c r="AF58" s="20">
        <f t="shared" si="18"/>
        <v>0.2607757513</v>
      </c>
      <c r="AG58" s="19">
        <v>6026.0</v>
      </c>
      <c r="AH58" s="15">
        <v>4042.0</v>
      </c>
      <c r="AI58" s="15">
        <v>4935.0</v>
      </c>
      <c r="AJ58" s="15">
        <v>3697.0</v>
      </c>
    </row>
    <row r="59" ht="15.75" customHeight="1">
      <c r="A59" s="6" t="s">
        <v>74</v>
      </c>
      <c r="B59" s="6" t="s">
        <v>33</v>
      </c>
      <c r="C59" s="6" t="s">
        <v>53</v>
      </c>
      <c r="D59" s="4" t="s">
        <v>150</v>
      </c>
      <c r="E59" s="19">
        <f t="shared" si="1"/>
        <v>4284.5</v>
      </c>
      <c r="F59" s="11">
        <f t="shared" si="2"/>
        <v>0.09076503624</v>
      </c>
      <c r="G59" s="15">
        <f t="shared" si="3"/>
        <v>4345.8</v>
      </c>
      <c r="H59" s="11">
        <f t="shared" si="4"/>
        <v>0.1069872328</v>
      </c>
      <c r="I59" s="15">
        <f t="shared" si="5"/>
        <v>4223.2</v>
      </c>
      <c r="J59" s="20">
        <f t="shared" si="6"/>
        <v>0.07851448629</v>
      </c>
      <c r="K59" s="15">
        <f t="shared" si="7"/>
        <v>4974</v>
      </c>
      <c r="L59" s="11">
        <f t="shared" si="8"/>
        <v>0.07509511444</v>
      </c>
      <c r="M59" s="19">
        <v>2733.0</v>
      </c>
      <c r="N59" s="11">
        <f t="shared" si="9"/>
        <v>0.09974452555</v>
      </c>
      <c r="O59" s="15">
        <v>4960.0</v>
      </c>
      <c r="P59" s="11">
        <f t="shared" si="10"/>
        <v>0.07394707417</v>
      </c>
      <c r="Q59" s="15">
        <v>5112.0</v>
      </c>
      <c r="R59" s="11">
        <f t="shared" si="11"/>
        <v>0.0732420196</v>
      </c>
      <c r="S59" s="17">
        <v>4850.0</v>
      </c>
      <c r="T59" s="29">
        <f t="shared" si="12"/>
        <v>0.07843200673</v>
      </c>
      <c r="U59" s="15">
        <v>4522.0</v>
      </c>
      <c r="V59" s="11">
        <f t="shared" si="13"/>
        <v>0.1335459673</v>
      </c>
      <c r="W59" s="15">
        <v>4908.0</v>
      </c>
      <c r="X59" s="11">
        <f t="shared" si="14"/>
        <v>0.1306048591</v>
      </c>
      <c r="Y59" s="15">
        <v>3280.0</v>
      </c>
      <c r="Z59" s="11">
        <f t="shared" si="15"/>
        <v>0.09349790485</v>
      </c>
      <c r="AA59" s="15">
        <v>2914.0</v>
      </c>
      <c r="AB59" s="11">
        <f t="shared" si="16"/>
        <v>0.08289005831</v>
      </c>
      <c r="AC59" s="15">
        <v>7770.0</v>
      </c>
      <c r="AD59" s="11">
        <f t="shared" si="17"/>
        <v>0.09163384202</v>
      </c>
      <c r="AE59" s="15">
        <v>1796.0</v>
      </c>
      <c r="AF59" s="20">
        <f t="shared" si="18"/>
        <v>0.09226817365</v>
      </c>
      <c r="AG59" s="19">
        <v>4475.0</v>
      </c>
      <c r="AH59" s="15">
        <v>3289.0</v>
      </c>
      <c r="AI59" s="15">
        <v>4024.0</v>
      </c>
      <c r="AJ59" s="15">
        <v>3072.0</v>
      </c>
    </row>
    <row r="60" ht="15.75" customHeight="1">
      <c r="A60" s="6" t="s">
        <v>78</v>
      </c>
      <c r="B60" s="6" t="s">
        <v>33</v>
      </c>
      <c r="C60" s="6" t="s">
        <v>52</v>
      </c>
      <c r="D60" s="4" t="s">
        <v>148</v>
      </c>
      <c r="E60" s="19">
        <f t="shared" si="1"/>
        <v>4318.9</v>
      </c>
      <c r="F60" s="11">
        <f t="shared" si="2"/>
        <v>0.09149378341</v>
      </c>
      <c r="G60" s="15">
        <f t="shared" si="3"/>
        <v>4444.4</v>
      </c>
      <c r="H60" s="11">
        <f t="shared" si="4"/>
        <v>0.1094146205</v>
      </c>
      <c r="I60" s="15">
        <f t="shared" si="5"/>
        <v>4193.4</v>
      </c>
      <c r="J60" s="20">
        <f t="shared" si="6"/>
        <v>0.07796046761</v>
      </c>
      <c r="K60" s="15">
        <f t="shared" si="7"/>
        <v>5429.333333</v>
      </c>
      <c r="L60" s="11">
        <f t="shared" si="8"/>
        <v>0.08196952312</v>
      </c>
      <c r="M60" s="19">
        <v>2853.0</v>
      </c>
      <c r="N60" s="11">
        <f t="shared" si="9"/>
        <v>0.1041240876</v>
      </c>
      <c r="O60" s="15">
        <v>5500.0</v>
      </c>
      <c r="P60" s="11">
        <f t="shared" si="10"/>
        <v>0.0819977637</v>
      </c>
      <c r="Q60" s="15">
        <v>5581.0</v>
      </c>
      <c r="R60" s="11">
        <f t="shared" si="11"/>
        <v>0.07996160238</v>
      </c>
      <c r="S60" s="17">
        <v>5207.0</v>
      </c>
      <c r="T60" s="29">
        <f t="shared" si="12"/>
        <v>0.08420524928</v>
      </c>
      <c r="U60" s="15">
        <v>4868.0</v>
      </c>
      <c r="V60" s="11">
        <f t="shared" si="13"/>
        <v>0.1437642125</v>
      </c>
      <c r="W60" s="15">
        <v>4986.0</v>
      </c>
      <c r="X60" s="11">
        <f t="shared" si="14"/>
        <v>0.1326804864</v>
      </c>
      <c r="Y60" s="15">
        <v>2130.0</v>
      </c>
      <c r="Z60" s="11">
        <f t="shared" si="15"/>
        <v>0.06071662723</v>
      </c>
      <c r="AA60" s="15">
        <v>2549.0</v>
      </c>
      <c r="AB60" s="11">
        <f t="shared" si="16"/>
        <v>0.07250746693</v>
      </c>
      <c r="AC60" s="15">
        <v>5967.0</v>
      </c>
      <c r="AD60" s="11">
        <f t="shared" si="17"/>
        <v>0.07037054509</v>
      </c>
      <c r="AE60" s="15">
        <v>3548.0</v>
      </c>
      <c r="AF60" s="20">
        <f t="shared" si="18"/>
        <v>0.1822758798</v>
      </c>
      <c r="AG60" s="19">
        <v>5172.0</v>
      </c>
      <c r="AH60" s="15">
        <v>3445.0</v>
      </c>
      <c r="AI60" s="15">
        <v>4433.0</v>
      </c>
      <c r="AJ60" s="15">
        <v>3321.0</v>
      </c>
    </row>
    <row r="61" ht="15.75" customHeight="1">
      <c r="A61" s="6" t="s">
        <v>78</v>
      </c>
      <c r="B61" s="6" t="s">
        <v>33</v>
      </c>
      <c r="C61" s="6" t="s">
        <v>52</v>
      </c>
      <c r="D61" s="4" t="s">
        <v>149</v>
      </c>
      <c r="E61" s="19">
        <f t="shared" si="1"/>
        <v>4295.1</v>
      </c>
      <c r="F61" s="11">
        <f t="shared" si="2"/>
        <v>0.09098959205</v>
      </c>
      <c r="G61" s="15">
        <f t="shared" si="3"/>
        <v>4449.2</v>
      </c>
      <c r="H61" s="11">
        <f t="shared" si="4"/>
        <v>0.1095327894</v>
      </c>
      <c r="I61" s="15">
        <f t="shared" si="5"/>
        <v>4141</v>
      </c>
      <c r="J61" s="20">
        <f t="shared" si="6"/>
        <v>0.07698628711</v>
      </c>
      <c r="K61" s="15">
        <f t="shared" si="7"/>
        <v>4981.333333</v>
      </c>
      <c r="L61" s="11">
        <f t="shared" si="8"/>
        <v>0.07520582966</v>
      </c>
      <c r="M61" s="19">
        <v>2512.0</v>
      </c>
      <c r="N61" s="11">
        <f t="shared" si="9"/>
        <v>0.09167883212</v>
      </c>
      <c r="O61" s="15">
        <v>5066.0</v>
      </c>
      <c r="P61" s="11">
        <f t="shared" si="10"/>
        <v>0.07552739471</v>
      </c>
      <c r="Q61" s="15">
        <v>5093.0</v>
      </c>
      <c r="R61" s="11">
        <f t="shared" si="11"/>
        <v>0.0729697977</v>
      </c>
      <c r="S61" s="17">
        <v>4785.0</v>
      </c>
      <c r="T61" s="29">
        <f t="shared" si="12"/>
        <v>0.07738085612</v>
      </c>
      <c r="U61" s="15">
        <v>4964.0</v>
      </c>
      <c r="V61" s="11">
        <f t="shared" si="13"/>
        <v>0.1465993326</v>
      </c>
      <c r="W61" s="15">
        <v>5164.0</v>
      </c>
      <c r="X61" s="11">
        <f t="shared" si="14"/>
        <v>0.1374171745</v>
      </c>
      <c r="Y61" s="15">
        <v>2570.0</v>
      </c>
      <c r="Z61" s="11">
        <f t="shared" si="15"/>
        <v>0.0732590291</v>
      </c>
      <c r="AA61" s="15">
        <v>3191.0</v>
      </c>
      <c r="AB61" s="11">
        <f t="shared" si="16"/>
        <v>0.09076944958</v>
      </c>
      <c r="AC61" s="15">
        <v>5666.0</v>
      </c>
      <c r="AD61" s="11">
        <f t="shared" si="17"/>
        <v>0.06682076562</v>
      </c>
      <c r="AE61" s="15">
        <v>3940.0</v>
      </c>
      <c r="AF61" s="20">
        <f t="shared" si="18"/>
        <v>0.2024145903</v>
      </c>
      <c r="AG61" s="19">
        <v>4839.0</v>
      </c>
      <c r="AH61" s="15">
        <v>3308.0</v>
      </c>
      <c r="AI61" s="15">
        <v>4156.0</v>
      </c>
      <c r="AJ61" s="15">
        <v>3021.0</v>
      </c>
    </row>
    <row r="62" ht="15.75" customHeight="1">
      <c r="A62" s="6" t="s">
        <v>78</v>
      </c>
      <c r="B62" s="6" t="s">
        <v>33</v>
      </c>
      <c r="C62" s="6" t="s">
        <v>287</v>
      </c>
      <c r="D62" s="4" t="s">
        <v>151</v>
      </c>
      <c r="E62" s="19">
        <f t="shared" si="1"/>
        <v>4209.6</v>
      </c>
      <c r="F62" s="11">
        <f t="shared" si="2"/>
        <v>0.08917831638</v>
      </c>
      <c r="G62" s="15">
        <f t="shared" si="3"/>
        <v>4344.8</v>
      </c>
      <c r="H62" s="11">
        <f t="shared" si="4"/>
        <v>0.1069626143</v>
      </c>
      <c r="I62" s="15">
        <f t="shared" si="5"/>
        <v>4074.4</v>
      </c>
      <c r="J62" s="20">
        <f t="shared" si="6"/>
        <v>0.07574811113</v>
      </c>
      <c r="K62" s="15">
        <f t="shared" si="7"/>
        <v>5016.333333</v>
      </c>
      <c r="L62" s="11">
        <f t="shared" si="8"/>
        <v>0.07573424321</v>
      </c>
      <c r="M62" s="19">
        <v>2980.0</v>
      </c>
      <c r="N62" s="11">
        <f t="shared" si="9"/>
        <v>0.1087591241</v>
      </c>
      <c r="O62" s="15">
        <v>5098.0</v>
      </c>
      <c r="P62" s="11">
        <f t="shared" si="10"/>
        <v>0.07600447261</v>
      </c>
      <c r="Q62" s="15">
        <v>5176.0</v>
      </c>
      <c r="R62" s="11">
        <f t="shared" si="11"/>
        <v>0.07415897759</v>
      </c>
      <c r="S62" s="17">
        <v>4775.0</v>
      </c>
      <c r="T62" s="29">
        <f t="shared" si="12"/>
        <v>0.07721914064</v>
      </c>
      <c r="U62" s="15">
        <v>4964.0</v>
      </c>
      <c r="V62" s="11">
        <f t="shared" si="13"/>
        <v>0.1465993326</v>
      </c>
      <c r="W62" s="15">
        <v>5013.0</v>
      </c>
      <c r="X62" s="11">
        <f t="shared" si="14"/>
        <v>0.1333989728</v>
      </c>
      <c r="Y62" s="15">
        <v>2404.0</v>
      </c>
      <c r="Z62" s="11">
        <f t="shared" si="15"/>
        <v>0.06852712294</v>
      </c>
      <c r="AA62" s="15">
        <v>2919.0</v>
      </c>
      <c r="AB62" s="11">
        <f t="shared" si="16"/>
        <v>0.08303228559</v>
      </c>
      <c r="AC62" s="15">
        <v>4448.0</v>
      </c>
      <c r="AD62" s="11">
        <f t="shared" si="17"/>
        <v>0.05245654174</v>
      </c>
      <c r="AE62" s="15">
        <v>4319.0</v>
      </c>
      <c r="AF62" s="20">
        <f t="shared" si="18"/>
        <v>0.2218854354</v>
      </c>
      <c r="AG62" s="19">
        <v>4931.0</v>
      </c>
      <c r="AH62" s="15">
        <v>3268.0</v>
      </c>
      <c r="AI62" s="15">
        <v>4069.0</v>
      </c>
      <c r="AJ62" s="15">
        <v>3012.0</v>
      </c>
    </row>
    <row r="63" ht="15.75" customHeight="1">
      <c r="A63" s="6" t="s">
        <v>75</v>
      </c>
      <c r="B63" s="6" t="s">
        <v>33</v>
      </c>
      <c r="C63" s="6" t="s">
        <v>60</v>
      </c>
      <c r="D63" s="4" t="s">
        <v>159</v>
      </c>
      <c r="E63" s="19">
        <f t="shared" si="1"/>
        <v>3659.5</v>
      </c>
      <c r="F63" s="11">
        <f t="shared" si="2"/>
        <v>0.07752471703</v>
      </c>
      <c r="G63" s="15">
        <f t="shared" si="3"/>
        <v>3484.4</v>
      </c>
      <c r="H63" s="11">
        <f t="shared" si="4"/>
        <v>0.0857808261</v>
      </c>
      <c r="I63" s="15">
        <f t="shared" si="5"/>
        <v>3834.6</v>
      </c>
      <c r="J63" s="20">
        <f t="shared" si="6"/>
        <v>0.07128993396</v>
      </c>
      <c r="K63" s="15">
        <f t="shared" si="7"/>
        <v>4732.666667</v>
      </c>
      <c r="L63" s="11">
        <f t="shared" si="8"/>
        <v>0.07145157719</v>
      </c>
      <c r="M63" s="19">
        <v>2419.0</v>
      </c>
      <c r="N63" s="11">
        <f t="shared" si="9"/>
        <v>0.08828467153</v>
      </c>
      <c r="O63" s="15">
        <v>4756.0</v>
      </c>
      <c r="P63" s="11">
        <f t="shared" si="10"/>
        <v>0.07090570257</v>
      </c>
      <c r="Q63" s="15">
        <v>4820.0</v>
      </c>
      <c r="R63" s="11">
        <f t="shared" si="11"/>
        <v>0.06905839876</v>
      </c>
      <c r="S63" s="17">
        <v>4622.0</v>
      </c>
      <c r="T63" s="29">
        <f t="shared" si="12"/>
        <v>0.07474489383</v>
      </c>
      <c r="U63" s="15">
        <v>3587.0</v>
      </c>
      <c r="V63" s="11">
        <f t="shared" si="13"/>
        <v>0.1059330794</v>
      </c>
      <c r="W63" s="15">
        <v>3779.0</v>
      </c>
      <c r="X63" s="11">
        <f t="shared" si="14"/>
        <v>0.1005614838</v>
      </c>
      <c r="Y63" s="15">
        <v>2626.0</v>
      </c>
      <c r="Z63" s="11">
        <f t="shared" si="15"/>
        <v>0.0748553348</v>
      </c>
      <c r="AA63" s="15">
        <v>2349.0</v>
      </c>
      <c r="AB63" s="11">
        <f t="shared" si="16"/>
        <v>0.06681837576</v>
      </c>
      <c r="AC63" s="15">
        <v>4527.0</v>
      </c>
      <c r="AD63" s="11">
        <f t="shared" si="17"/>
        <v>0.05338821143</v>
      </c>
      <c r="AE63" s="15">
        <v>3110.0</v>
      </c>
      <c r="AF63" s="20">
        <f t="shared" si="18"/>
        <v>0.1597739532</v>
      </c>
      <c r="AG63" s="19">
        <v>4605.0</v>
      </c>
      <c r="AH63" s="15">
        <v>3045.0</v>
      </c>
      <c r="AI63" s="15">
        <v>4124.0</v>
      </c>
      <c r="AJ63" s="15">
        <v>2953.0</v>
      </c>
    </row>
    <row r="64" ht="15.75" customHeight="1">
      <c r="A64" s="6" t="s">
        <v>75</v>
      </c>
      <c r="B64" s="6" t="s">
        <v>33</v>
      </c>
      <c r="C64" s="6" t="s">
        <v>53</v>
      </c>
      <c r="D64" s="4" t="s">
        <v>160</v>
      </c>
      <c r="E64" s="19">
        <f t="shared" si="1"/>
        <v>3630.3</v>
      </c>
      <c r="F64" s="11">
        <f t="shared" si="2"/>
        <v>0.07690612931</v>
      </c>
      <c r="G64" s="15">
        <f t="shared" si="3"/>
        <v>3469</v>
      </c>
      <c r="H64" s="11">
        <f t="shared" si="4"/>
        <v>0.08540170065</v>
      </c>
      <c r="I64" s="15">
        <f t="shared" si="5"/>
        <v>3791.6</v>
      </c>
      <c r="J64" s="20">
        <f t="shared" si="6"/>
        <v>0.07049051104</v>
      </c>
      <c r="K64" s="15">
        <f t="shared" si="7"/>
        <v>4779</v>
      </c>
      <c r="L64" s="11">
        <f t="shared" si="8"/>
        <v>0.07215109608</v>
      </c>
      <c r="M64" s="19">
        <v>2752.0</v>
      </c>
      <c r="N64" s="11">
        <f t="shared" si="9"/>
        <v>0.1004379562</v>
      </c>
      <c r="O64" s="15">
        <v>4800.0</v>
      </c>
      <c r="P64" s="11">
        <f t="shared" si="10"/>
        <v>0.07156168468</v>
      </c>
      <c r="Q64" s="15">
        <v>4874.0</v>
      </c>
      <c r="R64" s="11">
        <f t="shared" si="11"/>
        <v>0.06983208207</v>
      </c>
      <c r="S64" s="17">
        <v>4663.0</v>
      </c>
      <c r="T64" s="29">
        <f t="shared" si="12"/>
        <v>0.07540792729</v>
      </c>
      <c r="U64" s="15">
        <v>4085.0</v>
      </c>
      <c r="V64" s="11">
        <f t="shared" si="13"/>
        <v>0.1206402646</v>
      </c>
      <c r="W64" s="15">
        <v>4375.0</v>
      </c>
      <c r="X64" s="11">
        <f t="shared" si="14"/>
        <v>0.1164214056</v>
      </c>
      <c r="Y64" s="15">
        <v>2526.0</v>
      </c>
      <c r="Z64" s="11">
        <f t="shared" si="15"/>
        <v>0.07200478892</v>
      </c>
      <c r="AA64" s="15">
        <v>2095.0</v>
      </c>
      <c r="AB64" s="11">
        <f t="shared" si="16"/>
        <v>0.05959322998</v>
      </c>
      <c r="AC64" s="15">
        <v>4151.0</v>
      </c>
      <c r="AD64" s="11">
        <f t="shared" si="17"/>
        <v>0.04895393542</v>
      </c>
      <c r="AE64" s="15">
        <v>1982.0</v>
      </c>
      <c r="AF64" s="20">
        <f t="shared" si="18"/>
        <v>0.1018237863</v>
      </c>
      <c r="AG64" s="19">
        <v>4878.0</v>
      </c>
      <c r="AH64" s="15">
        <v>3041.0</v>
      </c>
      <c r="AI64" s="15">
        <v>4324.0</v>
      </c>
      <c r="AJ64" s="15">
        <v>3474.0</v>
      </c>
    </row>
    <row r="65" ht="15.75" customHeight="1">
      <c r="A65" s="6" t="s">
        <v>75</v>
      </c>
      <c r="B65" s="6" t="s">
        <v>33</v>
      </c>
      <c r="C65" s="6" t="s">
        <v>53</v>
      </c>
      <c r="D65" s="4" t="s">
        <v>161</v>
      </c>
      <c r="E65" s="19">
        <f t="shared" si="1"/>
        <v>3622.8</v>
      </c>
      <c r="F65" s="11">
        <f t="shared" si="2"/>
        <v>0.07674724548</v>
      </c>
      <c r="G65" s="15">
        <f t="shared" si="3"/>
        <v>3538.6</v>
      </c>
      <c r="H65" s="11">
        <f t="shared" si="4"/>
        <v>0.08711515074</v>
      </c>
      <c r="I65" s="15">
        <f t="shared" si="5"/>
        <v>3707</v>
      </c>
      <c r="J65" s="20">
        <f t="shared" si="6"/>
        <v>0.0689176929</v>
      </c>
      <c r="K65" s="15">
        <f t="shared" si="7"/>
        <v>4541</v>
      </c>
      <c r="L65" s="11">
        <f t="shared" si="8"/>
        <v>0.06855788393</v>
      </c>
      <c r="M65" s="19">
        <v>2242.0</v>
      </c>
      <c r="N65" s="11">
        <f t="shared" si="9"/>
        <v>0.08182481752</v>
      </c>
      <c r="O65" s="15">
        <v>4548.0</v>
      </c>
      <c r="P65" s="11">
        <f t="shared" si="10"/>
        <v>0.06780469624</v>
      </c>
      <c r="Q65" s="15">
        <v>4601.0</v>
      </c>
      <c r="R65" s="11">
        <f t="shared" si="11"/>
        <v>0.06592068313</v>
      </c>
      <c r="S65" s="17">
        <v>4474.0</v>
      </c>
      <c r="T65" s="29">
        <f t="shared" si="12"/>
        <v>0.07235150476</v>
      </c>
      <c r="U65" s="15">
        <v>3870.0</v>
      </c>
      <c r="V65" s="11">
        <f t="shared" si="13"/>
        <v>0.114290777</v>
      </c>
      <c r="W65" s="15">
        <v>4046.0</v>
      </c>
      <c r="X65" s="11">
        <f t="shared" si="14"/>
        <v>0.1076665159</v>
      </c>
      <c r="Y65" s="15">
        <v>2515.0</v>
      </c>
      <c r="Z65" s="11">
        <f t="shared" si="15"/>
        <v>0.07169122887</v>
      </c>
      <c r="AA65" s="15">
        <v>2397.0</v>
      </c>
      <c r="AB65" s="11">
        <f t="shared" si="16"/>
        <v>0.06818375764</v>
      </c>
      <c r="AC65" s="15">
        <v>4034.0</v>
      </c>
      <c r="AD65" s="11">
        <f t="shared" si="17"/>
        <v>0.04757412081</v>
      </c>
      <c r="AE65" s="15">
        <v>3501.0</v>
      </c>
      <c r="AF65" s="20">
        <f t="shared" si="18"/>
        <v>0.1798612895</v>
      </c>
      <c r="AG65" s="19">
        <v>4579.0</v>
      </c>
      <c r="AH65" s="15">
        <v>2974.0</v>
      </c>
      <c r="AI65" s="15">
        <v>4034.0</v>
      </c>
      <c r="AJ65" s="15">
        <v>3250.0</v>
      </c>
    </row>
    <row r="66" ht="15.75" customHeight="1">
      <c r="A66" s="6" t="s">
        <v>73</v>
      </c>
      <c r="B66" s="6" t="s">
        <v>33</v>
      </c>
      <c r="C66" s="6" t="s">
        <v>60</v>
      </c>
      <c r="D66" s="4" t="s">
        <v>157</v>
      </c>
      <c r="E66" s="19">
        <f t="shared" si="1"/>
        <v>3700.1</v>
      </c>
      <c r="F66" s="11">
        <f t="shared" si="2"/>
        <v>0.07838480816</v>
      </c>
      <c r="G66" s="15">
        <f t="shared" si="3"/>
        <v>3695.8</v>
      </c>
      <c r="H66" s="11">
        <f t="shared" si="4"/>
        <v>0.09098518457</v>
      </c>
      <c r="I66" s="15">
        <f t="shared" si="5"/>
        <v>3704.4</v>
      </c>
      <c r="J66" s="20">
        <f t="shared" si="6"/>
        <v>0.0688693557</v>
      </c>
      <c r="K66" s="15">
        <f t="shared" si="7"/>
        <v>4524.333333</v>
      </c>
      <c r="L66" s="11">
        <f t="shared" si="8"/>
        <v>0.06830625843</v>
      </c>
      <c r="M66" s="19">
        <v>2577.0</v>
      </c>
      <c r="N66" s="11">
        <f t="shared" si="9"/>
        <v>0.09405109489</v>
      </c>
      <c r="O66" s="15">
        <v>4560.0</v>
      </c>
      <c r="P66" s="11">
        <f t="shared" si="10"/>
        <v>0.06798360045</v>
      </c>
      <c r="Q66" s="15">
        <v>4628.0</v>
      </c>
      <c r="R66" s="11">
        <f t="shared" si="11"/>
        <v>0.06630752479</v>
      </c>
      <c r="S66" s="17">
        <v>4385.0</v>
      </c>
      <c r="T66" s="29">
        <f t="shared" si="12"/>
        <v>0.07091223701</v>
      </c>
      <c r="U66" s="15">
        <v>3709.0</v>
      </c>
      <c r="V66" s="11">
        <f t="shared" si="13"/>
        <v>0.1095360444</v>
      </c>
      <c r="W66" s="15">
        <v>4062.0</v>
      </c>
      <c r="X66" s="11">
        <f t="shared" si="14"/>
        <v>0.1080922856</v>
      </c>
      <c r="Y66" s="15">
        <v>2525.0</v>
      </c>
      <c r="Z66" s="11">
        <f t="shared" si="15"/>
        <v>0.07197628346</v>
      </c>
      <c r="AA66" s="15">
        <v>2424.0</v>
      </c>
      <c r="AB66" s="11">
        <f t="shared" si="16"/>
        <v>0.06895178495</v>
      </c>
      <c r="AC66" s="15">
        <v>4740.0</v>
      </c>
      <c r="AD66" s="11">
        <f t="shared" si="17"/>
        <v>0.05590018162</v>
      </c>
      <c r="AE66" s="15">
        <v>3391.0</v>
      </c>
      <c r="AF66" s="20">
        <f t="shared" si="18"/>
        <v>0.1742101207</v>
      </c>
      <c r="AG66" s="19">
        <v>4408.0</v>
      </c>
      <c r="AH66" s="15">
        <v>2932.0</v>
      </c>
      <c r="AI66" s="15">
        <v>3810.0</v>
      </c>
      <c r="AJ66" s="15">
        <v>2860.0</v>
      </c>
    </row>
    <row r="67" ht="15.75" customHeight="1">
      <c r="A67" s="6" t="s">
        <v>75</v>
      </c>
      <c r="B67" s="6" t="s">
        <v>33</v>
      </c>
      <c r="C67" s="6" t="s">
        <v>53</v>
      </c>
      <c r="D67" s="4" t="s">
        <v>158</v>
      </c>
      <c r="E67" s="19">
        <f t="shared" si="1"/>
        <v>3692.5</v>
      </c>
      <c r="F67" s="11">
        <f t="shared" si="2"/>
        <v>0.07822380588</v>
      </c>
      <c r="G67" s="15">
        <f t="shared" si="3"/>
        <v>3780</v>
      </c>
      <c r="H67" s="11">
        <f t="shared" si="4"/>
        <v>0.09305806528</v>
      </c>
      <c r="I67" s="15">
        <f t="shared" si="5"/>
        <v>3605</v>
      </c>
      <c r="J67" s="20">
        <f t="shared" si="6"/>
        <v>0.06702138735</v>
      </c>
      <c r="K67" s="15">
        <f t="shared" si="7"/>
        <v>4515.333333</v>
      </c>
      <c r="L67" s="11">
        <f t="shared" si="8"/>
        <v>0.06817038066</v>
      </c>
      <c r="M67" s="19">
        <v>2632.0</v>
      </c>
      <c r="N67" s="11">
        <f t="shared" si="9"/>
        <v>0.09605839416</v>
      </c>
      <c r="O67" s="15">
        <v>4533.0</v>
      </c>
      <c r="P67" s="11">
        <f t="shared" si="10"/>
        <v>0.06758106597</v>
      </c>
      <c r="Q67" s="15">
        <v>4614.0</v>
      </c>
      <c r="R67" s="11">
        <f t="shared" si="11"/>
        <v>0.06610694023</v>
      </c>
      <c r="S67" s="17">
        <v>4399.0</v>
      </c>
      <c r="T67" s="29">
        <f t="shared" si="12"/>
        <v>0.07113863868</v>
      </c>
      <c r="U67" s="15">
        <v>4210.0</v>
      </c>
      <c r="V67" s="11">
        <f t="shared" si="13"/>
        <v>0.1243318272</v>
      </c>
      <c r="W67" s="15">
        <v>4406.0</v>
      </c>
      <c r="X67" s="11">
        <f t="shared" si="14"/>
        <v>0.1172463344</v>
      </c>
      <c r="Y67" s="15">
        <v>2118.0</v>
      </c>
      <c r="Z67" s="11">
        <f t="shared" si="15"/>
        <v>0.06037456173</v>
      </c>
      <c r="AA67" s="15">
        <v>2361.0</v>
      </c>
      <c r="AB67" s="11">
        <f t="shared" si="16"/>
        <v>0.06715972123</v>
      </c>
      <c r="AC67" s="15">
        <v>4413.0</v>
      </c>
      <c r="AD67" s="11">
        <f t="shared" si="17"/>
        <v>0.05204377668</v>
      </c>
      <c r="AE67" s="15">
        <v>3239.0</v>
      </c>
      <c r="AF67" s="20">
        <f t="shared" si="18"/>
        <v>0.166401233</v>
      </c>
      <c r="AG67" s="19">
        <v>4519.0</v>
      </c>
      <c r="AH67" s="15">
        <v>2907.0</v>
      </c>
      <c r="AI67" s="15">
        <v>3763.0</v>
      </c>
      <c r="AJ67" s="15">
        <v>2828.0</v>
      </c>
    </row>
    <row r="68" ht="15.75" customHeight="1">
      <c r="A68" s="6" t="s">
        <v>76</v>
      </c>
      <c r="B68" s="6" t="s">
        <v>33</v>
      </c>
      <c r="C68" s="6" t="s">
        <v>58</v>
      </c>
      <c r="D68" s="4" t="s">
        <v>154</v>
      </c>
      <c r="E68" s="19">
        <f t="shared" si="1"/>
        <v>3854.8</v>
      </c>
      <c r="F68" s="11">
        <f t="shared" si="2"/>
        <v>0.08166205197</v>
      </c>
      <c r="G68" s="15">
        <f t="shared" si="3"/>
        <v>4124.8</v>
      </c>
      <c r="H68" s="11">
        <f t="shared" si="4"/>
        <v>0.1015465364</v>
      </c>
      <c r="I68" s="15">
        <f t="shared" si="5"/>
        <v>3584.8</v>
      </c>
      <c r="J68" s="20">
        <f t="shared" si="6"/>
        <v>0.06664584449</v>
      </c>
      <c r="K68" s="15">
        <f t="shared" si="7"/>
        <v>4603.333333</v>
      </c>
      <c r="L68" s="11">
        <f t="shared" si="8"/>
        <v>0.0694989633</v>
      </c>
      <c r="M68" s="19">
        <v>2596.0</v>
      </c>
      <c r="N68" s="11">
        <f t="shared" si="9"/>
        <v>0.09474452555</v>
      </c>
      <c r="O68" s="15">
        <v>4663.0</v>
      </c>
      <c r="P68" s="11">
        <f t="shared" si="10"/>
        <v>0.06951919493</v>
      </c>
      <c r="Q68" s="15">
        <v>4704.0</v>
      </c>
      <c r="R68" s="11">
        <f t="shared" si="11"/>
        <v>0.0673964124</v>
      </c>
      <c r="S68" s="17">
        <v>4443.0</v>
      </c>
      <c r="T68" s="29">
        <f t="shared" si="12"/>
        <v>0.07185018678</v>
      </c>
      <c r="U68" s="15">
        <v>5238.0</v>
      </c>
      <c r="V68" s="11">
        <f t="shared" si="13"/>
        <v>0.1546912377</v>
      </c>
      <c r="W68" s="15">
        <v>5284.0</v>
      </c>
      <c r="X68" s="11">
        <f t="shared" si="14"/>
        <v>0.1406104473</v>
      </c>
      <c r="Y68" s="15">
        <v>1736.0</v>
      </c>
      <c r="Z68" s="11">
        <f t="shared" si="15"/>
        <v>0.04948547647</v>
      </c>
      <c r="AA68" s="15">
        <v>2378.0</v>
      </c>
      <c r="AB68" s="11">
        <f t="shared" si="16"/>
        <v>0.06764329398</v>
      </c>
      <c r="AC68" s="15">
        <v>4350.0</v>
      </c>
      <c r="AD68" s="11">
        <f t="shared" si="17"/>
        <v>0.05130079958</v>
      </c>
      <c r="AE68" s="15">
        <v>3156.0</v>
      </c>
      <c r="AF68" s="20">
        <f t="shared" si="18"/>
        <v>0.1621371693</v>
      </c>
      <c r="AG68" s="19">
        <v>4621.0</v>
      </c>
      <c r="AH68" s="15">
        <v>2981.0</v>
      </c>
      <c r="AI68" s="15">
        <v>4083.0</v>
      </c>
      <c r="AJ68" s="15">
        <v>3297.0</v>
      </c>
    </row>
    <row r="69" ht="15.75" customHeight="1">
      <c r="A69" s="6" t="s">
        <v>76</v>
      </c>
      <c r="B69" s="6" t="s">
        <v>33</v>
      </c>
      <c r="C69" s="6" t="s">
        <v>58</v>
      </c>
      <c r="D69" s="4" t="s">
        <v>156</v>
      </c>
      <c r="E69" s="19">
        <f t="shared" si="1"/>
        <v>3735.6</v>
      </c>
      <c r="F69" s="11">
        <f t="shared" si="2"/>
        <v>0.07913685829</v>
      </c>
      <c r="G69" s="15">
        <f t="shared" si="3"/>
        <v>3905.2</v>
      </c>
      <c r="H69" s="11">
        <f t="shared" si="4"/>
        <v>0.09614030596</v>
      </c>
      <c r="I69" s="15">
        <f t="shared" si="5"/>
        <v>3566</v>
      </c>
      <c r="J69" s="20">
        <f t="shared" si="6"/>
        <v>0.06629632935</v>
      </c>
      <c r="K69" s="15">
        <f t="shared" si="7"/>
        <v>4855.333333</v>
      </c>
      <c r="L69" s="11">
        <f t="shared" si="8"/>
        <v>0.07330354087</v>
      </c>
      <c r="M69" s="19">
        <v>2842.0</v>
      </c>
      <c r="N69" s="11">
        <f t="shared" si="9"/>
        <v>0.1037226277</v>
      </c>
      <c r="O69" s="15">
        <v>4923.0</v>
      </c>
      <c r="P69" s="11">
        <f t="shared" si="10"/>
        <v>0.07339545285</v>
      </c>
      <c r="Q69" s="15">
        <v>5007.0</v>
      </c>
      <c r="R69" s="11">
        <f t="shared" si="11"/>
        <v>0.07173763539</v>
      </c>
      <c r="S69" s="17">
        <v>4636.0</v>
      </c>
      <c r="T69" s="29">
        <f t="shared" si="12"/>
        <v>0.0749712955</v>
      </c>
      <c r="U69" s="15">
        <v>4725.0</v>
      </c>
      <c r="V69" s="11">
        <f t="shared" si="13"/>
        <v>0.1395410649</v>
      </c>
      <c r="W69" s="15">
        <v>5015.0</v>
      </c>
      <c r="X69" s="11">
        <f t="shared" si="14"/>
        <v>0.133452194</v>
      </c>
      <c r="Y69" s="15">
        <v>1532.0</v>
      </c>
      <c r="Z69" s="11">
        <f t="shared" si="15"/>
        <v>0.04367036287</v>
      </c>
      <c r="AA69" s="15">
        <v>1732.0</v>
      </c>
      <c r="AB69" s="11">
        <f t="shared" si="16"/>
        <v>0.04926752951</v>
      </c>
      <c r="AC69" s="15">
        <v>4208.0</v>
      </c>
      <c r="AD69" s="11">
        <f t="shared" si="17"/>
        <v>0.04962615279</v>
      </c>
      <c r="AE69" s="15">
        <v>2736.0</v>
      </c>
      <c r="AF69" s="20">
        <f t="shared" si="18"/>
        <v>0.1405599795</v>
      </c>
      <c r="AG69" s="19">
        <v>5305.0</v>
      </c>
      <c r="AH69" s="15">
        <v>3320.0</v>
      </c>
      <c r="AI69" s="15">
        <v>4508.0</v>
      </c>
      <c r="AJ69" s="15">
        <v>3682.0</v>
      </c>
    </row>
    <row r="70" ht="15.75" customHeight="1">
      <c r="A70" s="6" t="s">
        <v>75</v>
      </c>
      <c r="B70" s="6" t="s">
        <v>33</v>
      </c>
      <c r="C70" s="6" t="s">
        <v>53</v>
      </c>
      <c r="D70" s="4" t="s">
        <v>167</v>
      </c>
      <c r="E70" s="19">
        <f t="shared" si="1"/>
        <v>3292</v>
      </c>
      <c r="F70" s="11">
        <f t="shared" si="2"/>
        <v>0.06973940933</v>
      </c>
      <c r="G70" s="15">
        <f t="shared" si="3"/>
        <v>3043</v>
      </c>
      <c r="H70" s="11">
        <f t="shared" si="4"/>
        <v>0.0749142044</v>
      </c>
      <c r="I70" s="15">
        <f t="shared" si="5"/>
        <v>3541</v>
      </c>
      <c r="J70" s="20">
        <f t="shared" si="6"/>
        <v>0.06583154858</v>
      </c>
      <c r="K70" s="15">
        <f t="shared" si="7"/>
        <v>4646.666667</v>
      </c>
      <c r="L70" s="11">
        <f t="shared" si="8"/>
        <v>0.0701531896</v>
      </c>
      <c r="M70" s="19">
        <v>2350.0</v>
      </c>
      <c r="N70" s="11">
        <f t="shared" si="9"/>
        <v>0.08576642336</v>
      </c>
      <c r="O70" s="15">
        <v>4653.0</v>
      </c>
      <c r="P70" s="11">
        <f t="shared" si="10"/>
        <v>0.06937010809</v>
      </c>
      <c r="Q70" s="15">
        <v>4761.0</v>
      </c>
      <c r="R70" s="11">
        <f t="shared" si="11"/>
        <v>0.06821307811</v>
      </c>
      <c r="S70" s="17">
        <v>4526.0</v>
      </c>
      <c r="T70" s="29">
        <f t="shared" si="12"/>
        <v>0.07319242525</v>
      </c>
      <c r="U70" s="15">
        <v>2953.0</v>
      </c>
      <c r="V70" s="11">
        <f t="shared" si="13"/>
        <v>0.08720947403</v>
      </c>
      <c r="W70" s="15">
        <v>3257.0</v>
      </c>
      <c r="X70" s="11">
        <f t="shared" si="14"/>
        <v>0.08667074696</v>
      </c>
      <c r="Y70" s="15">
        <v>2083.0</v>
      </c>
      <c r="Z70" s="11">
        <f t="shared" si="15"/>
        <v>0.05937687067</v>
      </c>
      <c r="AA70" s="15">
        <v>1682.0</v>
      </c>
      <c r="AB70" s="11">
        <f t="shared" si="16"/>
        <v>0.04784525672</v>
      </c>
      <c r="AC70" s="15">
        <v>3774.0</v>
      </c>
      <c r="AD70" s="11">
        <f t="shared" si="17"/>
        <v>0.04450786612</v>
      </c>
      <c r="AE70" s="15">
        <v>2881.0</v>
      </c>
      <c r="AF70" s="20">
        <f t="shared" si="18"/>
        <v>0.1480092474</v>
      </c>
      <c r="AG70" s="19">
        <v>4815.0</v>
      </c>
      <c r="AH70" s="15">
        <v>2988.0</v>
      </c>
      <c r="AI70" s="15">
        <v>4261.0</v>
      </c>
      <c r="AJ70" s="15">
        <v>3447.0</v>
      </c>
    </row>
    <row r="71" ht="15.75" customHeight="1">
      <c r="A71" s="6" t="s">
        <v>78</v>
      </c>
      <c r="B71" s="6" t="s">
        <v>33</v>
      </c>
      <c r="C71" s="6" t="s">
        <v>52</v>
      </c>
      <c r="D71" s="4" t="s">
        <v>165</v>
      </c>
      <c r="E71" s="19">
        <f t="shared" si="1"/>
        <v>3456.8</v>
      </c>
      <c r="F71" s="11">
        <f t="shared" si="2"/>
        <v>0.0732306167</v>
      </c>
      <c r="G71" s="15">
        <f t="shared" si="3"/>
        <v>3387.4</v>
      </c>
      <c r="H71" s="11">
        <f t="shared" si="4"/>
        <v>0.08339282813</v>
      </c>
      <c r="I71" s="15">
        <f t="shared" si="5"/>
        <v>3526.2</v>
      </c>
      <c r="J71" s="20">
        <f t="shared" si="6"/>
        <v>0.06555639836</v>
      </c>
      <c r="K71" s="15">
        <f t="shared" si="7"/>
        <v>4105.666667</v>
      </c>
      <c r="L71" s="11">
        <f t="shared" si="8"/>
        <v>0.06198542585</v>
      </c>
      <c r="M71" s="19">
        <v>2130.0</v>
      </c>
      <c r="N71" s="11">
        <f t="shared" si="9"/>
        <v>0.07773722628</v>
      </c>
      <c r="O71" s="15">
        <v>4164.0</v>
      </c>
      <c r="P71" s="11">
        <f t="shared" si="10"/>
        <v>0.06207976146</v>
      </c>
      <c r="Q71" s="15">
        <v>4218.0</v>
      </c>
      <c r="R71" s="11">
        <f t="shared" si="11"/>
        <v>0.06043326265</v>
      </c>
      <c r="S71" s="17">
        <v>3935.0</v>
      </c>
      <c r="T71" s="29">
        <f t="shared" si="12"/>
        <v>0.06363504051</v>
      </c>
      <c r="U71" s="15">
        <v>3571.0</v>
      </c>
      <c r="V71" s="11">
        <f t="shared" si="13"/>
        <v>0.1054605593</v>
      </c>
      <c r="W71" s="15">
        <v>3563.0</v>
      </c>
      <c r="X71" s="11">
        <f t="shared" si="14"/>
        <v>0.0948135927</v>
      </c>
      <c r="Y71" s="15">
        <v>2568.0</v>
      </c>
      <c r="Z71" s="11">
        <f t="shared" si="15"/>
        <v>0.07320201819</v>
      </c>
      <c r="AA71" s="15">
        <v>2746.0</v>
      </c>
      <c r="AB71" s="11">
        <f t="shared" si="16"/>
        <v>0.07811122173</v>
      </c>
      <c r="AC71" s="15">
        <v>6579.0</v>
      </c>
      <c r="AD71" s="11">
        <f t="shared" si="17"/>
        <v>0.07758803689</v>
      </c>
      <c r="AE71" s="15">
        <v>1094.0</v>
      </c>
      <c r="AF71" s="20">
        <f t="shared" si="18"/>
        <v>0.05620344208</v>
      </c>
      <c r="AG71" s="19">
        <v>3889.0</v>
      </c>
      <c r="AH71" s="15">
        <v>2830.0</v>
      </c>
      <c r="AI71" s="15">
        <v>3486.0</v>
      </c>
      <c r="AJ71" s="15">
        <v>2435.0</v>
      </c>
    </row>
    <row r="72" ht="15.75" customHeight="1">
      <c r="A72" s="6" t="s">
        <v>75</v>
      </c>
      <c r="B72" s="6" t="s">
        <v>33</v>
      </c>
      <c r="C72" s="6" t="s">
        <v>53</v>
      </c>
      <c r="D72" s="4" t="s">
        <v>162</v>
      </c>
      <c r="E72" s="19">
        <f t="shared" si="1"/>
        <v>3614.3</v>
      </c>
      <c r="F72" s="11">
        <f t="shared" si="2"/>
        <v>0.07656717714</v>
      </c>
      <c r="G72" s="15">
        <f t="shared" si="3"/>
        <v>3729</v>
      </c>
      <c r="H72" s="11">
        <f t="shared" si="4"/>
        <v>0.09180251995</v>
      </c>
      <c r="I72" s="15">
        <f t="shared" si="5"/>
        <v>3499.6</v>
      </c>
      <c r="J72" s="20">
        <f t="shared" si="6"/>
        <v>0.06506187162</v>
      </c>
      <c r="K72" s="15">
        <f t="shared" si="7"/>
        <v>4060.333333</v>
      </c>
      <c r="L72" s="11">
        <f t="shared" si="8"/>
        <v>0.06130100449</v>
      </c>
      <c r="M72" s="19">
        <v>2423.0</v>
      </c>
      <c r="N72" s="11">
        <f t="shared" si="9"/>
        <v>0.08843065693</v>
      </c>
      <c r="O72" s="15">
        <v>4081.0</v>
      </c>
      <c r="P72" s="11">
        <f t="shared" si="10"/>
        <v>0.06084234066</v>
      </c>
      <c r="Q72" s="15">
        <v>4161.0</v>
      </c>
      <c r="R72" s="11">
        <f t="shared" si="11"/>
        <v>0.05961659694</v>
      </c>
      <c r="S72" s="17">
        <v>3939.0</v>
      </c>
      <c r="T72" s="29">
        <f t="shared" si="12"/>
        <v>0.0636997267</v>
      </c>
      <c r="U72" s="15">
        <v>4256.0</v>
      </c>
      <c r="V72" s="11">
        <f t="shared" si="13"/>
        <v>0.1256903222</v>
      </c>
      <c r="W72" s="15">
        <v>4582.0</v>
      </c>
      <c r="X72" s="11">
        <f t="shared" si="14"/>
        <v>0.1219298012</v>
      </c>
      <c r="Y72" s="15">
        <v>2175.0</v>
      </c>
      <c r="Z72" s="11">
        <f t="shared" si="15"/>
        <v>0.06199937288</v>
      </c>
      <c r="AA72" s="15">
        <v>3142.0</v>
      </c>
      <c r="AB72" s="11">
        <f t="shared" si="16"/>
        <v>0.08937562224</v>
      </c>
      <c r="AC72" s="15">
        <v>3927.0</v>
      </c>
      <c r="AD72" s="11">
        <f t="shared" si="17"/>
        <v>0.04631223907</v>
      </c>
      <c r="AE72" s="15">
        <v>3457.0</v>
      </c>
      <c r="AF72" s="20">
        <f t="shared" si="18"/>
        <v>0.177600822</v>
      </c>
      <c r="AG72" s="19">
        <v>4021.0</v>
      </c>
      <c r="AH72" s="15">
        <v>2731.0</v>
      </c>
      <c r="AI72" s="15">
        <v>3568.0</v>
      </c>
      <c r="AJ72" s="15">
        <v>2488.0</v>
      </c>
    </row>
    <row r="73" ht="15.75" customHeight="1">
      <c r="A73" s="6" t="s">
        <v>78</v>
      </c>
      <c r="B73" s="6" t="s">
        <v>33</v>
      </c>
      <c r="C73" s="6" t="s">
        <v>59</v>
      </c>
      <c r="D73" s="4" t="s">
        <v>153</v>
      </c>
      <c r="E73" s="19">
        <f t="shared" si="1"/>
        <v>3873.2</v>
      </c>
      <c r="F73" s="11">
        <f t="shared" si="2"/>
        <v>0.08205184697</v>
      </c>
      <c r="G73" s="15">
        <f t="shared" si="3"/>
        <v>4249.2</v>
      </c>
      <c r="H73" s="11">
        <f t="shared" si="4"/>
        <v>0.1046090823</v>
      </c>
      <c r="I73" s="15">
        <f t="shared" si="5"/>
        <v>3497.2</v>
      </c>
      <c r="J73" s="20">
        <f t="shared" si="6"/>
        <v>0.06501725266</v>
      </c>
      <c r="K73" s="15">
        <f t="shared" si="7"/>
        <v>4341.333333</v>
      </c>
      <c r="L73" s="11">
        <f t="shared" si="8"/>
        <v>0.06554341043</v>
      </c>
      <c r="M73" s="19">
        <v>2399.0</v>
      </c>
      <c r="N73" s="11">
        <f t="shared" si="9"/>
        <v>0.08755474453</v>
      </c>
      <c r="O73" s="15">
        <v>4414.0</v>
      </c>
      <c r="P73" s="11">
        <f t="shared" si="10"/>
        <v>0.06580693254</v>
      </c>
      <c r="Q73" s="15">
        <v>4459.0</v>
      </c>
      <c r="R73" s="11">
        <f t="shared" si="11"/>
        <v>0.06388618259</v>
      </c>
      <c r="S73" s="17">
        <v>4151.0</v>
      </c>
      <c r="T73" s="29">
        <f t="shared" si="12"/>
        <v>0.06712809483</v>
      </c>
      <c r="U73" s="15">
        <v>4780.0</v>
      </c>
      <c r="V73" s="11">
        <f t="shared" si="13"/>
        <v>0.1411653525</v>
      </c>
      <c r="W73" s="15">
        <v>4939.0</v>
      </c>
      <c r="X73" s="11">
        <f t="shared" si="14"/>
        <v>0.1314297879</v>
      </c>
      <c r="Y73" s="15">
        <v>1982.0</v>
      </c>
      <c r="Z73" s="11">
        <f t="shared" si="15"/>
        <v>0.05649781933</v>
      </c>
      <c r="AA73" s="15">
        <v>2480.0</v>
      </c>
      <c r="AB73" s="11">
        <f t="shared" si="16"/>
        <v>0.07054473048</v>
      </c>
      <c r="AC73" s="15">
        <v>4603.0</v>
      </c>
      <c r="AD73" s="11">
        <f t="shared" si="17"/>
        <v>0.05428450126</v>
      </c>
      <c r="AE73" s="15">
        <v>4525.0</v>
      </c>
      <c r="AF73" s="20">
        <f t="shared" si="18"/>
        <v>0.2324685333</v>
      </c>
      <c r="AG73" s="19">
        <v>4220.0</v>
      </c>
      <c r="AH73" s="15">
        <v>2848.0</v>
      </c>
      <c r="AI73" s="15">
        <v>3525.0</v>
      </c>
      <c r="AJ73" s="15">
        <v>2685.0</v>
      </c>
    </row>
    <row r="74" ht="15.75" customHeight="1">
      <c r="A74" s="6" t="s">
        <v>76</v>
      </c>
      <c r="B74" s="6" t="s">
        <v>33</v>
      </c>
      <c r="C74" s="6" t="s">
        <v>58</v>
      </c>
      <c r="D74" s="4" t="s">
        <v>155</v>
      </c>
      <c r="E74" s="19">
        <f t="shared" si="1"/>
        <v>3742.2</v>
      </c>
      <c r="F74" s="11">
        <f t="shared" si="2"/>
        <v>0.07927667607</v>
      </c>
      <c r="G74" s="15">
        <f t="shared" si="3"/>
        <v>4039.2</v>
      </c>
      <c r="H74" s="11">
        <f t="shared" si="4"/>
        <v>0.09943918975</v>
      </c>
      <c r="I74" s="15">
        <f t="shared" si="5"/>
        <v>3445.2</v>
      </c>
      <c r="J74" s="20">
        <f t="shared" si="6"/>
        <v>0.06405050866</v>
      </c>
      <c r="K74" s="15">
        <f t="shared" si="7"/>
        <v>4104.333333</v>
      </c>
      <c r="L74" s="11">
        <f t="shared" si="8"/>
        <v>0.06196529581</v>
      </c>
      <c r="M74" s="19">
        <v>2978.0</v>
      </c>
      <c r="N74" s="11">
        <f t="shared" si="9"/>
        <v>0.1086861314</v>
      </c>
      <c r="O74" s="15">
        <v>4169.0</v>
      </c>
      <c r="P74" s="11">
        <f t="shared" si="10"/>
        <v>0.06215430488</v>
      </c>
      <c r="Q74" s="15">
        <v>4224.0</v>
      </c>
      <c r="R74" s="11">
        <f t="shared" si="11"/>
        <v>0.06051922746</v>
      </c>
      <c r="S74" s="17">
        <v>3920.0</v>
      </c>
      <c r="T74" s="29">
        <f t="shared" si="12"/>
        <v>0.06339246729</v>
      </c>
      <c r="U74" s="15">
        <v>4461.0</v>
      </c>
      <c r="V74" s="11">
        <f t="shared" si="13"/>
        <v>0.1317444848</v>
      </c>
      <c r="W74" s="15">
        <v>4971.0</v>
      </c>
      <c r="X74" s="11">
        <f t="shared" si="14"/>
        <v>0.1322813273</v>
      </c>
      <c r="Y74" s="15">
        <v>2309.0</v>
      </c>
      <c r="Z74" s="11">
        <f t="shared" si="15"/>
        <v>0.06581910436</v>
      </c>
      <c r="AA74" s="15">
        <v>2604.0</v>
      </c>
      <c r="AB74" s="11">
        <f t="shared" si="16"/>
        <v>0.074071967</v>
      </c>
      <c r="AC74" s="15">
        <v>4172.0</v>
      </c>
      <c r="AD74" s="11">
        <f t="shared" si="17"/>
        <v>0.04920159445</v>
      </c>
      <c r="AE74" s="15">
        <v>3614.0</v>
      </c>
      <c r="AF74" s="20">
        <f t="shared" si="18"/>
        <v>0.185666581</v>
      </c>
      <c r="AG74" s="19">
        <v>4113.0</v>
      </c>
      <c r="AH74" s="15">
        <v>2782.0</v>
      </c>
      <c r="AI74" s="15">
        <v>3557.0</v>
      </c>
      <c r="AJ74" s="15">
        <v>2764.0</v>
      </c>
    </row>
    <row r="75" ht="15.75" customHeight="1">
      <c r="A75" s="6" t="s">
        <v>76</v>
      </c>
      <c r="B75" s="6" t="s">
        <v>33</v>
      </c>
      <c r="C75" s="6" t="s">
        <v>53</v>
      </c>
      <c r="D75" s="4" t="s">
        <v>164</v>
      </c>
      <c r="E75" s="19">
        <f t="shared" si="1"/>
        <v>3466.4</v>
      </c>
      <c r="F75" s="11">
        <f t="shared" si="2"/>
        <v>0.07343398801</v>
      </c>
      <c r="G75" s="15">
        <f t="shared" si="3"/>
        <v>3556.4</v>
      </c>
      <c r="H75" s="11">
        <f t="shared" si="4"/>
        <v>0.08755336068</v>
      </c>
      <c r="I75" s="15">
        <f t="shared" si="5"/>
        <v>3376.4</v>
      </c>
      <c r="J75" s="20">
        <f t="shared" si="6"/>
        <v>0.06277143197</v>
      </c>
      <c r="K75" s="15">
        <f t="shared" si="7"/>
        <v>3933.333333</v>
      </c>
      <c r="L75" s="11">
        <f t="shared" si="8"/>
        <v>0.05938361817</v>
      </c>
      <c r="M75" s="19">
        <v>2597.0</v>
      </c>
      <c r="N75" s="11">
        <f t="shared" si="9"/>
        <v>0.0947810219</v>
      </c>
      <c r="O75" s="15">
        <v>3973.0</v>
      </c>
      <c r="P75" s="11">
        <f t="shared" si="10"/>
        <v>0.05923220276</v>
      </c>
      <c r="Q75" s="15">
        <v>4042.0</v>
      </c>
      <c r="R75" s="11">
        <f t="shared" si="11"/>
        <v>0.05791162817</v>
      </c>
      <c r="S75" s="17">
        <v>3785.0</v>
      </c>
      <c r="T75" s="29">
        <f t="shared" si="12"/>
        <v>0.06120930834</v>
      </c>
      <c r="U75" s="15">
        <v>3295.0</v>
      </c>
      <c r="V75" s="11">
        <f t="shared" si="13"/>
        <v>0.0973095892</v>
      </c>
      <c r="W75" s="15">
        <v>3967.0</v>
      </c>
      <c r="X75" s="11">
        <f t="shared" si="14"/>
        <v>0.1055642779</v>
      </c>
      <c r="Y75" s="15">
        <v>2072.0</v>
      </c>
      <c r="Z75" s="11">
        <f t="shared" si="15"/>
        <v>0.05906331062</v>
      </c>
      <c r="AA75" s="15">
        <v>3010.0</v>
      </c>
      <c r="AB75" s="11">
        <f t="shared" si="16"/>
        <v>0.08562082207</v>
      </c>
      <c r="AC75" s="15">
        <v>3776.0</v>
      </c>
      <c r="AD75" s="11">
        <f t="shared" si="17"/>
        <v>0.0445314527</v>
      </c>
      <c r="AE75" s="15">
        <v>4147.0</v>
      </c>
      <c r="AF75" s="20">
        <f t="shared" si="18"/>
        <v>0.2130490624</v>
      </c>
      <c r="AG75" s="19">
        <v>3893.0</v>
      </c>
      <c r="AH75" s="15">
        <v>2672.0</v>
      </c>
      <c r="AI75" s="15">
        <v>3302.0</v>
      </c>
      <c r="AJ75" s="15">
        <v>2444.0</v>
      </c>
    </row>
    <row r="76" ht="15.75" customHeight="1">
      <c r="A76" s="6" t="s">
        <v>73</v>
      </c>
      <c r="B76" s="6" t="s">
        <v>33</v>
      </c>
      <c r="C76" s="6" t="s">
        <v>53</v>
      </c>
      <c r="D76" s="4" t="s">
        <v>166</v>
      </c>
      <c r="E76" s="19">
        <f t="shared" si="1"/>
        <v>3374.9</v>
      </c>
      <c r="F76" s="11">
        <f t="shared" si="2"/>
        <v>0.07149560527</v>
      </c>
      <c r="G76" s="15">
        <f t="shared" si="3"/>
        <v>3390.6</v>
      </c>
      <c r="H76" s="11">
        <f t="shared" si="4"/>
        <v>0.08347160744</v>
      </c>
      <c r="I76" s="15">
        <f t="shared" si="5"/>
        <v>3359.2</v>
      </c>
      <c r="J76" s="20">
        <f t="shared" si="6"/>
        <v>0.0624516628</v>
      </c>
      <c r="K76" s="15">
        <f t="shared" si="7"/>
        <v>4285.333333</v>
      </c>
      <c r="L76" s="11">
        <f t="shared" si="8"/>
        <v>0.06469794875</v>
      </c>
      <c r="M76" s="19">
        <v>2495.0</v>
      </c>
      <c r="N76" s="11">
        <f t="shared" si="9"/>
        <v>0.09105839416</v>
      </c>
      <c r="O76" s="15">
        <v>4239.0</v>
      </c>
      <c r="P76" s="11">
        <f t="shared" si="10"/>
        <v>0.06319791278</v>
      </c>
      <c r="Q76" s="15">
        <v>4335.0</v>
      </c>
      <c r="R76" s="11">
        <f t="shared" si="11"/>
        <v>0.06210957648</v>
      </c>
      <c r="S76" s="17">
        <v>4282.0</v>
      </c>
      <c r="T76" s="29">
        <f t="shared" si="12"/>
        <v>0.06924656759</v>
      </c>
      <c r="U76" s="15">
        <v>3313.0</v>
      </c>
      <c r="V76" s="11">
        <f t="shared" si="13"/>
        <v>0.09784117421</v>
      </c>
      <c r="W76" s="15">
        <v>3700.0</v>
      </c>
      <c r="X76" s="11">
        <f t="shared" si="14"/>
        <v>0.09845924586</v>
      </c>
      <c r="Y76" s="15">
        <v>2150.0</v>
      </c>
      <c r="Z76" s="11">
        <f t="shared" si="15"/>
        <v>0.06128673641</v>
      </c>
      <c r="AA76" s="15">
        <v>1790.0</v>
      </c>
      <c r="AB76" s="11">
        <f t="shared" si="16"/>
        <v>0.05091736595</v>
      </c>
      <c r="AC76" s="15">
        <v>3863.0</v>
      </c>
      <c r="AD76" s="11">
        <f t="shared" si="17"/>
        <v>0.04555746869</v>
      </c>
      <c r="AE76" s="15">
        <v>3582.0</v>
      </c>
      <c r="AF76" s="20">
        <f t="shared" si="18"/>
        <v>0.1840226047</v>
      </c>
      <c r="AG76" s="19">
        <v>4169.0</v>
      </c>
      <c r="AH76" s="15">
        <v>2735.0</v>
      </c>
      <c r="AI76" s="15">
        <v>3619.0</v>
      </c>
      <c r="AJ76" s="15">
        <v>2816.0</v>
      </c>
    </row>
    <row r="77" ht="15.75" customHeight="1">
      <c r="A77" s="6" t="s">
        <v>78</v>
      </c>
      <c r="B77" s="6" t="s">
        <v>33</v>
      </c>
      <c r="C77" s="6" t="s">
        <v>52</v>
      </c>
      <c r="D77" s="4" t="s">
        <v>163</v>
      </c>
      <c r="E77" s="19">
        <f t="shared" si="1"/>
        <v>3610.7</v>
      </c>
      <c r="F77" s="11">
        <f t="shared" si="2"/>
        <v>0.0764909129</v>
      </c>
      <c r="G77" s="15">
        <f t="shared" si="3"/>
        <v>3959</v>
      </c>
      <c r="H77" s="11">
        <f t="shared" si="4"/>
        <v>0.09746478318</v>
      </c>
      <c r="I77" s="15">
        <f t="shared" si="5"/>
        <v>3262.4</v>
      </c>
      <c r="J77" s="20">
        <f t="shared" si="6"/>
        <v>0.06065203165</v>
      </c>
      <c r="K77" s="15">
        <f t="shared" si="7"/>
        <v>4165.333333</v>
      </c>
      <c r="L77" s="11">
        <f t="shared" si="8"/>
        <v>0.06288624514</v>
      </c>
      <c r="M77" s="19">
        <v>2039.0</v>
      </c>
      <c r="N77" s="11">
        <f t="shared" si="9"/>
        <v>0.07441605839</v>
      </c>
      <c r="O77" s="15">
        <v>4248.0</v>
      </c>
      <c r="P77" s="11">
        <f t="shared" si="10"/>
        <v>0.06333209094</v>
      </c>
      <c r="Q77" s="15">
        <v>4321.0</v>
      </c>
      <c r="R77" s="11">
        <f t="shared" si="11"/>
        <v>0.06190899192</v>
      </c>
      <c r="S77" s="17">
        <v>3927.0</v>
      </c>
      <c r="T77" s="29">
        <f t="shared" si="12"/>
        <v>0.06350566813</v>
      </c>
      <c r="U77" s="15">
        <v>4931.0</v>
      </c>
      <c r="V77" s="11">
        <f t="shared" si="13"/>
        <v>0.14562476</v>
      </c>
      <c r="W77" s="15">
        <v>4781.0</v>
      </c>
      <c r="X77" s="11">
        <f t="shared" si="14"/>
        <v>0.127225312</v>
      </c>
      <c r="Y77" s="15">
        <v>1953.0</v>
      </c>
      <c r="Z77" s="11">
        <f t="shared" si="15"/>
        <v>0.05567116103</v>
      </c>
      <c r="AA77" s="15">
        <v>1863.0</v>
      </c>
      <c r="AB77" s="11">
        <f t="shared" si="16"/>
        <v>0.05299388423</v>
      </c>
      <c r="AC77" s="15">
        <v>4519.0</v>
      </c>
      <c r="AD77" s="11">
        <f t="shared" si="17"/>
        <v>0.05329386513</v>
      </c>
      <c r="AE77" s="15">
        <v>3525.0</v>
      </c>
      <c r="AF77" s="20">
        <f t="shared" si="18"/>
        <v>0.1810942718</v>
      </c>
      <c r="AG77" s="19">
        <v>4141.0</v>
      </c>
      <c r="AH77" s="15">
        <v>2868.0</v>
      </c>
      <c r="AI77" s="15">
        <v>3336.0</v>
      </c>
      <c r="AJ77" s="15">
        <v>1988.0</v>
      </c>
    </row>
    <row r="78" ht="15.75" customHeight="1">
      <c r="A78" s="6" t="s">
        <v>76</v>
      </c>
      <c r="B78" s="6" t="s">
        <v>33</v>
      </c>
      <c r="C78" s="6" t="s">
        <v>53</v>
      </c>
      <c r="D78" s="4" t="s">
        <v>169</v>
      </c>
      <c r="E78" s="19">
        <f t="shared" si="1"/>
        <v>3129.6</v>
      </c>
      <c r="F78" s="11">
        <f t="shared" si="2"/>
        <v>0.06629904479</v>
      </c>
      <c r="G78" s="15">
        <f t="shared" si="3"/>
        <v>3128.6</v>
      </c>
      <c r="H78" s="11">
        <f t="shared" si="4"/>
        <v>0.07702155107</v>
      </c>
      <c r="I78" s="15">
        <f t="shared" si="5"/>
        <v>3130.6</v>
      </c>
      <c r="J78" s="20">
        <f t="shared" si="6"/>
        <v>0.05820170742</v>
      </c>
      <c r="K78" s="15">
        <f t="shared" si="7"/>
        <v>3690.666667</v>
      </c>
      <c r="L78" s="11">
        <f t="shared" si="8"/>
        <v>0.05571995088</v>
      </c>
      <c r="M78" s="19">
        <v>1888.0</v>
      </c>
      <c r="N78" s="11">
        <f t="shared" si="9"/>
        <v>0.06890510949</v>
      </c>
      <c r="O78" s="15">
        <v>3715.0</v>
      </c>
      <c r="P78" s="11">
        <f t="shared" si="10"/>
        <v>0.05538576221</v>
      </c>
      <c r="Q78" s="15">
        <v>3742.0</v>
      </c>
      <c r="R78" s="11">
        <f t="shared" si="11"/>
        <v>0.05361338759</v>
      </c>
      <c r="S78" s="17">
        <v>3615.0</v>
      </c>
      <c r="T78" s="29">
        <f t="shared" si="12"/>
        <v>0.05846014522</v>
      </c>
      <c r="U78" s="15">
        <v>3622.0</v>
      </c>
      <c r="V78" s="11">
        <f t="shared" si="13"/>
        <v>0.1069667169</v>
      </c>
      <c r="W78" s="15">
        <v>3625.0</v>
      </c>
      <c r="X78" s="11">
        <f t="shared" si="14"/>
        <v>0.09646345033</v>
      </c>
      <c r="Y78" s="15">
        <v>2130.0</v>
      </c>
      <c r="Z78" s="11">
        <f t="shared" si="15"/>
        <v>0.06071662723</v>
      </c>
      <c r="AA78" s="15">
        <v>2451.0</v>
      </c>
      <c r="AB78" s="11">
        <f t="shared" si="16"/>
        <v>0.06971981226</v>
      </c>
      <c r="AC78" s="15">
        <v>3700.0</v>
      </c>
      <c r="AD78" s="11">
        <f t="shared" si="17"/>
        <v>0.04363516287</v>
      </c>
      <c r="AE78" s="15">
        <v>2808.0</v>
      </c>
      <c r="AF78" s="20">
        <f t="shared" si="18"/>
        <v>0.1442589263</v>
      </c>
      <c r="AG78" s="19">
        <v>3801.0</v>
      </c>
      <c r="AH78" s="15">
        <v>2496.0</v>
      </c>
      <c r="AI78" s="15">
        <v>3264.0</v>
      </c>
      <c r="AJ78" s="15">
        <v>2603.0</v>
      </c>
    </row>
    <row r="79" ht="15.75" customHeight="1">
      <c r="A79" s="6" t="s">
        <v>78</v>
      </c>
      <c r="B79" s="6" t="s">
        <v>33</v>
      </c>
      <c r="C79" s="6" t="s">
        <v>59</v>
      </c>
      <c r="D79" s="4" t="s">
        <v>168</v>
      </c>
      <c r="E79" s="19">
        <f t="shared" si="1"/>
        <v>3177.7</v>
      </c>
      <c r="F79" s="11">
        <f t="shared" si="2"/>
        <v>0.06731801976</v>
      </c>
      <c r="G79" s="15">
        <f t="shared" si="3"/>
        <v>3300.4</v>
      </c>
      <c r="H79" s="11">
        <f t="shared" si="4"/>
        <v>0.08125101551</v>
      </c>
      <c r="I79" s="15">
        <f t="shared" si="5"/>
        <v>3055</v>
      </c>
      <c r="J79" s="20">
        <f t="shared" si="6"/>
        <v>0.05679621036</v>
      </c>
      <c r="K79" s="15">
        <f t="shared" si="7"/>
        <v>3731</v>
      </c>
      <c r="L79" s="11">
        <f t="shared" si="8"/>
        <v>0.05632888459</v>
      </c>
      <c r="M79" s="19">
        <v>2027.0</v>
      </c>
      <c r="N79" s="11">
        <f t="shared" si="9"/>
        <v>0.07397810219</v>
      </c>
      <c r="O79" s="15">
        <v>3806.0</v>
      </c>
      <c r="P79" s="11">
        <f t="shared" si="10"/>
        <v>0.05674245248</v>
      </c>
      <c r="Q79" s="15">
        <v>3861.0</v>
      </c>
      <c r="R79" s="11">
        <f t="shared" si="11"/>
        <v>0.05531835635</v>
      </c>
      <c r="S79" s="17">
        <v>3526.0</v>
      </c>
      <c r="T79" s="29">
        <f t="shared" si="12"/>
        <v>0.05702087747</v>
      </c>
      <c r="U79" s="15">
        <v>4253.0</v>
      </c>
      <c r="V79" s="11">
        <f t="shared" si="13"/>
        <v>0.1256017247</v>
      </c>
      <c r="W79" s="15">
        <v>4287.0</v>
      </c>
      <c r="X79" s="11">
        <f t="shared" si="14"/>
        <v>0.1140796722</v>
      </c>
      <c r="Y79" s="15">
        <v>1464.0</v>
      </c>
      <c r="Z79" s="11">
        <f t="shared" si="15"/>
        <v>0.04173199168</v>
      </c>
      <c r="AA79" s="15">
        <v>2618.0</v>
      </c>
      <c r="AB79" s="11">
        <f t="shared" si="16"/>
        <v>0.07447020339</v>
      </c>
      <c r="AC79" s="15">
        <v>3333.0</v>
      </c>
      <c r="AD79" s="11">
        <f t="shared" si="17"/>
        <v>0.03930702644</v>
      </c>
      <c r="AE79" s="15">
        <v>2602.0</v>
      </c>
      <c r="AF79" s="20">
        <f t="shared" si="18"/>
        <v>0.1336758284</v>
      </c>
      <c r="AG79" s="19">
        <v>3758.0</v>
      </c>
      <c r="AH79" s="15">
        <v>2455.0</v>
      </c>
      <c r="AI79" s="15">
        <v>3013.0</v>
      </c>
      <c r="AJ79" s="15">
        <v>2297.0</v>
      </c>
    </row>
    <row r="80" ht="15.75" customHeight="1">
      <c r="A80" s="6" t="s">
        <v>78</v>
      </c>
      <c r="B80" s="6" t="s">
        <v>33</v>
      </c>
      <c r="C80" s="6" t="s">
        <v>287</v>
      </c>
      <c r="D80" s="4" t="s">
        <v>171</v>
      </c>
      <c r="E80" s="19">
        <f t="shared" si="1"/>
        <v>3001.7</v>
      </c>
      <c r="F80" s="11">
        <f t="shared" si="2"/>
        <v>0.06358954587</v>
      </c>
      <c r="G80" s="15">
        <f t="shared" si="3"/>
        <v>3132.6</v>
      </c>
      <c r="H80" s="11">
        <f t="shared" si="4"/>
        <v>0.07712002521</v>
      </c>
      <c r="I80" s="15">
        <f t="shared" si="5"/>
        <v>2870.8</v>
      </c>
      <c r="J80" s="20">
        <f t="shared" si="6"/>
        <v>0.05337170563</v>
      </c>
      <c r="K80" s="15">
        <f t="shared" si="7"/>
        <v>3642.666667</v>
      </c>
      <c r="L80" s="11">
        <f t="shared" si="8"/>
        <v>0.05499526944</v>
      </c>
      <c r="M80" s="19">
        <v>1902.0</v>
      </c>
      <c r="N80" s="11">
        <f t="shared" si="9"/>
        <v>0.06941605839</v>
      </c>
      <c r="O80" s="15">
        <v>3703.0</v>
      </c>
      <c r="P80" s="11">
        <f t="shared" si="10"/>
        <v>0.05520685799</v>
      </c>
      <c r="Q80" s="15">
        <v>3781.0</v>
      </c>
      <c r="R80" s="11">
        <f t="shared" si="11"/>
        <v>0.05417215886</v>
      </c>
      <c r="S80" s="17">
        <v>3444.0</v>
      </c>
      <c r="T80" s="29">
        <f t="shared" si="12"/>
        <v>0.05569481055</v>
      </c>
      <c r="U80" s="15">
        <v>3238.0</v>
      </c>
      <c r="V80" s="11">
        <f t="shared" si="13"/>
        <v>0.09562623667</v>
      </c>
      <c r="W80" s="15">
        <v>3348.0</v>
      </c>
      <c r="X80" s="11">
        <f t="shared" si="14"/>
        <v>0.0890923122</v>
      </c>
      <c r="Y80" s="15">
        <v>1510.0</v>
      </c>
      <c r="Z80" s="11">
        <f t="shared" si="15"/>
        <v>0.04304324278</v>
      </c>
      <c r="AA80" s="15">
        <v>1916.0</v>
      </c>
      <c r="AB80" s="11">
        <f t="shared" si="16"/>
        <v>0.05450149339</v>
      </c>
      <c r="AC80" s="15">
        <v>3113.0</v>
      </c>
      <c r="AD80" s="11">
        <f t="shared" si="17"/>
        <v>0.03671250324</v>
      </c>
      <c r="AE80" s="15">
        <v>4062.0</v>
      </c>
      <c r="AF80" s="20">
        <f t="shared" si="18"/>
        <v>0.2086822502</v>
      </c>
      <c r="AG80" s="19">
        <v>3622.0</v>
      </c>
      <c r="AH80" s="15">
        <v>2374.0</v>
      </c>
      <c r="AI80" s="15">
        <v>2793.0</v>
      </c>
      <c r="AJ80" s="15">
        <v>1824.0</v>
      </c>
    </row>
    <row r="81" ht="15.75" customHeight="1">
      <c r="A81" s="6" t="s">
        <v>78</v>
      </c>
      <c r="B81" s="6" t="s">
        <v>33</v>
      </c>
      <c r="C81" s="6" t="s">
        <v>287</v>
      </c>
      <c r="D81" s="4" t="s">
        <v>170</v>
      </c>
      <c r="E81" s="19">
        <f t="shared" si="1"/>
        <v>3086.3</v>
      </c>
      <c r="F81" s="11">
        <f t="shared" si="2"/>
        <v>0.06538175548</v>
      </c>
      <c r="G81" s="15">
        <f t="shared" si="3"/>
        <v>3395.2</v>
      </c>
      <c r="H81" s="11">
        <f t="shared" si="4"/>
        <v>0.08358485271</v>
      </c>
      <c r="I81" s="15">
        <f t="shared" si="5"/>
        <v>2777.4</v>
      </c>
      <c r="J81" s="20">
        <f t="shared" si="6"/>
        <v>0.05163528467</v>
      </c>
      <c r="K81" s="15">
        <f t="shared" si="7"/>
        <v>3351.666667</v>
      </c>
      <c r="L81" s="11">
        <f t="shared" si="8"/>
        <v>0.0506018882</v>
      </c>
      <c r="M81" s="19">
        <v>1701.0</v>
      </c>
      <c r="N81" s="11">
        <f t="shared" si="9"/>
        <v>0.06208029197</v>
      </c>
      <c r="O81" s="15">
        <v>3404.0</v>
      </c>
      <c r="P81" s="11">
        <f t="shared" si="10"/>
        <v>0.05074916139</v>
      </c>
      <c r="Q81" s="15">
        <v>3442.0</v>
      </c>
      <c r="R81" s="11">
        <f t="shared" si="11"/>
        <v>0.049315147</v>
      </c>
      <c r="S81" s="17">
        <v>3209.0</v>
      </c>
      <c r="T81" s="29">
        <f t="shared" si="12"/>
        <v>0.05189449682</v>
      </c>
      <c r="U81" s="15">
        <v>4065.0</v>
      </c>
      <c r="V81" s="11">
        <f t="shared" si="13"/>
        <v>0.1200496146</v>
      </c>
      <c r="W81" s="15">
        <v>4093.0</v>
      </c>
      <c r="X81" s="11">
        <f t="shared" si="14"/>
        <v>0.1089172144</v>
      </c>
      <c r="Y81" s="15">
        <v>1593.0</v>
      </c>
      <c r="Z81" s="11">
        <f t="shared" si="15"/>
        <v>0.04540919586</v>
      </c>
      <c r="AA81" s="15">
        <v>2239.0</v>
      </c>
      <c r="AB81" s="11">
        <f t="shared" si="16"/>
        <v>0.06368937562</v>
      </c>
      <c r="AC81" s="15">
        <v>3630.0</v>
      </c>
      <c r="AD81" s="11">
        <f t="shared" si="17"/>
        <v>0.04280963276</v>
      </c>
      <c r="AE81" s="15">
        <v>3487.0</v>
      </c>
      <c r="AF81" s="20">
        <f t="shared" si="18"/>
        <v>0.1791420498</v>
      </c>
      <c r="AG81" s="19">
        <v>3243.0</v>
      </c>
      <c r="AH81" s="15">
        <v>2218.0</v>
      </c>
      <c r="AI81" s="15">
        <v>2865.0</v>
      </c>
      <c r="AJ81" s="15">
        <v>2084.0</v>
      </c>
    </row>
    <row r="82" ht="15.75" customHeight="1">
      <c r="A82" s="6" t="s">
        <v>78</v>
      </c>
      <c r="B82" s="6" t="s">
        <v>33</v>
      </c>
      <c r="C82" s="6" t="s">
        <v>60</v>
      </c>
      <c r="D82" s="4" t="s">
        <v>176</v>
      </c>
      <c r="E82" s="19">
        <f t="shared" si="1"/>
        <v>2693.6</v>
      </c>
      <c r="F82" s="11">
        <f t="shared" si="2"/>
        <v>0.05706259811</v>
      </c>
      <c r="G82" s="15">
        <f t="shared" si="3"/>
        <v>2744.4</v>
      </c>
      <c r="H82" s="11">
        <f t="shared" si="4"/>
        <v>0.06756310962</v>
      </c>
      <c r="I82" s="15">
        <f t="shared" si="5"/>
        <v>2642.8</v>
      </c>
      <c r="J82" s="20">
        <f t="shared" si="6"/>
        <v>0.04913290499</v>
      </c>
      <c r="K82" s="15">
        <f t="shared" si="7"/>
        <v>3332.333333</v>
      </c>
      <c r="L82" s="11">
        <f t="shared" si="8"/>
        <v>0.05031000262</v>
      </c>
      <c r="M82" s="19">
        <v>1606.0</v>
      </c>
      <c r="N82" s="11">
        <f t="shared" si="9"/>
        <v>0.05861313869</v>
      </c>
      <c r="O82" s="15">
        <v>3390.0</v>
      </c>
      <c r="P82" s="11">
        <f t="shared" si="10"/>
        <v>0.05054043981</v>
      </c>
      <c r="Q82" s="15">
        <v>3421.0</v>
      </c>
      <c r="R82" s="11">
        <f t="shared" si="11"/>
        <v>0.04901427016</v>
      </c>
      <c r="S82" s="17">
        <v>3186.0</v>
      </c>
      <c r="T82" s="29">
        <f t="shared" si="12"/>
        <v>0.05152255122</v>
      </c>
      <c r="U82" s="15">
        <v>3799.0</v>
      </c>
      <c r="V82" s="11">
        <f t="shared" si="13"/>
        <v>0.1121939695</v>
      </c>
      <c r="W82" s="15">
        <v>3814.0</v>
      </c>
      <c r="X82" s="11">
        <f t="shared" si="14"/>
        <v>0.1014928551</v>
      </c>
      <c r="Y82" s="15">
        <v>1598.0</v>
      </c>
      <c r="Z82" s="11">
        <f t="shared" si="15"/>
        <v>0.04555172315</v>
      </c>
      <c r="AA82" s="15">
        <v>1619.0</v>
      </c>
      <c r="AB82" s="11">
        <f t="shared" si="16"/>
        <v>0.046053193</v>
      </c>
      <c r="AC82" s="15">
        <v>2696.0</v>
      </c>
      <c r="AD82" s="11">
        <f t="shared" si="17"/>
        <v>0.03179470246</v>
      </c>
      <c r="AE82" s="15">
        <v>1807.0</v>
      </c>
      <c r="AF82" s="20">
        <f t="shared" si="18"/>
        <v>0.09283329052</v>
      </c>
      <c r="AG82" s="19">
        <v>3139.0</v>
      </c>
      <c r="AH82" s="15">
        <v>2140.0</v>
      </c>
      <c r="AI82" s="15">
        <v>2646.0</v>
      </c>
      <c r="AJ82" s="15">
        <v>1871.0</v>
      </c>
    </row>
    <row r="83" ht="15.75" customHeight="1">
      <c r="A83" s="6" t="s">
        <v>78</v>
      </c>
      <c r="B83" s="6" t="s">
        <v>33</v>
      </c>
      <c r="C83" s="6" t="s">
        <v>52</v>
      </c>
      <c r="D83" s="4" t="s">
        <v>172</v>
      </c>
      <c r="E83" s="19">
        <f t="shared" si="1"/>
        <v>2843.1</v>
      </c>
      <c r="F83" s="11">
        <f t="shared" si="2"/>
        <v>0.06022968247</v>
      </c>
      <c r="G83" s="15">
        <f t="shared" si="3"/>
        <v>3049.4</v>
      </c>
      <c r="H83" s="11">
        <f t="shared" si="4"/>
        <v>0.07507176303</v>
      </c>
      <c r="I83" s="15">
        <f t="shared" si="5"/>
        <v>2636.8</v>
      </c>
      <c r="J83" s="20">
        <f t="shared" si="6"/>
        <v>0.04902135761</v>
      </c>
      <c r="K83" s="15">
        <f t="shared" si="7"/>
        <v>3129.666667</v>
      </c>
      <c r="L83" s="11">
        <f t="shared" si="8"/>
        <v>0.04725023653</v>
      </c>
      <c r="M83" s="19">
        <v>1964.0</v>
      </c>
      <c r="N83" s="11">
        <f t="shared" si="9"/>
        <v>0.07167883212</v>
      </c>
      <c r="O83" s="15">
        <v>3162.0</v>
      </c>
      <c r="P83" s="11">
        <f t="shared" si="10"/>
        <v>0.04714125978</v>
      </c>
      <c r="Q83" s="15">
        <v>3193.0</v>
      </c>
      <c r="R83" s="11">
        <f t="shared" si="11"/>
        <v>0.04574760731</v>
      </c>
      <c r="S83" s="17">
        <v>3034.0</v>
      </c>
      <c r="T83" s="29">
        <f t="shared" si="12"/>
        <v>0.04906447596</v>
      </c>
      <c r="U83" s="15">
        <v>3496.0</v>
      </c>
      <c r="V83" s="11">
        <f t="shared" si="13"/>
        <v>0.1032456218</v>
      </c>
      <c r="W83" s="15">
        <v>3617.0</v>
      </c>
      <c r="X83" s="11">
        <f t="shared" si="14"/>
        <v>0.09625056548</v>
      </c>
      <c r="Y83" s="15">
        <v>1626.0</v>
      </c>
      <c r="Z83" s="11">
        <f t="shared" si="15"/>
        <v>0.046349876</v>
      </c>
      <c r="AA83" s="15">
        <v>2169.0</v>
      </c>
      <c r="AB83" s="11">
        <f t="shared" si="16"/>
        <v>0.06169819371</v>
      </c>
      <c r="AC83" s="15">
        <v>3431.0</v>
      </c>
      <c r="AD83" s="11">
        <f t="shared" si="17"/>
        <v>0.04046276859</v>
      </c>
      <c r="AE83" s="15">
        <v>2739.0</v>
      </c>
      <c r="AF83" s="20">
        <f t="shared" si="18"/>
        <v>0.1407141022</v>
      </c>
      <c r="AG83" s="19">
        <v>2965.0</v>
      </c>
      <c r="AH83" s="15">
        <v>2033.0</v>
      </c>
      <c r="AI83" s="15">
        <v>2514.0</v>
      </c>
      <c r="AJ83" s="15">
        <v>1897.0</v>
      </c>
    </row>
    <row r="84" ht="15.75" customHeight="1">
      <c r="A84" s="6" t="s">
        <v>75</v>
      </c>
      <c r="B84" s="6" t="s">
        <v>33</v>
      </c>
      <c r="C84" s="6" t="s">
        <v>54</v>
      </c>
      <c r="D84" s="4" t="s">
        <v>174</v>
      </c>
      <c r="E84" s="19">
        <f t="shared" si="1"/>
        <v>2819.1</v>
      </c>
      <c r="F84" s="11">
        <f t="shared" si="2"/>
        <v>0.05972125421</v>
      </c>
      <c r="G84" s="15">
        <f t="shared" si="3"/>
        <v>3005.2</v>
      </c>
      <c r="H84" s="11">
        <f t="shared" si="4"/>
        <v>0.07398362375</v>
      </c>
      <c r="I84" s="15">
        <f t="shared" si="5"/>
        <v>2633</v>
      </c>
      <c r="J84" s="20">
        <f t="shared" si="6"/>
        <v>0.04895071093</v>
      </c>
      <c r="K84" s="15">
        <f t="shared" si="7"/>
        <v>3234</v>
      </c>
      <c r="L84" s="11">
        <f t="shared" si="8"/>
        <v>0.04882541216</v>
      </c>
      <c r="M84" s="19">
        <v>1793.0</v>
      </c>
      <c r="N84" s="11">
        <f t="shared" si="9"/>
        <v>0.0654379562</v>
      </c>
      <c r="O84" s="15">
        <v>3278.0</v>
      </c>
      <c r="P84" s="11">
        <f t="shared" si="10"/>
        <v>0.04887066716</v>
      </c>
      <c r="Q84" s="15">
        <v>3312.0</v>
      </c>
      <c r="R84" s="11">
        <f t="shared" si="11"/>
        <v>0.04745257608</v>
      </c>
      <c r="S84" s="17">
        <v>3112.0</v>
      </c>
      <c r="T84" s="29">
        <f t="shared" si="12"/>
        <v>0.05032585669</v>
      </c>
      <c r="U84" s="15">
        <v>4431.0</v>
      </c>
      <c r="V84" s="11">
        <f t="shared" si="13"/>
        <v>0.1308585098</v>
      </c>
      <c r="W84" s="15">
        <v>4348.0</v>
      </c>
      <c r="X84" s="11">
        <f t="shared" si="14"/>
        <v>0.1157029192</v>
      </c>
      <c r="Y84" s="15">
        <v>1549.0</v>
      </c>
      <c r="Z84" s="11">
        <f t="shared" si="15"/>
        <v>0.04415495567</v>
      </c>
      <c r="AA84" s="15">
        <v>1914.0</v>
      </c>
      <c r="AB84" s="11">
        <f t="shared" si="16"/>
        <v>0.05444460247</v>
      </c>
      <c r="AC84" s="15">
        <v>2977.0</v>
      </c>
      <c r="AD84" s="11">
        <f t="shared" si="17"/>
        <v>0.03510861618</v>
      </c>
      <c r="AE84" s="15">
        <v>1477.0</v>
      </c>
      <c r="AF84" s="20">
        <f t="shared" si="18"/>
        <v>0.07587978423</v>
      </c>
      <c r="AG84" s="19">
        <v>3141.0</v>
      </c>
      <c r="AH84" s="15">
        <v>2173.0</v>
      </c>
      <c r="AI84" s="15">
        <v>2683.0</v>
      </c>
      <c r="AJ84" s="15">
        <v>1976.0</v>
      </c>
    </row>
    <row r="85" ht="15.75" customHeight="1">
      <c r="A85" s="6" t="s">
        <v>76</v>
      </c>
      <c r="B85" s="6" t="s">
        <v>33</v>
      </c>
      <c r="C85" s="6" t="s">
        <v>53</v>
      </c>
      <c r="D85" s="4" t="s">
        <v>175</v>
      </c>
      <c r="E85" s="19">
        <f t="shared" si="1"/>
        <v>2751.8</v>
      </c>
      <c r="F85" s="11">
        <f t="shared" si="2"/>
        <v>0.05829553664</v>
      </c>
      <c r="G85" s="15">
        <f t="shared" si="3"/>
        <v>2887</v>
      </c>
      <c r="H85" s="11">
        <f t="shared" si="4"/>
        <v>0.07107371282</v>
      </c>
      <c r="I85" s="15">
        <f t="shared" si="5"/>
        <v>2616.6</v>
      </c>
      <c r="J85" s="20">
        <f t="shared" si="6"/>
        <v>0.04864581474</v>
      </c>
      <c r="K85" s="15">
        <f t="shared" si="7"/>
        <v>3336.666667</v>
      </c>
      <c r="L85" s="11">
        <f t="shared" si="8"/>
        <v>0.05037542525</v>
      </c>
      <c r="M85" s="19">
        <v>2368.0</v>
      </c>
      <c r="N85" s="11">
        <f t="shared" si="9"/>
        <v>0.08642335766</v>
      </c>
      <c r="O85" s="15">
        <v>3343.0</v>
      </c>
      <c r="P85" s="11">
        <f t="shared" si="10"/>
        <v>0.04983973164</v>
      </c>
      <c r="Q85" s="15">
        <v>3427.0</v>
      </c>
      <c r="R85" s="11">
        <f t="shared" si="11"/>
        <v>0.04910023497</v>
      </c>
      <c r="S85" s="17">
        <v>3240.0</v>
      </c>
      <c r="T85" s="29">
        <f t="shared" si="12"/>
        <v>0.0523958148</v>
      </c>
      <c r="U85" s="15">
        <v>3244.0</v>
      </c>
      <c r="V85" s="11">
        <f t="shared" si="13"/>
        <v>0.09580343168</v>
      </c>
      <c r="W85" s="15">
        <v>3453.0</v>
      </c>
      <c r="X85" s="11">
        <f t="shared" si="14"/>
        <v>0.09188642593</v>
      </c>
      <c r="Y85" s="15">
        <v>1481.0</v>
      </c>
      <c r="Z85" s="11">
        <f t="shared" si="15"/>
        <v>0.04221658448</v>
      </c>
      <c r="AA85" s="15">
        <v>1592.0</v>
      </c>
      <c r="AB85" s="11">
        <f t="shared" si="16"/>
        <v>0.04528516569</v>
      </c>
      <c r="AC85" s="15">
        <v>2969.0</v>
      </c>
      <c r="AD85" s="11">
        <f t="shared" si="17"/>
        <v>0.03501426988</v>
      </c>
      <c r="AE85" s="15">
        <v>2401.0</v>
      </c>
      <c r="AF85" s="20">
        <f t="shared" si="18"/>
        <v>0.1233496018</v>
      </c>
      <c r="AG85" s="19">
        <v>3337.0</v>
      </c>
      <c r="AH85" s="15">
        <v>2202.0</v>
      </c>
      <c r="AI85" s="15">
        <v>2919.0</v>
      </c>
      <c r="AJ85" s="15">
        <v>2217.0</v>
      </c>
    </row>
    <row r="86" ht="15.75" customHeight="1">
      <c r="A86" s="6" t="s">
        <v>75</v>
      </c>
      <c r="B86" s="6" t="s">
        <v>33</v>
      </c>
      <c r="C86" s="6" t="s">
        <v>53</v>
      </c>
      <c r="D86" s="4" t="s">
        <v>182</v>
      </c>
      <c r="E86" s="19">
        <f t="shared" si="1"/>
        <v>2465.2</v>
      </c>
      <c r="F86" s="11">
        <f t="shared" si="2"/>
        <v>0.05222405586</v>
      </c>
      <c r="G86" s="15">
        <f t="shared" si="3"/>
        <v>2317</v>
      </c>
      <c r="H86" s="11">
        <f t="shared" si="4"/>
        <v>0.05704114742</v>
      </c>
      <c r="I86" s="15">
        <f t="shared" si="5"/>
        <v>2613.4</v>
      </c>
      <c r="J86" s="20">
        <f t="shared" si="6"/>
        <v>0.0485863228</v>
      </c>
      <c r="K86" s="15">
        <f t="shared" si="7"/>
        <v>3341.666667</v>
      </c>
      <c r="L86" s="11">
        <f t="shared" si="8"/>
        <v>0.0504509129</v>
      </c>
      <c r="M86" s="19">
        <v>1930.0</v>
      </c>
      <c r="N86" s="11">
        <f t="shared" si="9"/>
        <v>0.0704379562</v>
      </c>
      <c r="O86" s="15">
        <v>3361.0</v>
      </c>
      <c r="P86" s="11">
        <f t="shared" si="10"/>
        <v>0.05010808796</v>
      </c>
      <c r="Q86" s="15">
        <v>3415.0</v>
      </c>
      <c r="R86" s="11">
        <f t="shared" si="11"/>
        <v>0.04892830535</v>
      </c>
      <c r="S86" s="17">
        <v>3249.0</v>
      </c>
      <c r="T86" s="29">
        <f t="shared" si="12"/>
        <v>0.05254135873</v>
      </c>
      <c r="U86" s="15">
        <v>2569.0</v>
      </c>
      <c r="V86" s="11">
        <f t="shared" si="13"/>
        <v>0.07586899383</v>
      </c>
      <c r="W86" s="15">
        <v>2591.0</v>
      </c>
      <c r="X86" s="11">
        <f t="shared" si="14"/>
        <v>0.06894808271</v>
      </c>
      <c r="Y86" s="15">
        <v>1568.0</v>
      </c>
      <c r="Z86" s="11">
        <f t="shared" si="15"/>
        <v>0.04469655939</v>
      </c>
      <c r="AA86" s="15">
        <v>1474.0</v>
      </c>
      <c r="AB86" s="11">
        <f t="shared" si="16"/>
        <v>0.04192860191</v>
      </c>
      <c r="AC86" s="15">
        <v>2983.0</v>
      </c>
      <c r="AD86" s="11">
        <f t="shared" si="17"/>
        <v>0.0351793759</v>
      </c>
      <c r="AE86" s="15">
        <v>1512.0</v>
      </c>
      <c r="AF86" s="20">
        <f t="shared" si="18"/>
        <v>0.07767788338</v>
      </c>
      <c r="AG86" s="19">
        <v>3350.0</v>
      </c>
      <c r="AH86" s="15">
        <v>2231.0</v>
      </c>
      <c r="AI86" s="15">
        <v>2798.0</v>
      </c>
      <c r="AJ86" s="15">
        <v>2033.0</v>
      </c>
    </row>
    <row r="87" ht="15.75" customHeight="1">
      <c r="A87" s="6" t="s">
        <v>78</v>
      </c>
      <c r="B87" s="6" t="s">
        <v>33</v>
      </c>
      <c r="C87" s="6" t="s">
        <v>52</v>
      </c>
      <c r="D87" s="4" t="s">
        <v>179</v>
      </c>
      <c r="E87" s="19">
        <f t="shared" si="1"/>
        <v>2547.7</v>
      </c>
      <c r="F87" s="11">
        <f t="shared" si="2"/>
        <v>0.05397177799</v>
      </c>
      <c r="G87" s="15">
        <f t="shared" si="3"/>
        <v>2504.2</v>
      </c>
      <c r="H87" s="11">
        <f t="shared" si="4"/>
        <v>0.06164973732</v>
      </c>
      <c r="I87" s="15">
        <f t="shared" si="5"/>
        <v>2591.2</v>
      </c>
      <c r="J87" s="20">
        <f t="shared" si="6"/>
        <v>0.04817359748</v>
      </c>
      <c r="K87" s="15">
        <f t="shared" si="7"/>
        <v>3230.333333</v>
      </c>
      <c r="L87" s="11">
        <f t="shared" si="8"/>
        <v>0.04877005455</v>
      </c>
      <c r="M87" s="19">
        <v>1572.0</v>
      </c>
      <c r="N87" s="11">
        <f t="shared" si="9"/>
        <v>0.05737226277</v>
      </c>
      <c r="O87" s="15">
        <v>3280.0</v>
      </c>
      <c r="P87" s="11">
        <f t="shared" si="10"/>
        <v>0.04890048453</v>
      </c>
      <c r="Q87" s="15">
        <v>3321.0</v>
      </c>
      <c r="R87" s="11">
        <f t="shared" si="11"/>
        <v>0.0475815233</v>
      </c>
      <c r="S87" s="17">
        <v>3090.0</v>
      </c>
      <c r="T87" s="29">
        <f t="shared" si="12"/>
        <v>0.04997008264</v>
      </c>
      <c r="U87" s="15">
        <v>3014.0</v>
      </c>
      <c r="V87" s="11">
        <f t="shared" si="13"/>
        <v>0.08901095656</v>
      </c>
      <c r="W87" s="15">
        <v>3117.0</v>
      </c>
      <c r="X87" s="11">
        <f t="shared" si="14"/>
        <v>0.08294526198</v>
      </c>
      <c r="Y87" s="15">
        <v>1489.0</v>
      </c>
      <c r="Z87" s="11">
        <f t="shared" si="15"/>
        <v>0.04244462815</v>
      </c>
      <c r="AA87" s="15">
        <v>1776.0</v>
      </c>
      <c r="AB87" s="11">
        <f t="shared" si="16"/>
        <v>0.05051912957</v>
      </c>
      <c r="AC87" s="15">
        <v>2840.0</v>
      </c>
      <c r="AD87" s="11">
        <f t="shared" si="17"/>
        <v>0.03349293582</v>
      </c>
      <c r="AE87" s="15">
        <v>1978.0</v>
      </c>
      <c r="AF87" s="20">
        <f t="shared" si="18"/>
        <v>0.1016182892</v>
      </c>
      <c r="AG87" s="19">
        <v>3144.0</v>
      </c>
      <c r="AH87" s="15">
        <v>2159.0</v>
      </c>
      <c r="AI87" s="15">
        <v>2461.0</v>
      </c>
      <c r="AJ87" s="15">
        <v>1678.0</v>
      </c>
    </row>
    <row r="88" ht="15.75" customHeight="1">
      <c r="A88" s="6" t="s">
        <v>77</v>
      </c>
      <c r="B88" s="6" t="s">
        <v>33</v>
      </c>
      <c r="C88" s="6" t="s">
        <v>53</v>
      </c>
      <c r="D88" s="4" t="s">
        <v>173</v>
      </c>
      <c r="E88" s="19">
        <f t="shared" si="1"/>
        <v>2831.9</v>
      </c>
      <c r="F88" s="11">
        <f t="shared" si="2"/>
        <v>0.05999241595</v>
      </c>
      <c r="G88" s="15">
        <f t="shared" si="3"/>
        <v>3077.4</v>
      </c>
      <c r="H88" s="11">
        <f t="shared" si="4"/>
        <v>0.07576108203</v>
      </c>
      <c r="I88" s="15">
        <f t="shared" si="5"/>
        <v>2586.4</v>
      </c>
      <c r="J88" s="20">
        <f t="shared" si="6"/>
        <v>0.04808435957</v>
      </c>
      <c r="K88" s="15">
        <f t="shared" si="7"/>
        <v>3430.666667</v>
      </c>
      <c r="L88" s="11">
        <f t="shared" si="8"/>
        <v>0.05179459307</v>
      </c>
      <c r="M88" s="19">
        <v>2356.0</v>
      </c>
      <c r="N88" s="11">
        <f t="shared" si="9"/>
        <v>0.08598540146</v>
      </c>
      <c r="O88" s="15">
        <v>3467.0</v>
      </c>
      <c r="P88" s="11">
        <f t="shared" si="10"/>
        <v>0.0516884085</v>
      </c>
      <c r="Q88" s="15">
        <v>3546.0</v>
      </c>
      <c r="R88" s="11">
        <f t="shared" si="11"/>
        <v>0.05080520374</v>
      </c>
      <c r="S88" s="17">
        <v>3279.0</v>
      </c>
      <c r="T88" s="29">
        <f t="shared" si="12"/>
        <v>0.05302650517</v>
      </c>
      <c r="U88" s="15">
        <v>4225.0</v>
      </c>
      <c r="V88" s="11">
        <f t="shared" si="13"/>
        <v>0.1247748147</v>
      </c>
      <c r="W88" s="15">
        <v>4178.0</v>
      </c>
      <c r="X88" s="11">
        <f t="shared" si="14"/>
        <v>0.111179116</v>
      </c>
      <c r="Y88" s="15">
        <v>1196.0</v>
      </c>
      <c r="Z88" s="11">
        <f t="shared" si="15"/>
        <v>0.03409252872</v>
      </c>
      <c r="AA88" s="15">
        <v>1444.0</v>
      </c>
      <c r="AB88" s="11">
        <f t="shared" si="16"/>
        <v>0.04107523823</v>
      </c>
      <c r="AC88" s="15">
        <v>3244.0</v>
      </c>
      <c r="AD88" s="11">
        <f t="shared" si="17"/>
        <v>0.03825742387</v>
      </c>
      <c r="AE88" s="15">
        <v>1384.0</v>
      </c>
      <c r="AF88" s="20">
        <f t="shared" si="18"/>
        <v>0.07110197791</v>
      </c>
      <c r="AG88" s="19">
        <v>3406.0</v>
      </c>
      <c r="AH88" s="15">
        <v>2363.0</v>
      </c>
      <c r="AI88" s="15">
        <v>2853.0</v>
      </c>
      <c r="AJ88" s="15">
        <v>2029.0</v>
      </c>
    </row>
    <row r="89" ht="15.75" customHeight="1">
      <c r="A89" s="6" t="s">
        <v>75</v>
      </c>
      <c r="B89" s="6" t="s">
        <v>33</v>
      </c>
      <c r="C89" s="6" t="s">
        <v>53</v>
      </c>
      <c r="D89" s="4" t="s">
        <v>186</v>
      </c>
      <c r="E89" s="19">
        <f t="shared" si="1"/>
        <v>2406.4</v>
      </c>
      <c r="F89" s="11">
        <f t="shared" si="2"/>
        <v>0.05097840663</v>
      </c>
      <c r="G89" s="15">
        <f t="shared" si="3"/>
        <v>2240.6</v>
      </c>
      <c r="H89" s="11">
        <f t="shared" si="4"/>
        <v>0.05516029129</v>
      </c>
      <c r="I89" s="15">
        <f t="shared" si="5"/>
        <v>2572.2</v>
      </c>
      <c r="J89" s="20">
        <f t="shared" si="6"/>
        <v>0.04782036409</v>
      </c>
      <c r="K89" s="15">
        <f t="shared" si="7"/>
        <v>3226.666667</v>
      </c>
      <c r="L89" s="11">
        <f t="shared" si="8"/>
        <v>0.04871469694</v>
      </c>
      <c r="M89" s="19">
        <v>1684.0</v>
      </c>
      <c r="N89" s="11">
        <f t="shared" si="9"/>
        <v>0.06145985401</v>
      </c>
      <c r="O89" s="15">
        <v>3222.0</v>
      </c>
      <c r="P89" s="11">
        <f t="shared" si="10"/>
        <v>0.04803578084</v>
      </c>
      <c r="Q89" s="15">
        <v>3295.0</v>
      </c>
      <c r="R89" s="11">
        <f t="shared" si="11"/>
        <v>0.04720900911</v>
      </c>
      <c r="S89" s="17">
        <v>3163.0</v>
      </c>
      <c r="T89" s="29">
        <f t="shared" si="12"/>
        <v>0.05115060562</v>
      </c>
      <c r="U89" s="15">
        <v>2490.0</v>
      </c>
      <c r="V89" s="11">
        <f t="shared" si="13"/>
        <v>0.07353592629</v>
      </c>
      <c r="W89" s="15">
        <v>2645.0</v>
      </c>
      <c r="X89" s="11">
        <f t="shared" si="14"/>
        <v>0.07038505548</v>
      </c>
      <c r="Y89" s="15">
        <v>1645.0</v>
      </c>
      <c r="Z89" s="11">
        <f t="shared" si="15"/>
        <v>0.04689147972</v>
      </c>
      <c r="AA89" s="15">
        <v>1536.0</v>
      </c>
      <c r="AB89" s="11">
        <f t="shared" si="16"/>
        <v>0.04369222017</v>
      </c>
      <c r="AC89" s="15">
        <v>3075.0</v>
      </c>
      <c r="AD89" s="11">
        <f t="shared" si="17"/>
        <v>0.03626435833</v>
      </c>
      <c r="AE89" s="15">
        <v>1309.0</v>
      </c>
      <c r="AF89" s="20">
        <f t="shared" si="18"/>
        <v>0.0672489083</v>
      </c>
      <c r="AG89" s="19">
        <v>3272.0</v>
      </c>
      <c r="AH89" s="15">
        <v>2136.0</v>
      </c>
      <c r="AI89" s="15">
        <v>2829.0</v>
      </c>
      <c r="AJ89" s="15">
        <v>2188.0</v>
      </c>
    </row>
    <row r="90" ht="15.75" customHeight="1">
      <c r="A90" s="6" t="s">
        <v>75</v>
      </c>
      <c r="B90" s="6" t="s">
        <v>33</v>
      </c>
      <c r="C90" s="6" t="s">
        <v>58</v>
      </c>
      <c r="D90" s="4" t="s">
        <v>180</v>
      </c>
      <c r="E90" s="19">
        <f t="shared" si="1"/>
        <v>2530.7</v>
      </c>
      <c r="F90" s="11">
        <f t="shared" si="2"/>
        <v>0.05361164131</v>
      </c>
      <c r="G90" s="15">
        <f t="shared" si="3"/>
        <v>2541.6</v>
      </c>
      <c r="H90" s="11">
        <f t="shared" si="4"/>
        <v>0.06257047056</v>
      </c>
      <c r="I90" s="15">
        <f t="shared" si="5"/>
        <v>2519.8</v>
      </c>
      <c r="J90" s="20">
        <f t="shared" si="6"/>
        <v>0.04684618359</v>
      </c>
      <c r="K90" s="15">
        <f t="shared" si="7"/>
        <v>3088.333333</v>
      </c>
      <c r="L90" s="11">
        <f t="shared" si="8"/>
        <v>0.04662620529</v>
      </c>
      <c r="M90" s="19">
        <v>1891.0</v>
      </c>
      <c r="N90" s="11">
        <f t="shared" si="9"/>
        <v>0.06901459854</v>
      </c>
      <c r="O90" s="15">
        <v>3139.0</v>
      </c>
      <c r="P90" s="11">
        <f t="shared" si="10"/>
        <v>0.04679836004</v>
      </c>
      <c r="Q90" s="15">
        <v>3182.0</v>
      </c>
      <c r="R90" s="11">
        <f t="shared" si="11"/>
        <v>0.04559000516</v>
      </c>
      <c r="S90" s="17">
        <v>2944.0</v>
      </c>
      <c r="T90" s="29">
        <f t="shared" si="12"/>
        <v>0.04760903666</v>
      </c>
      <c r="U90" s="15">
        <v>2624.0</v>
      </c>
      <c r="V90" s="11">
        <f t="shared" si="13"/>
        <v>0.07749328136</v>
      </c>
      <c r="W90" s="15">
        <v>2703.0</v>
      </c>
      <c r="X90" s="11">
        <f t="shared" si="14"/>
        <v>0.07192847069</v>
      </c>
      <c r="Y90" s="15">
        <v>1351.0</v>
      </c>
      <c r="Z90" s="11">
        <f t="shared" si="15"/>
        <v>0.03851087483</v>
      </c>
      <c r="AA90" s="15">
        <v>1983.0</v>
      </c>
      <c r="AB90" s="11">
        <f t="shared" si="16"/>
        <v>0.05640733893</v>
      </c>
      <c r="AC90" s="15">
        <v>3056.0</v>
      </c>
      <c r="AD90" s="11">
        <f t="shared" si="17"/>
        <v>0.03604028587</v>
      </c>
      <c r="AE90" s="15">
        <v>2434.0</v>
      </c>
      <c r="AF90" s="20">
        <f t="shared" si="18"/>
        <v>0.1250449525</v>
      </c>
      <c r="AG90" s="19">
        <v>3106.0</v>
      </c>
      <c r="AH90" s="15">
        <v>2053.0</v>
      </c>
      <c r="AI90" s="15">
        <v>2702.0</v>
      </c>
      <c r="AJ90" s="15">
        <v>1984.0</v>
      </c>
    </row>
    <row r="91" ht="15.75" customHeight="1">
      <c r="A91" s="6" t="s">
        <v>78</v>
      </c>
      <c r="B91" s="6" t="s">
        <v>33</v>
      </c>
      <c r="C91" s="6" t="s">
        <v>62</v>
      </c>
      <c r="D91" s="4" t="s">
        <v>178</v>
      </c>
      <c r="E91" s="19">
        <f t="shared" si="1"/>
        <v>2593.1</v>
      </c>
      <c r="F91" s="11">
        <f t="shared" si="2"/>
        <v>0.05493355478</v>
      </c>
      <c r="G91" s="15">
        <f t="shared" si="3"/>
        <v>2671.4</v>
      </c>
      <c r="H91" s="11">
        <f t="shared" si="4"/>
        <v>0.0657659565</v>
      </c>
      <c r="I91" s="15">
        <f t="shared" si="5"/>
        <v>2514.8</v>
      </c>
      <c r="J91" s="20">
        <f t="shared" si="6"/>
        <v>0.04675322744</v>
      </c>
      <c r="K91" s="15">
        <f t="shared" si="7"/>
        <v>3238.333333</v>
      </c>
      <c r="L91" s="11">
        <f t="shared" si="8"/>
        <v>0.04889083479</v>
      </c>
      <c r="M91" s="19">
        <v>1647.0</v>
      </c>
      <c r="N91" s="11">
        <f t="shared" si="9"/>
        <v>0.06010948905</v>
      </c>
      <c r="O91" s="15">
        <v>3305.0</v>
      </c>
      <c r="P91" s="11">
        <f t="shared" si="10"/>
        <v>0.04927320164</v>
      </c>
      <c r="Q91" s="15">
        <v>3332.0</v>
      </c>
      <c r="R91" s="11">
        <f t="shared" si="11"/>
        <v>0.04773912545</v>
      </c>
      <c r="S91" s="17">
        <v>3078.0</v>
      </c>
      <c r="T91" s="29">
        <f t="shared" si="12"/>
        <v>0.04977602406</v>
      </c>
      <c r="U91" s="15">
        <v>3649.0</v>
      </c>
      <c r="V91" s="11">
        <f t="shared" si="13"/>
        <v>0.1077640944</v>
      </c>
      <c r="W91" s="15">
        <v>3661.0</v>
      </c>
      <c r="X91" s="11">
        <f t="shared" si="14"/>
        <v>0.09742143218</v>
      </c>
      <c r="Y91" s="15">
        <v>1472.0</v>
      </c>
      <c r="Z91" s="11">
        <f t="shared" si="15"/>
        <v>0.04196003535</v>
      </c>
      <c r="AA91" s="15">
        <v>1387.0</v>
      </c>
      <c r="AB91" s="11">
        <f t="shared" si="16"/>
        <v>0.03945384725</v>
      </c>
      <c r="AC91" s="15">
        <v>3201.0</v>
      </c>
      <c r="AD91" s="11">
        <f t="shared" si="17"/>
        <v>0.03775031252</v>
      </c>
      <c r="AE91" s="15">
        <v>1199.0</v>
      </c>
      <c r="AF91" s="20">
        <f t="shared" si="18"/>
        <v>0.06159773953</v>
      </c>
      <c r="AG91" s="19">
        <v>3125.0</v>
      </c>
      <c r="AH91" s="15">
        <v>2122.0</v>
      </c>
      <c r="AI91" s="15">
        <v>2594.0</v>
      </c>
      <c r="AJ91" s="15">
        <v>1704.0</v>
      </c>
    </row>
    <row r="92" ht="15.75" customHeight="1">
      <c r="A92" s="6" t="s">
        <v>75</v>
      </c>
      <c r="B92" s="6" t="s">
        <v>33</v>
      </c>
      <c r="C92" s="6" t="s">
        <v>53</v>
      </c>
      <c r="D92" s="4" t="s">
        <v>177</v>
      </c>
      <c r="E92" s="19">
        <f t="shared" si="1"/>
        <v>2606.9</v>
      </c>
      <c r="F92" s="11">
        <f t="shared" si="2"/>
        <v>0.05522590103</v>
      </c>
      <c r="G92" s="15">
        <f t="shared" si="3"/>
        <v>2721.6</v>
      </c>
      <c r="H92" s="11">
        <f t="shared" si="4"/>
        <v>0.067001807</v>
      </c>
      <c r="I92" s="15">
        <f t="shared" si="5"/>
        <v>2492.2</v>
      </c>
      <c r="J92" s="20">
        <f t="shared" si="6"/>
        <v>0.04633306562</v>
      </c>
      <c r="K92" s="15">
        <f t="shared" si="7"/>
        <v>3114</v>
      </c>
      <c r="L92" s="11">
        <f t="shared" si="8"/>
        <v>0.04701370856</v>
      </c>
      <c r="M92" s="19">
        <v>1592.0</v>
      </c>
      <c r="N92" s="11">
        <f t="shared" si="9"/>
        <v>0.05810218978</v>
      </c>
      <c r="O92" s="15">
        <v>3159.0</v>
      </c>
      <c r="P92" s="11">
        <f t="shared" si="10"/>
        <v>0.04709653373</v>
      </c>
      <c r="Q92" s="15">
        <v>3202.0</v>
      </c>
      <c r="R92" s="11">
        <f t="shared" si="11"/>
        <v>0.04587655453</v>
      </c>
      <c r="S92" s="17">
        <v>2981.0</v>
      </c>
      <c r="T92" s="29">
        <f t="shared" si="12"/>
        <v>0.04820738393</v>
      </c>
      <c r="U92" s="15">
        <v>3273.0</v>
      </c>
      <c r="V92" s="11">
        <f t="shared" si="13"/>
        <v>0.09665987419</v>
      </c>
      <c r="W92" s="15">
        <v>3497.0</v>
      </c>
      <c r="X92" s="11">
        <f t="shared" si="14"/>
        <v>0.09305729264</v>
      </c>
      <c r="Y92" s="15">
        <v>1657.0</v>
      </c>
      <c r="Z92" s="11">
        <f t="shared" si="15"/>
        <v>0.04723354522</v>
      </c>
      <c r="AA92" s="15">
        <v>1462.0</v>
      </c>
      <c r="AB92" s="11">
        <f t="shared" si="16"/>
        <v>0.04158725644</v>
      </c>
      <c r="AC92" s="15">
        <v>2803.0</v>
      </c>
      <c r="AD92" s="11">
        <f t="shared" si="17"/>
        <v>0.03305658419</v>
      </c>
      <c r="AE92" s="15">
        <v>2443.0</v>
      </c>
      <c r="AF92" s="20">
        <f t="shared" si="18"/>
        <v>0.1255073208</v>
      </c>
      <c r="AG92" s="19">
        <v>3112.0</v>
      </c>
      <c r="AH92" s="15">
        <v>2065.0</v>
      </c>
      <c r="AI92" s="15">
        <v>2696.0</v>
      </c>
      <c r="AJ92" s="15">
        <v>2078.0</v>
      </c>
    </row>
    <row r="93" ht="15.75" customHeight="1">
      <c r="A93" s="6" t="s">
        <v>75</v>
      </c>
      <c r="B93" s="6" t="s">
        <v>33</v>
      </c>
      <c r="C93" s="6" t="s">
        <v>54</v>
      </c>
      <c r="D93" s="4" t="s">
        <v>187</v>
      </c>
      <c r="E93" s="19">
        <f t="shared" si="1"/>
        <v>2391.9</v>
      </c>
      <c r="F93" s="11">
        <f t="shared" si="2"/>
        <v>0.05067123122</v>
      </c>
      <c r="G93" s="15">
        <f t="shared" si="3"/>
        <v>2377</v>
      </c>
      <c r="H93" s="11">
        <f t="shared" si="4"/>
        <v>0.05851825957</v>
      </c>
      <c r="I93" s="15">
        <f t="shared" si="5"/>
        <v>2406.8</v>
      </c>
      <c r="J93" s="20">
        <f t="shared" si="6"/>
        <v>0.0447453745</v>
      </c>
      <c r="K93" s="15">
        <f t="shared" si="7"/>
        <v>3021.666667</v>
      </c>
      <c r="L93" s="11">
        <f t="shared" si="8"/>
        <v>0.04561970328</v>
      </c>
      <c r="M93" s="19">
        <v>1748.0</v>
      </c>
      <c r="N93" s="11">
        <f t="shared" si="9"/>
        <v>0.06379562044</v>
      </c>
      <c r="O93" s="15">
        <v>3048.0</v>
      </c>
      <c r="P93" s="11">
        <f t="shared" si="10"/>
        <v>0.04544166977</v>
      </c>
      <c r="Q93" s="15">
        <v>3074.0</v>
      </c>
      <c r="R93" s="11">
        <f t="shared" si="11"/>
        <v>0.04404263855</v>
      </c>
      <c r="S93" s="17">
        <v>2943.0</v>
      </c>
      <c r="T93" s="29">
        <f t="shared" si="12"/>
        <v>0.04759286511</v>
      </c>
      <c r="U93" s="15">
        <v>2068.0</v>
      </c>
      <c r="V93" s="11">
        <f t="shared" si="13"/>
        <v>0.06107321107</v>
      </c>
      <c r="W93" s="15">
        <v>2454.0</v>
      </c>
      <c r="X93" s="11">
        <f t="shared" si="14"/>
        <v>0.06530242955</v>
      </c>
      <c r="Y93" s="15">
        <v>1528.0</v>
      </c>
      <c r="Z93" s="11">
        <f t="shared" si="15"/>
        <v>0.04355634104</v>
      </c>
      <c r="AA93" s="15">
        <v>1441.0</v>
      </c>
      <c r="AB93" s="11">
        <f t="shared" si="16"/>
        <v>0.04098990186</v>
      </c>
      <c r="AC93" s="15">
        <v>3168.0</v>
      </c>
      <c r="AD93" s="11">
        <f t="shared" si="17"/>
        <v>0.03736113404</v>
      </c>
      <c r="AE93" s="15">
        <v>2447.0</v>
      </c>
      <c r="AF93" s="20">
        <f t="shared" si="18"/>
        <v>0.1257128179</v>
      </c>
      <c r="AG93" s="19">
        <v>2962.0</v>
      </c>
      <c r="AH93" s="15">
        <v>2029.0</v>
      </c>
      <c r="AI93" s="15">
        <v>2507.0</v>
      </c>
      <c r="AJ93" s="15">
        <v>1856.0</v>
      </c>
    </row>
    <row r="94" ht="15.75" customHeight="1">
      <c r="A94" s="6" t="s">
        <v>77</v>
      </c>
      <c r="B94" s="6" t="s">
        <v>33</v>
      </c>
      <c r="C94" s="6" t="s">
        <v>55</v>
      </c>
      <c r="D94" s="4" t="s">
        <v>184</v>
      </c>
      <c r="E94" s="19">
        <f t="shared" si="1"/>
        <v>2449.2</v>
      </c>
      <c r="F94" s="11">
        <f t="shared" si="2"/>
        <v>0.05188510369</v>
      </c>
      <c r="G94" s="15">
        <f t="shared" si="3"/>
        <v>2502.4</v>
      </c>
      <c r="H94" s="11">
        <f t="shared" si="4"/>
        <v>0.06160542396</v>
      </c>
      <c r="I94" s="15">
        <f t="shared" si="5"/>
        <v>2396</v>
      </c>
      <c r="J94" s="20">
        <f t="shared" si="6"/>
        <v>0.04454458921</v>
      </c>
      <c r="K94" s="15">
        <f t="shared" si="7"/>
        <v>2981.666667</v>
      </c>
      <c r="L94" s="11">
        <f t="shared" si="8"/>
        <v>0.04501580208</v>
      </c>
      <c r="M94" s="19">
        <v>1746.0</v>
      </c>
      <c r="N94" s="11">
        <f t="shared" si="9"/>
        <v>0.06372262774</v>
      </c>
      <c r="O94" s="15">
        <v>3069.0</v>
      </c>
      <c r="P94" s="11">
        <f t="shared" si="10"/>
        <v>0.04575475214</v>
      </c>
      <c r="Q94" s="15">
        <v>3169.0</v>
      </c>
      <c r="R94" s="11">
        <f t="shared" si="11"/>
        <v>0.04540374807</v>
      </c>
      <c r="S94" s="17">
        <v>2707.0</v>
      </c>
      <c r="T94" s="29">
        <f t="shared" si="12"/>
        <v>0.04377637984</v>
      </c>
      <c r="U94" s="15">
        <v>3070.0</v>
      </c>
      <c r="V94" s="11">
        <f t="shared" si="13"/>
        <v>0.09066477659</v>
      </c>
      <c r="W94" s="15">
        <v>2932.0</v>
      </c>
      <c r="X94" s="11">
        <f t="shared" si="14"/>
        <v>0.07802229969</v>
      </c>
      <c r="Y94" s="15">
        <v>1037.0</v>
      </c>
      <c r="Z94" s="11">
        <f t="shared" si="15"/>
        <v>0.02956016077</v>
      </c>
      <c r="AA94" s="15">
        <v>1998.0</v>
      </c>
      <c r="AB94" s="11">
        <f t="shared" si="16"/>
        <v>0.05683402077</v>
      </c>
      <c r="AC94" s="15">
        <v>2795.0</v>
      </c>
      <c r="AD94" s="11">
        <f t="shared" si="17"/>
        <v>0.03296223789</v>
      </c>
      <c r="AE94" s="15">
        <v>1969.0</v>
      </c>
      <c r="AF94" s="20">
        <v>0.06</v>
      </c>
      <c r="AG94" s="19">
        <v>3056.0</v>
      </c>
      <c r="AH94" s="15">
        <v>2050.0</v>
      </c>
      <c r="AI94" s="15">
        <v>2416.0</v>
      </c>
      <c r="AJ94" s="15">
        <v>1904.0</v>
      </c>
    </row>
    <row r="95" ht="15.75" customHeight="1">
      <c r="A95" s="6" t="s">
        <v>73</v>
      </c>
      <c r="B95" s="6" t="s">
        <v>33</v>
      </c>
      <c r="C95" s="6" t="s">
        <v>60</v>
      </c>
      <c r="D95" s="4" t="s">
        <v>188</v>
      </c>
      <c r="E95" s="19">
        <f t="shared" si="1"/>
        <v>2202.1</v>
      </c>
      <c r="F95" s="11">
        <f t="shared" si="2"/>
        <v>0.04665041109</v>
      </c>
      <c r="G95" s="15">
        <f t="shared" si="3"/>
        <v>2024</v>
      </c>
      <c r="H95" s="11">
        <f t="shared" si="4"/>
        <v>0.04982791643</v>
      </c>
      <c r="I95" s="15">
        <f t="shared" si="5"/>
        <v>2380.2</v>
      </c>
      <c r="J95" s="20">
        <f t="shared" si="6"/>
        <v>0.04425084776</v>
      </c>
      <c r="K95" s="15">
        <f t="shared" si="7"/>
        <v>2990.333333</v>
      </c>
      <c r="L95" s="11">
        <f t="shared" si="8"/>
        <v>0.04514664734</v>
      </c>
      <c r="M95" s="19">
        <v>1542.0</v>
      </c>
      <c r="N95" s="11">
        <f t="shared" si="9"/>
        <v>0.05627737226</v>
      </c>
      <c r="O95" s="15">
        <v>3022.0</v>
      </c>
      <c r="P95" s="11">
        <f t="shared" si="10"/>
        <v>0.04505404398</v>
      </c>
      <c r="Q95" s="15">
        <v>3066.0</v>
      </c>
      <c r="R95" s="11">
        <f t="shared" si="11"/>
        <v>0.0439280188</v>
      </c>
      <c r="S95" s="17">
        <v>2883.0</v>
      </c>
      <c r="T95" s="29">
        <f t="shared" si="12"/>
        <v>0.04662257225</v>
      </c>
      <c r="U95" s="15">
        <v>2068.0</v>
      </c>
      <c r="V95" s="11">
        <f t="shared" si="13"/>
        <v>0.06107321107</v>
      </c>
      <c r="W95" s="15">
        <v>2240.0</v>
      </c>
      <c r="X95" s="11">
        <f t="shared" si="14"/>
        <v>0.05960775965</v>
      </c>
      <c r="Y95" s="15">
        <v>1477.0</v>
      </c>
      <c r="Z95" s="11">
        <f t="shared" si="15"/>
        <v>0.04210256264</v>
      </c>
      <c r="AA95" s="15">
        <v>1453.0</v>
      </c>
      <c r="AB95" s="11">
        <f t="shared" si="16"/>
        <v>0.04133124733</v>
      </c>
      <c r="AC95" s="15">
        <v>3052.0</v>
      </c>
      <c r="AD95" s="11">
        <f t="shared" si="17"/>
        <v>0.03599311272</v>
      </c>
      <c r="AE95" s="15">
        <v>1218.0</v>
      </c>
      <c r="AF95" s="20">
        <f t="shared" ref="AF95:AF160" si="19">AE95/$AE$4</f>
        <v>0.0625738505</v>
      </c>
      <c r="AG95" s="19">
        <v>2936.0</v>
      </c>
      <c r="AH95" s="15">
        <v>1954.0</v>
      </c>
      <c r="AI95" s="15">
        <v>2601.0</v>
      </c>
      <c r="AJ95" s="15">
        <v>1982.0</v>
      </c>
    </row>
    <row r="96" ht="15.75" customHeight="1">
      <c r="A96" s="6" t="s">
        <v>78</v>
      </c>
      <c r="B96" s="6" t="s">
        <v>33</v>
      </c>
      <c r="C96" s="6" t="s">
        <v>287</v>
      </c>
      <c r="D96" s="4" t="s">
        <v>183</v>
      </c>
      <c r="E96" s="19">
        <f t="shared" si="1"/>
        <v>2462.3</v>
      </c>
      <c r="F96" s="11">
        <f t="shared" si="2"/>
        <v>0.05216262078</v>
      </c>
      <c r="G96" s="15">
        <f t="shared" si="3"/>
        <v>2550</v>
      </c>
      <c r="H96" s="11">
        <f t="shared" si="4"/>
        <v>0.06277726626</v>
      </c>
      <c r="I96" s="15">
        <f t="shared" si="5"/>
        <v>2374.6</v>
      </c>
      <c r="J96" s="20">
        <f t="shared" si="6"/>
        <v>0.04414673687</v>
      </c>
      <c r="K96" s="15">
        <f t="shared" si="7"/>
        <v>2965.333333</v>
      </c>
      <c r="L96" s="11">
        <f t="shared" si="8"/>
        <v>0.04476920909</v>
      </c>
      <c r="M96" s="19">
        <v>1449.0</v>
      </c>
      <c r="N96" s="11">
        <f t="shared" si="9"/>
        <v>0.05288321168</v>
      </c>
      <c r="O96" s="15">
        <v>3014.0</v>
      </c>
      <c r="P96" s="11">
        <f t="shared" si="10"/>
        <v>0.04493477451</v>
      </c>
      <c r="Q96" s="15">
        <v>3059.0</v>
      </c>
      <c r="R96" s="11">
        <f t="shared" si="11"/>
        <v>0.04382772652</v>
      </c>
      <c r="S96" s="17">
        <v>2823.0</v>
      </c>
      <c r="T96" s="29">
        <f t="shared" si="12"/>
        <v>0.04565227938</v>
      </c>
      <c r="U96" s="15">
        <v>3350.0</v>
      </c>
      <c r="V96" s="11">
        <f t="shared" si="13"/>
        <v>0.09893387673</v>
      </c>
      <c r="W96" s="15">
        <v>3188.0</v>
      </c>
      <c r="X96" s="11">
        <f t="shared" si="14"/>
        <v>0.08483461508</v>
      </c>
      <c r="Y96" s="15">
        <v>1298.0</v>
      </c>
      <c r="Z96" s="11">
        <f t="shared" si="15"/>
        <v>0.03700008552</v>
      </c>
      <c r="AA96" s="15">
        <v>1679.0</v>
      </c>
      <c r="AB96" s="11">
        <f t="shared" si="16"/>
        <v>0.04775992035</v>
      </c>
      <c r="AC96" s="15">
        <v>2558.0</v>
      </c>
      <c r="AD96" s="11">
        <f t="shared" si="17"/>
        <v>0.03016722881</v>
      </c>
      <c r="AE96" s="15">
        <v>2205.0</v>
      </c>
      <c r="AF96" s="20">
        <f t="shared" si="19"/>
        <v>0.1132802466</v>
      </c>
      <c r="AG96" s="19">
        <v>2875.0</v>
      </c>
      <c r="AH96" s="15">
        <v>1961.0</v>
      </c>
      <c r="AI96" s="15">
        <v>2318.0</v>
      </c>
      <c r="AJ96" s="15">
        <v>1638.0</v>
      </c>
    </row>
    <row r="97" ht="15.75" customHeight="1">
      <c r="A97" s="6" t="s">
        <v>70</v>
      </c>
      <c r="B97" s="6" t="s">
        <v>33</v>
      </c>
      <c r="C97" s="6" t="s">
        <v>287</v>
      </c>
      <c r="D97" s="4" t="s">
        <v>192</v>
      </c>
      <c r="E97" s="19">
        <f t="shared" si="1"/>
        <v>1989.7</v>
      </c>
      <c r="F97" s="11">
        <f t="shared" si="2"/>
        <v>0.04215082101</v>
      </c>
      <c r="G97" s="15">
        <f t="shared" si="3"/>
        <v>1626.2</v>
      </c>
      <c r="H97" s="11">
        <f t="shared" si="4"/>
        <v>0.0400346629</v>
      </c>
      <c r="I97" s="15">
        <f t="shared" si="5"/>
        <v>2353.2</v>
      </c>
      <c r="J97" s="20">
        <f t="shared" si="6"/>
        <v>0.04374888453</v>
      </c>
      <c r="K97" s="15">
        <f t="shared" si="7"/>
        <v>2884</v>
      </c>
      <c r="L97" s="11">
        <f t="shared" si="8"/>
        <v>0.04354127665</v>
      </c>
      <c r="M97" s="19">
        <v>1450.0</v>
      </c>
      <c r="N97" s="11">
        <f t="shared" si="9"/>
        <v>0.05291970803</v>
      </c>
      <c r="O97" s="15">
        <v>2908.0</v>
      </c>
      <c r="P97" s="11">
        <f t="shared" si="10"/>
        <v>0.04335445397</v>
      </c>
      <c r="Q97" s="15">
        <v>2976.0</v>
      </c>
      <c r="R97" s="11">
        <f t="shared" si="11"/>
        <v>0.04263854662</v>
      </c>
      <c r="S97" s="17">
        <v>2768.0</v>
      </c>
      <c r="T97" s="29">
        <f t="shared" si="12"/>
        <v>0.04476284425</v>
      </c>
      <c r="U97" s="15">
        <v>1606.0</v>
      </c>
      <c r="V97" s="11">
        <f t="shared" si="13"/>
        <v>0.04742919583</v>
      </c>
      <c r="W97" s="15">
        <v>1706.0</v>
      </c>
      <c r="X97" s="11">
        <f t="shared" si="14"/>
        <v>0.04539769552</v>
      </c>
      <c r="Y97" s="15">
        <v>1297.0</v>
      </c>
      <c r="Z97" s="11">
        <f t="shared" si="15"/>
        <v>0.03697158006</v>
      </c>
      <c r="AA97" s="15">
        <v>1817.0</v>
      </c>
      <c r="AB97" s="11">
        <f t="shared" si="16"/>
        <v>0.05168539326</v>
      </c>
      <c r="AC97" s="15">
        <v>2907.0</v>
      </c>
      <c r="AD97" s="11">
        <f t="shared" si="17"/>
        <v>0.03428308607</v>
      </c>
      <c r="AE97" s="15">
        <v>462.0</v>
      </c>
      <c r="AF97" s="20">
        <f t="shared" si="19"/>
        <v>0.02373490881</v>
      </c>
      <c r="AG97" s="19">
        <v>2808.0</v>
      </c>
      <c r="AH97" s="15">
        <v>2015.0</v>
      </c>
      <c r="AI97" s="15">
        <v>2379.0</v>
      </c>
      <c r="AJ97" s="15">
        <v>1861.0</v>
      </c>
    </row>
    <row r="98" ht="15.75" customHeight="1">
      <c r="A98" s="6" t="s">
        <v>75</v>
      </c>
      <c r="B98" s="6" t="s">
        <v>33</v>
      </c>
      <c r="C98" s="6" t="s">
        <v>53</v>
      </c>
      <c r="D98" s="4" t="s">
        <v>189</v>
      </c>
      <c r="E98" s="19">
        <f t="shared" si="1"/>
        <v>2193.8</v>
      </c>
      <c r="F98" s="11">
        <f t="shared" si="2"/>
        <v>0.04647457965</v>
      </c>
      <c r="G98" s="15">
        <f t="shared" si="3"/>
        <v>2043.6</v>
      </c>
      <c r="H98" s="11">
        <f t="shared" si="4"/>
        <v>0.05031043974</v>
      </c>
      <c r="I98" s="15">
        <f t="shared" si="5"/>
        <v>2344</v>
      </c>
      <c r="J98" s="20">
        <f t="shared" si="6"/>
        <v>0.0435778452</v>
      </c>
      <c r="K98" s="15">
        <f t="shared" si="7"/>
        <v>2954</v>
      </c>
      <c r="L98" s="11">
        <f t="shared" si="8"/>
        <v>0.04459810375</v>
      </c>
      <c r="M98" s="19">
        <v>1847.0</v>
      </c>
      <c r="N98" s="11">
        <f t="shared" si="9"/>
        <v>0.06740875912</v>
      </c>
      <c r="O98" s="15">
        <v>2946.0</v>
      </c>
      <c r="P98" s="11">
        <f t="shared" si="10"/>
        <v>0.04392098397</v>
      </c>
      <c r="Q98" s="15">
        <v>2982.0</v>
      </c>
      <c r="R98" s="11">
        <f t="shared" si="11"/>
        <v>0.04272451143</v>
      </c>
      <c r="S98" s="17">
        <v>2934.0</v>
      </c>
      <c r="T98" s="29">
        <f t="shared" si="12"/>
        <v>0.04744732118</v>
      </c>
      <c r="U98" s="15">
        <v>2289.0</v>
      </c>
      <c r="V98" s="11">
        <f t="shared" si="13"/>
        <v>0.06759989368</v>
      </c>
      <c r="W98" s="15">
        <v>2436.0</v>
      </c>
      <c r="X98" s="11">
        <f t="shared" si="14"/>
        <v>0.06482343862</v>
      </c>
      <c r="Y98" s="15">
        <v>1502.0</v>
      </c>
      <c r="Z98" s="11">
        <f t="shared" si="15"/>
        <v>0.04281519911</v>
      </c>
      <c r="AA98" s="15">
        <v>1356.0</v>
      </c>
      <c r="AB98" s="11">
        <f t="shared" si="16"/>
        <v>0.03857203812</v>
      </c>
      <c r="AC98" s="15">
        <v>2499.0</v>
      </c>
      <c r="AD98" s="11">
        <f t="shared" si="17"/>
        <v>0.02947142486</v>
      </c>
      <c r="AE98" s="15">
        <v>1147.0</v>
      </c>
      <c r="AF98" s="20">
        <f t="shared" si="19"/>
        <v>0.05892627793</v>
      </c>
      <c r="AG98" s="19">
        <v>3079.0</v>
      </c>
      <c r="AH98" s="15">
        <v>2020.0</v>
      </c>
      <c r="AI98" s="15">
        <v>2681.0</v>
      </c>
      <c r="AJ98" s="15">
        <v>2149.0</v>
      </c>
    </row>
    <row r="99" ht="15.75" customHeight="1">
      <c r="A99" s="6" t="s">
        <v>78</v>
      </c>
      <c r="B99" s="6" t="s">
        <v>33</v>
      </c>
      <c r="C99" s="6" t="s">
        <v>56</v>
      </c>
      <c r="D99" s="4" t="s">
        <v>185</v>
      </c>
      <c r="E99" s="19">
        <f t="shared" si="1"/>
        <v>2422.1</v>
      </c>
      <c r="F99" s="11">
        <f t="shared" si="2"/>
        <v>0.05131100345</v>
      </c>
      <c r="G99" s="15">
        <f t="shared" si="3"/>
        <v>2513</v>
      </c>
      <c r="H99" s="11">
        <f t="shared" si="4"/>
        <v>0.06186638044</v>
      </c>
      <c r="I99" s="15">
        <f t="shared" si="5"/>
        <v>2331.2</v>
      </c>
      <c r="J99" s="20">
        <f t="shared" si="6"/>
        <v>0.04333987745</v>
      </c>
      <c r="K99" s="15">
        <f t="shared" si="7"/>
        <v>2842.666667</v>
      </c>
      <c r="L99" s="11">
        <f t="shared" si="8"/>
        <v>0.04291724541</v>
      </c>
      <c r="M99" s="19">
        <v>1356.0</v>
      </c>
      <c r="N99" s="11">
        <f t="shared" si="9"/>
        <v>0.04948905109</v>
      </c>
      <c r="O99" s="15">
        <v>2918.0</v>
      </c>
      <c r="P99" s="11">
        <f t="shared" si="10"/>
        <v>0.04350354081</v>
      </c>
      <c r="Q99" s="15">
        <v>2946.0</v>
      </c>
      <c r="R99" s="11">
        <f t="shared" si="11"/>
        <v>0.04220872256</v>
      </c>
      <c r="S99" s="17">
        <v>2664.0</v>
      </c>
      <c r="T99" s="29">
        <f t="shared" si="12"/>
        <v>0.04308100328</v>
      </c>
      <c r="U99" s="15">
        <v>2449.0</v>
      </c>
      <c r="V99" s="11">
        <f t="shared" si="13"/>
        <v>0.07232509377</v>
      </c>
      <c r="W99" s="15">
        <v>2495.0</v>
      </c>
      <c r="X99" s="11">
        <f t="shared" si="14"/>
        <v>0.06639346443</v>
      </c>
      <c r="Y99" s="15">
        <v>1332.0</v>
      </c>
      <c r="Z99" s="11">
        <f t="shared" si="15"/>
        <v>0.03796927112</v>
      </c>
      <c r="AA99" s="15">
        <v>1796.0</v>
      </c>
      <c r="AB99" s="11">
        <f t="shared" si="16"/>
        <v>0.05108803869</v>
      </c>
      <c r="AC99" s="15">
        <v>3010.0</v>
      </c>
      <c r="AD99" s="11">
        <f t="shared" si="17"/>
        <v>0.03549779466</v>
      </c>
      <c r="AE99" s="15">
        <v>3255.0</v>
      </c>
      <c r="AF99" s="20">
        <f t="shared" si="19"/>
        <v>0.1672232212</v>
      </c>
      <c r="AG99" s="19">
        <v>2771.0</v>
      </c>
      <c r="AH99" s="15">
        <v>1878.0</v>
      </c>
      <c r="AI99" s="15">
        <v>2251.0</v>
      </c>
      <c r="AJ99" s="15">
        <v>1460.0</v>
      </c>
    </row>
    <row r="100" ht="15.75" customHeight="1">
      <c r="A100" s="6" t="s">
        <v>78</v>
      </c>
      <c r="B100" s="6" t="s">
        <v>33</v>
      </c>
      <c r="C100" s="6" t="s">
        <v>62</v>
      </c>
      <c r="D100" s="4" t="s">
        <v>191</v>
      </c>
      <c r="E100" s="19">
        <f t="shared" si="1"/>
        <v>1998.3</v>
      </c>
      <c r="F100" s="11">
        <f t="shared" si="2"/>
        <v>0.0423330078</v>
      </c>
      <c r="G100" s="15">
        <f t="shared" si="3"/>
        <v>1703.6</v>
      </c>
      <c r="H100" s="11">
        <f t="shared" si="4"/>
        <v>0.04194013757</v>
      </c>
      <c r="I100" s="15">
        <f t="shared" si="5"/>
        <v>2293</v>
      </c>
      <c r="J100" s="20">
        <f t="shared" si="6"/>
        <v>0.04262969243</v>
      </c>
      <c r="K100" s="15">
        <f t="shared" si="7"/>
        <v>2968.666667</v>
      </c>
      <c r="L100" s="11">
        <f t="shared" si="8"/>
        <v>0.04481953419</v>
      </c>
      <c r="M100" s="19">
        <v>1508.0</v>
      </c>
      <c r="N100" s="11">
        <f t="shared" si="9"/>
        <v>0.05503649635</v>
      </c>
      <c r="O100" s="15">
        <v>3044.0</v>
      </c>
      <c r="P100" s="11">
        <f t="shared" si="10"/>
        <v>0.04538203504</v>
      </c>
      <c r="Q100" s="15">
        <v>3088.0</v>
      </c>
      <c r="R100" s="11">
        <f t="shared" si="11"/>
        <v>0.04424322311</v>
      </c>
      <c r="S100" s="17">
        <v>2774.0</v>
      </c>
      <c r="T100" s="29">
        <f t="shared" si="12"/>
        <v>0.04485987354</v>
      </c>
      <c r="U100" s="15">
        <v>1497.0</v>
      </c>
      <c r="V100" s="11">
        <f t="shared" si="13"/>
        <v>0.04421015327</v>
      </c>
      <c r="W100" s="15">
        <v>1538.0</v>
      </c>
      <c r="X100" s="11">
        <f t="shared" si="14"/>
        <v>0.04092711355</v>
      </c>
      <c r="Y100" s="15">
        <v>1451.0</v>
      </c>
      <c r="Z100" s="11">
        <f t="shared" si="15"/>
        <v>0.04136142071</v>
      </c>
      <c r="AA100" s="15">
        <v>1108.0</v>
      </c>
      <c r="AB100" s="11">
        <f t="shared" si="16"/>
        <v>0.03151756507</v>
      </c>
      <c r="AC100" s="15">
        <v>3161.0</v>
      </c>
      <c r="AD100" s="11">
        <f t="shared" si="17"/>
        <v>0.03727858103</v>
      </c>
      <c r="AE100" s="15">
        <v>814.0</v>
      </c>
      <c r="AF100" s="20">
        <f t="shared" si="19"/>
        <v>0.04181864886</v>
      </c>
      <c r="AG100" s="19">
        <v>2939.0</v>
      </c>
      <c r="AH100" s="15">
        <v>2005.0</v>
      </c>
      <c r="AI100" s="15">
        <v>2551.0</v>
      </c>
      <c r="AJ100" s="15">
        <v>1850.0</v>
      </c>
    </row>
    <row r="101" ht="15.75" customHeight="1">
      <c r="A101" s="6" t="s">
        <v>78</v>
      </c>
      <c r="B101" s="6" t="s">
        <v>33</v>
      </c>
      <c r="C101" s="6" t="s">
        <v>59</v>
      </c>
      <c r="D101" s="4" t="s">
        <v>181</v>
      </c>
      <c r="E101" s="19">
        <f t="shared" si="1"/>
        <v>2500.8</v>
      </c>
      <c r="F101" s="11">
        <f t="shared" si="2"/>
        <v>0.05297822444</v>
      </c>
      <c r="G101" s="15">
        <f t="shared" si="3"/>
        <v>2719.2</v>
      </c>
      <c r="H101" s="11">
        <f t="shared" si="4"/>
        <v>0.06694272251</v>
      </c>
      <c r="I101" s="15">
        <f t="shared" si="5"/>
        <v>2282.4</v>
      </c>
      <c r="J101" s="20">
        <f t="shared" si="6"/>
        <v>0.04243262538</v>
      </c>
      <c r="K101" s="15">
        <f t="shared" si="7"/>
        <v>3025</v>
      </c>
      <c r="L101" s="11">
        <f t="shared" si="8"/>
        <v>0.04567002838</v>
      </c>
      <c r="M101" s="19">
        <v>1670.0</v>
      </c>
      <c r="N101" s="11">
        <f t="shared" si="9"/>
        <v>0.06094890511</v>
      </c>
      <c r="O101" s="15">
        <v>3084.0</v>
      </c>
      <c r="P101" s="11">
        <f t="shared" si="10"/>
        <v>0.04597838241</v>
      </c>
      <c r="Q101" s="15">
        <v>3158.0</v>
      </c>
      <c r="R101" s="11">
        <f t="shared" si="11"/>
        <v>0.04524614591</v>
      </c>
      <c r="S101" s="17">
        <v>2833.0</v>
      </c>
      <c r="T101" s="29">
        <f t="shared" si="12"/>
        <v>0.04581399486</v>
      </c>
      <c r="U101" s="15">
        <v>3442.0</v>
      </c>
      <c r="V101" s="11">
        <f t="shared" si="13"/>
        <v>0.1016508668</v>
      </c>
      <c r="W101" s="15">
        <v>3203.0</v>
      </c>
      <c r="X101" s="11">
        <f t="shared" si="14"/>
        <v>0.08523377418</v>
      </c>
      <c r="Y101" s="15">
        <v>941.0</v>
      </c>
      <c r="Z101" s="11">
        <f t="shared" si="15"/>
        <v>0.02682363673</v>
      </c>
      <c r="AA101" s="15">
        <v>1396.0</v>
      </c>
      <c r="AB101" s="11">
        <f t="shared" si="16"/>
        <v>0.03970985635</v>
      </c>
      <c r="AC101" s="15">
        <v>2383.0</v>
      </c>
      <c r="AD101" s="11">
        <f t="shared" si="17"/>
        <v>0.02810340354</v>
      </c>
      <c r="AE101" s="15">
        <v>2898.0</v>
      </c>
      <c r="AF101" s="20">
        <f t="shared" si="19"/>
        <v>0.1488826098</v>
      </c>
      <c r="AG101" s="19">
        <v>3075.0</v>
      </c>
      <c r="AH101" s="15">
        <v>2092.0</v>
      </c>
      <c r="AI101" s="15">
        <v>2537.0</v>
      </c>
      <c r="AJ101" s="15">
        <v>1853.0</v>
      </c>
    </row>
    <row r="102" ht="15.75" customHeight="1">
      <c r="A102" s="6" t="s">
        <v>78</v>
      </c>
      <c r="B102" s="6" t="s">
        <v>33</v>
      </c>
      <c r="C102" s="6" t="s">
        <v>52</v>
      </c>
      <c r="D102" s="4" t="s">
        <v>190</v>
      </c>
      <c r="E102" s="19">
        <f t="shared" si="1"/>
        <v>2181.5</v>
      </c>
      <c r="F102" s="11">
        <f t="shared" si="2"/>
        <v>0.04621401016</v>
      </c>
      <c r="G102" s="15">
        <f t="shared" si="3"/>
        <v>2291.6</v>
      </c>
      <c r="H102" s="11">
        <f t="shared" si="4"/>
        <v>0.05641583661</v>
      </c>
      <c r="I102" s="15">
        <f t="shared" si="5"/>
        <v>2071.4</v>
      </c>
      <c r="J102" s="20">
        <f t="shared" si="6"/>
        <v>0.03850987566</v>
      </c>
      <c r="K102" s="15">
        <f t="shared" si="7"/>
        <v>2665</v>
      </c>
      <c r="L102" s="11">
        <f t="shared" si="8"/>
        <v>0.04023491757</v>
      </c>
      <c r="M102" s="19">
        <v>1203.0</v>
      </c>
      <c r="N102" s="11">
        <f t="shared" si="9"/>
        <v>0.04390510949</v>
      </c>
      <c r="O102" s="15">
        <v>2723.0</v>
      </c>
      <c r="P102" s="11">
        <f t="shared" si="10"/>
        <v>0.04059634737</v>
      </c>
      <c r="Q102" s="15">
        <v>2742.0</v>
      </c>
      <c r="R102" s="11">
        <f t="shared" si="11"/>
        <v>0.03928591896</v>
      </c>
      <c r="S102" s="17">
        <v>2530.0</v>
      </c>
      <c r="T102" s="29">
        <f t="shared" si="12"/>
        <v>0.04091401588</v>
      </c>
      <c r="U102" s="15">
        <v>2685.0</v>
      </c>
      <c r="V102" s="11">
        <f t="shared" si="13"/>
        <v>0.07929476389</v>
      </c>
      <c r="W102" s="15">
        <v>2796.0</v>
      </c>
      <c r="X102" s="11">
        <f t="shared" si="14"/>
        <v>0.07440325714</v>
      </c>
      <c r="Y102" s="15">
        <v>1188.0</v>
      </c>
      <c r="Z102" s="11">
        <f t="shared" si="15"/>
        <v>0.03386448505</v>
      </c>
      <c r="AA102" s="15">
        <v>1174.0</v>
      </c>
      <c r="AB102" s="11">
        <f t="shared" si="16"/>
        <v>0.03339496515</v>
      </c>
      <c r="AC102" s="15">
        <v>2399.0</v>
      </c>
      <c r="AD102" s="11">
        <f t="shared" si="17"/>
        <v>0.02829209614</v>
      </c>
      <c r="AE102" s="15">
        <v>2375.0</v>
      </c>
      <c r="AF102" s="20">
        <f t="shared" si="19"/>
        <v>0.1220138711</v>
      </c>
      <c r="AG102" s="19">
        <v>2565.0</v>
      </c>
      <c r="AH102" s="15">
        <v>1757.0</v>
      </c>
      <c r="AI102" s="15">
        <v>2286.0</v>
      </c>
      <c r="AJ102" s="15">
        <v>1717.0</v>
      </c>
    </row>
    <row r="103" ht="15.75" customHeight="1">
      <c r="A103" s="6" t="s">
        <v>75</v>
      </c>
      <c r="B103" s="6" t="s">
        <v>33</v>
      </c>
      <c r="C103" s="6" t="s">
        <v>60</v>
      </c>
      <c r="D103" s="4" t="s">
        <v>193</v>
      </c>
      <c r="E103" s="19">
        <f t="shared" si="1"/>
        <v>1943.8</v>
      </c>
      <c r="F103" s="11">
        <f t="shared" si="2"/>
        <v>0.04117845196</v>
      </c>
      <c r="G103" s="15">
        <f t="shared" si="3"/>
        <v>1828.2</v>
      </c>
      <c r="H103" s="11">
        <f t="shared" si="4"/>
        <v>0.04500760713</v>
      </c>
      <c r="I103" s="15">
        <f t="shared" si="5"/>
        <v>2059.4</v>
      </c>
      <c r="J103" s="20">
        <f t="shared" si="6"/>
        <v>0.03828678089</v>
      </c>
      <c r="K103" s="15">
        <f t="shared" si="7"/>
        <v>2506.666667</v>
      </c>
      <c r="L103" s="11">
        <f t="shared" si="8"/>
        <v>0.03784447531</v>
      </c>
      <c r="M103" s="19">
        <v>1064.0</v>
      </c>
      <c r="N103" s="11">
        <f t="shared" si="9"/>
        <v>0.03883211679</v>
      </c>
      <c r="O103" s="15">
        <v>2537.0</v>
      </c>
      <c r="P103" s="11">
        <f t="shared" si="10"/>
        <v>0.03782333209</v>
      </c>
      <c r="Q103" s="15">
        <v>2563.0</v>
      </c>
      <c r="R103" s="11">
        <f t="shared" si="11"/>
        <v>0.03672130208</v>
      </c>
      <c r="S103" s="17">
        <v>2420.0</v>
      </c>
      <c r="T103" s="29">
        <f t="shared" si="12"/>
        <v>0.03913514562</v>
      </c>
      <c r="U103" s="15">
        <v>1684.0</v>
      </c>
      <c r="V103" s="11">
        <f t="shared" si="13"/>
        <v>0.04973273087</v>
      </c>
      <c r="W103" s="15">
        <v>1756.0</v>
      </c>
      <c r="X103" s="11">
        <f t="shared" si="14"/>
        <v>0.04672822587</v>
      </c>
      <c r="Y103" s="15">
        <v>1164.0</v>
      </c>
      <c r="Z103" s="11">
        <f t="shared" si="15"/>
        <v>0.03318035404</v>
      </c>
      <c r="AA103" s="15">
        <v>1613.0</v>
      </c>
      <c r="AB103" s="11">
        <f t="shared" si="16"/>
        <v>0.04588252027</v>
      </c>
      <c r="AC103" s="15">
        <v>2144.0</v>
      </c>
      <c r="AD103" s="11">
        <f t="shared" si="17"/>
        <v>0.02528480789</v>
      </c>
      <c r="AE103" s="15">
        <v>2493.0</v>
      </c>
      <c r="AF103" s="20">
        <f t="shared" si="19"/>
        <v>0.1280760339</v>
      </c>
      <c r="AG103" s="19">
        <v>2426.0</v>
      </c>
      <c r="AH103" s="15">
        <v>1576.0</v>
      </c>
      <c r="AI103" s="15">
        <v>1990.0</v>
      </c>
      <c r="AJ103" s="15">
        <v>1406.0</v>
      </c>
    </row>
    <row r="104" ht="15.75" customHeight="1">
      <c r="A104" s="6" t="s">
        <v>78</v>
      </c>
      <c r="B104" s="6" t="s">
        <v>33</v>
      </c>
      <c r="C104" s="6" t="s">
        <v>52</v>
      </c>
      <c r="D104" s="4" t="s">
        <v>195</v>
      </c>
      <c r="E104" s="19">
        <f t="shared" si="1"/>
        <v>1882</v>
      </c>
      <c r="F104" s="11">
        <f t="shared" si="2"/>
        <v>0.0398692492</v>
      </c>
      <c r="G104" s="15">
        <f t="shared" si="3"/>
        <v>1795.6</v>
      </c>
      <c r="H104" s="11">
        <f t="shared" si="4"/>
        <v>0.04420504286</v>
      </c>
      <c r="I104" s="15">
        <f t="shared" si="5"/>
        <v>1968.4</v>
      </c>
      <c r="J104" s="20">
        <f t="shared" si="6"/>
        <v>0.03659497888</v>
      </c>
      <c r="K104" s="15">
        <f t="shared" si="7"/>
        <v>2562.666667</v>
      </c>
      <c r="L104" s="11">
        <f t="shared" si="8"/>
        <v>0.03868993699</v>
      </c>
      <c r="M104" s="19">
        <v>1218.0</v>
      </c>
      <c r="N104" s="11">
        <f t="shared" si="9"/>
        <v>0.04445255474</v>
      </c>
      <c r="O104" s="15">
        <v>2597.0</v>
      </c>
      <c r="P104" s="11">
        <f t="shared" si="10"/>
        <v>0.03871785315</v>
      </c>
      <c r="Q104" s="15">
        <v>2615.0</v>
      </c>
      <c r="R104" s="11">
        <f t="shared" si="11"/>
        <v>0.03746633045</v>
      </c>
      <c r="S104" s="17">
        <v>2476.0</v>
      </c>
      <c r="T104" s="29">
        <f t="shared" si="12"/>
        <v>0.0400407523</v>
      </c>
      <c r="U104" s="15">
        <v>2137.0</v>
      </c>
      <c r="V104" s="11">
        <f t="shared" si="13"/>
        <v>0.0631109536</v>
      </c>
      <c r="W104" s="15">
        <v>2191.0</v>
      </c>
      <c r="X104" s="11">
        <f t="shared" si="14"/>
        <v>0.05830383991</v>
      </c>
      <c r="Y104" s="15">
        <v>1125.0</v>
      </c>
      <c r="Z104" s="11">
        <f t="shared" si="15"/>
        <v>0.03206864114</v>
      </c>
      <c r="AA104" s="15">
        <v>1029.0</v>
      </c>
      <c r="AB104" s="11">
        <f t="shared" si="16"/>
        <v>0.02927037406</v>
      </c>
      <c r="AC104" s="15">
        <v>2279.0</v>
      </c>
      <c r="AD104" s="11">
        <f t="shared" si="17"/>
        <v>0.02687690167</v>
      </c>
      <c r="AE104" s="15">
        <v>1153.0</v>
      </c>
      <c r="AF104" s="20">
        <f t="shared" si="19"/>
        <v>0.0592345235</v>
      </c>
      <c r="AG104" s="19">
        <v>2330.0</v>
      </c>
      <c r="AH104" s="15">
        <v>1602.0</v>
      </c>
      <c r="AI104" s="15">
        <v>1976.0</v>
      </c>
      <c r="AJ104" s="15">
        <v>1436.0</v>
      </c>
    </row>
    <row r="105" ht="15.75" customHeight="1">
      <c r="A105" s="6" t="s">
        <v>75</v>
      </c>
      <c r="B105" s="6" t="s">
        <v>33</v>
      </c>
      <c r="C105" s="6" t="s">
        <v>54</v>
      </c>
      <c r="D105" s="4" t="s">
        <v>197</v>
      </c>
      <c r="E105" s="19">
        <f t="shared" si="1"/>
        <v>1788.6</v>
      </c>
      <c r="F105" s="11">
        <f t="shared" si="2"/>
        <v>0.0378906159</v>
      </c>
      <c r="G105" s="15">
        <f t="shared" si="3"/>
        <v>1638.4</v>
      </c>
      <c r="H105" s="11">
        <f t="shared" si="4"/>
        <v>0.04033500904</v>
      </c>
      <c r="I105" s="15">
        <f t="shared" si="5"/>
        <v>1938.8</v>
      </c>
      <c r="J105" s="20">
        <f t="shared" si="6"/>
        <v>0.03604467845</v>
      </c>
      <c r="K105" s="15">
        <f t="shared" si="7"/>
        <v>2512.666667</v>
      </c>
      <c r="L105" s="11">
        <f t="shared" si="8"/>
        <v>0.03793506049</v>
      </c>
      <c r="M105" s="19">
        <v>1275.0</v>
      </c>
      <c r="N105" s="11">
        <f t="shared" si="9"/>
        <v>0.04653284672</v>
      </c>
      <c r="O105" s="15">
        <v>2550.0</v>
      </c>
      <c r="P105" s="11">
        <f t="shared" si="10"/>
        <v>0.03801714499</v>
      </c>
      <c r="Q105" s="15">
        <v>2583.0</v>
      </c>
      <c r="R105" s="11">
        <f t="shared" si="11"/>
        <v>0.03700785145</v>
      </c>
      <c r="S105" s="17">
        <v>2405.0</v>
      </c>
      <c r="T105" s="29">
        <f t="shared" si="12"/>
        <v>0.03889257241</v>
      </c>
      <c r="U105" s="15">
        <v>1569.0</v>
      </c>
      <c r="V105" s="11">
        <f t="shared" si="13"/>
        <v>0.04633649331</v>
      </c>
      <c r="W105" s="15">
        <v>1596.0</v>
      </c>
      <c r="X105" s="11">
        <f t="shared" si="14"/>
        <v>0.04247052875</v>
      </c>
      <c r="Y105" s="15">
        <v>1040.0</v>
      </c>
      <c r="Z105" s="11">
        <f t="shared" si="15"/>
        <v>0.02964567715</v>
      </c>
      <c r="AA105" s="15">
        <v>1116.0</v>
      </c>
      <c r="AB105" s="11">
        <f t="shared" si="16"/>
        <v>0.03174512872</v>
      </c>
      <c r="AC105" s="15">
        <v>2617.0</v>
      </c>
      <c r="AD105" s="11">
        <f t="shared" si="17"/>
        <v>0.03086303276</v>
      </c>
      <c r="AE105" s="15">
        <v>1135.0</v>
      </c>
      <c r="AF105" s="20">
        <f t="shared" si="19"/>
        <v>0.0583097868</v>
      </c>
      <c r="AG105" s="19">
        <v>2488.0</v>
      </c>
      <c r="AH105" s="15">
        <v>1700.0</v>
      </c>
      <c r="AI105" s="15">
        <v>2042.0</v>
      </c>
      <c r="AJ105" s="15">
        <v>1525.0</v>
      </c>
    </row>
    <row r="106" ht="15.75" customHeight="1">
      <c r="A106" s="6" t="s">
        <v>70</v>
      </c>
      <c r="B106" s="6" t="s">
        <v>33</v>
      </c>
      <c r="C106" s="6" t="s">
        <v>287</v>
      </c>
      <c r="D106" s="4" t="s">
        <v>194</v>
      </c>
      <c r="E106" s="19">
        <f t="shared" si="1"/>
        <v>1888.3</v>
      </c>
      <c r="F106" s="11">
        <f t="shared" si="2"/>
        <v>0.04000271162</v>
      </c>
      <c r="G106" s="15">
        <f t="shared" si="3"/>
        <v>1854.6</v>
      </c>
      <c r="H106" s="11">
        <f t="shared" si="4"/>
        <v>0.04565753647</v>
      </c>
      <c r="I106" s="15">
        <f t="shared" si="5"/>
        <v>1922</v>
      </c>
      <c r="J106" s="20">
        <f t="shared" si="6"/>
        <v>0.03573234577</v>
      </c>
      <c r="K106" s="15">
        <f t="shared" si="7"/>
        <v>2470</v>
      </c>
      <c r="L106" s="11">
        <f t="shared" si="8"/>
        <v>0.03729089921</v>
      </c>
      <c r="M106" s="19">
        <v>1308.0</v>
      </c>
      <c r="N106" s="11">
        <f t="shared" si="9"/>
        <v>0.04773722628</v>
      </c>
      <c r="O106" s="15">
        <v>2508.0</v>
      </c>
      <c r="P106" s="11">
        <f t="shared" si="10"/>
        <v>0.03739098025</v>
      </c>
      <c r="Q106" s="15">
        <v>2567.0</v>
      </c>
      <c r="R106" s="11">
        <f t="shared" si="11"/>
        <v>0.03677861195</v>
      </c>
      <c r="S106" s="17">
        <v>2335.0</v>
      </c>
      <c r="T106" s="29">
        <f t="shared" si="12"/>
        <v>0.03776056406</v>
      </c>
      <c r="U106" s="15">
        <v>2098.0</v>
      </c>
      <c r="V106" s="11">
        <f t="shared" si="13"/>
        <v>0.06195918608</v>
      </c>
      <c r="W106" s="15">
        <v>2144.0</v>
      </c>
      <c r="X106" s="11">
        <f t="shared" si="14"/>
        <v>0.05705314138</v>
      </c>
      <c r="Y106" s="15">
        <v>1040.0</v>
      </c>
      <c r="Z106" s="11">
        <f t="shared" si="15"/>
        <v>0.02964567715</v>
      </c>
      <c r="AA106" s="15">
        <v>1160.0</v>
      </c>
      <c r="AB106" s="11">
        <f t="shared" si="16"/>
        <v>0.03299672877</v>
      </c>
      <c r="AC106" s="15">
        <v>1999.0</v>
      </c>
      <c r="AD106" s="11">
        <f t="shared" si="17"/>
        <v>0.02357478123</v>
      </c>
      <c r="AE106" s="15">
        <v>1724.0</v>
      </c>
      <c r="AF106" s="20">
        <f t="shared" si="19"/>
        <v>0.08856922682</v>
      </c>
      <c r="AG106" s="19">
        <v>1842.0</v>
      </c>
      <c r="AH106" s="15">
        <v>1359.0</v>
      </c>
      <c r="AI106" s="15">
        <v>1606.0</v>
      </c>
      <c r="AJ106" s="15">
        <v>1196.0</v>
      </c>
    </row>
    <row r="107" ht="15.75" customHeight="1">
      <c r="A107" s="6" t="s">
        <v>78</v>
      </c>
      <c r="B107" s="6" t="s">
        <v>33</v>
      </c>
      <c r="C107" s="6" t="s">
        <v>52</v>
      </c>
      <c r="D107" s="4" t="s">
        <v>199</v>
      </c>
      <c r="E107" s="19">
        <f t="shared" si="1"/>
        <v>1749.9</v>
      </c>
      <c r="F107" s="11">
        <f t="shared" si="2"/>
        <v>0.03707077533</v>
      </c>
      <c r="G107" s="15">
        <f t="shared" si="3"/>
        <v>1634.2</v>
      </c>
      <c r="H107" s="11">
        <f t="shared" si="4"/>
        <v>0.04023161118</v>
      </c>
      <c r="I107" s="15">
        <f t="shared" si="5"/>
        <v>1865.6</v>
      </c>
      <c r="J107" s="20">
        <f t="shared" si="6"/>
        <v>0.03468380035</v>
      </c>
      <c r="K107" s="15">
        <f t="shared" si="7"/>
        <v>2416.666667</v>
      </c>
      <c r="L107" s="11">
        <f t="shared" si="8"/>
        <v>0.03648569761</v>
      </c>
      <c r="M107" s="19">
        <v>1142.0</v>
      </c>
      <c r="N107" s="11">
        <f t="shared" si="9"/>
        <v>0.04167883212</v>
      </c>
      <c r="O107" s="15">
        <v>2458.0</v>
      </c>
      <c r="P107" s="11">
        <f t="shared" si="10"/>
        <v>0.03664554603</v>
      </c>
      <c r="Q107" s="15">
        <v>2476.0</v>
      </c>
      <c r="R107" s="11">
        <f t="shared" si="11"/>
        <v>0.03547481231</v>
      </c>
      <c r="S107" s="17">
        <v>2316.0</v>
      </c>
      <c r="T107" s="29">
        <f t="shared" si="12"/>
        <v>0.03745330466</v>
      </c>
      <c r="U107" s="15">
        <v>1854.0</v>
      </c>
      <c r="V107" s="11">
        <f t="shared" si="13"/>
        <v>0.05475325596</v>
      </c>
      <c r="W107" s="15">
        <v>2090.0</v>
      </c>
      <c r="X107" s="11">
        <f t="shared" si="14"/>
        <v>0.0556161686</v>
      </c>
      <c r="Y107" s="15">
        <v>1011.0</v>
      </c>
      <c r="Z107" s="11">
        <f t="shared" si="15"/>
        <v>0.02881901884</v>
      </c>
      <c r="AA107" s="15">
        <v>1067.0</v>
      </c>
      <c r="AB107" s="11">
        <f t="shared" si="16"/>
        <v>0.03035130138</v>
      </c>
      <c r="AC107" s="15">
        <v>2248.0</v>
      </c>
      <c r="AD107" s="11">
        <f t="shared" si="17"/>
        <v>0.02651130976</v>
      </c>
      <c r="AE107" s="15">
        <v>837.0</v>
      </c>
      <c r="AF107" s="20">
        <f t="shared" si="19"/>
        <v>0.04300025687</v>
      </c>
      <c r="AG107" s="19">
        <v>2349.0</v>
      </c>
      <c r="AH107" s="15">
        <v>1571.0</v>
      </c>
      <c r="AI107" s="15">
        <v>1899.0</v>
      </c>
      <c r="AJ107" s="15">
        <v>1311.0</v>
      </c>
    </row>
    <row r="108" ht="15.75" customHeight="1">
      <c r="A108" s="6" t="s">
        <v>78</v>
      </c>
      <c r="B108" s="6" t="s">
        <v>33</v>
      </c>
      <c r="C108" s="6" t="s">
        <v>287</v>
      </c>
      <c r="D108" s="4" t="s">
        <v>198</v>
      </c>
      <c r="E108" s="19">
        <f t="shared" si="1"/>
        <v>1778.1</v>
      </c>
      <c r="F108" s="11">
        <f t="shared" si="2"/>
        <v>0.03766817853</v>
      </c>
      <c r="G108" s="15">
        <f t="shared" si="3"/>
        <v>1883.8</v>
      </c>
      <c r="H108" s="11">
        <f t="shared" si="4"/>
        <v>0.04637639772</v>
      </c>
      <c r="I108" s="15">
        <f t="shared" si="5"/>
        <v>1672.4</v>
      </c>
      <c r="J108" s="20">
        <f t="shared" si="6"/>
        <v>0.03109197454</v>
      </c>
      <c r="K108" s="15">
        <f t="shared" si="7"/>
        <v>2257.333333</v>
      </c>
      <c r="L108" s="11">
        <f t="shared" si="8"/>
        <v>0.03408015782</v>
      </c>
      <c r="M108" s="19">
        <v>1113.0</v>
      </c>
      <c r="N108" s="11">
        <f t="shared" si="9"/>
        <v>0.04062043796</v>
      </c>
      <c r="O108" s="15">
        <v>2312.0</v>
      </c>
      <c r="P108" s="11">
        <f t="shared" si="10"/>
        <v>0.03446887812</v>
      </c>
      <c r="Q108" s="15">
        <v>2388.0</v>
      </c>
      <c r="R108" s="11">
        <f t="shared" si="11"/>
        <v>0.03421399507</v>
      </c>
      <c r="S108" s="17">
        <v>2072.0</v>
      </c>
      <c r="T108" s="29">
        <f t="shared" si="12"/>
        <v>0.033507447</v>
      </c>
      <c r="U108" s="15">
        <v>2310.0</v>
      </c>
      <c r="V108" s="11">
        <f t="shared" si="13"/>
        <v>0.06822007619</v>
      </c>
      <c r="W108" s="15">
        <v>2214.0</v>
      </c>
      <c r="X108" s="11">
        <f t="shared" si="14"/>
        <v>0.05891588387</v>
      </c>
      <c r="Y108" s="15">
        <v>759.0</v>
      </c>
      <c r="Z108" s="11">
        <f t="shared" si="15"/>
        <v>0.02163564323</v>
      </c>
      <c r="AA108" s="15">
        <v>831.0</v>
      </c>
      <c r="AB108" s="11">
        <f t="shared" si="16"/>
        <v>0.0236381738</v>
      </c>
      <c r="AC108" s="15">
        <v>1680.0</v>
      </c>
      <c r="AD108" s="11">
        <f t="shared" si="17"/>
        <v>0.0198127226</v>
      </c>
      <c r="AE108" s="15">
        <v>2102.0</v>
      </c>
      <c r="AF108" s="20">
        <f t="shared" si="19"/>
        <v>0.1079886977</v>
      </c>
      <c r="AG108" s="19">
        <v>2252.0</v>
      </c>
      <c r="AH108" s="15">
        <v>1525.0</v>
      </c>
      <c r="AI108" s="15">
        <v>1757.0</v>
      </c>
      <c r="AJ108" s="15">
        <v>1134.0</v>
      </c>
    </row>
    <row r="109" ht="15.75" customHeight="1">
      <c r="A109" s="6" t="s">
        <v>75</v>
      </c>
      <c r="B109" s="6" t="s">
        <v>33</v>
      </c>
      <c r="C109" s="6" t="s">
        <v>53</v>
      </c>
      <c r="D109" s="4" t="s">
        <v>200</v>
      </c>
      <c r="E109" s="19">
        <f t="shared" si="1"/>
        <v>1740.4</v>
      </c>
      <c r="F109" s="11">
        <f t="shared" si="2"/>
        <v>0.03686952248</v>
      </c>
      <c r="G109" s="15">
        <f t="shared" si="3"/>
        <v>1818.2</v>
      </c>
      <c r="H109" s="11">
        <f t="shared" si="4"/>
        <v>0.04476142177</v>
      </c>
      <c r="I109" s="15">
        <f t="shared" si="5"/>
        <v>1662.6</v>
      </c>
      <c r="J109" s="20">
        <f t="shared" si="6"/>
        <v>0.03090978047</v>
      </c>
      <c r="K109" s="15">
        <f t="shared" si="7"/>
        <v>2075</v>
      </c>
      <c r="L109" s="11">
        <f t="shared" si="8"/>
        <v>0.03132737484</v>
      </c>
      <c r="M109" s="19">
        <v>1479.0</v>
      </c>
      <c r="N109" s="11">
        <f t="shared" si="9"/>
        <v>0.05397810219</v>
      </c>
      <c r="O109" s="15">
        <v>2088.0</v>
      </c>
      <c r="P109" s="11">
        <f t="shared" si="10"/>
        <v>0.03112933284</v>
      </c>
      <c r="Q109" s="15">
        <v>2122.0</v>
      </c>
      <c r="R109" s="11">
        <f t="shared" si="11"/>
        <v>0.03040288842</v>
      </c>
      <c r="S109" s="17">
        <v>2015.0</v>
      </c>
      <c r="T109" s="29">
        <f t="shared" si="12"/>
        <v>0.03258566877</v>
      </c>
      <c r="U109" s="15">
        <v>2120.0</v>
      </c>
      <c r="V109" s="11">
        <f t="shared" si="13"/>
        <v>0.0626089011</v>
      </c>
      <c r="W109" s="15">
        <v>2282.0</v>
      </c>
      <c r="X109" s="11">
        <f t="shared" si="14"/>
        <v>0.06072540515</v>
      </c>
      <c r="Y109" s="15">
        <v>998.0</v>
      </c>
      <c r="Z109" s="11">
        <f t="shared" si="15"/>
        <v>0.02844844788</v>
      </c>
      <c r="AA109" s="15">
        <v>1090.0</v>
      </c>
      <c r="AB109" s="11">
        <f t="shared" si="16"/>
        <v>0.03100554686</v>
      </c>
      <c r="AC109" s="15">
        <v>1940.0</v>
      </c>
      <c r="AD109" s="11">
        <f t="shared" si="17"/>
        <v>0.02287897729</v>
      </c>
      <c r="AE109" s="15">
        <v>1270.0</v>
      </c>
      <c r="AF109" s="20">
        <f t="shared" si="19"/>
        <v>0.0652453121</v>
      </c>
      <c r="AG109" s="19">
        <v>2079.0</v>
      </c>
      <c r="AH109" s="15">
        <v>1351.0</v>
      </c>
      <c r="AI109" s="15">
        <v>1822.0</v>
      </c>
      <c r="AJ109" s="15">
        <v>1435.0</v>
      </c>
    </row>
    <row r="110" ht="15.75" customHeight="1">
      <c r="A110" s="6" t="s">
        <v>73</v>
      </c>
      <c r="B110" s="6" t="s">
        <v>33</v>
      </c>
      <c r="C110" s="6" t="s">
        <v>60</v>
      </c>
      <c r="D110" s="4" t="s">
        <v>201</v>
      </c>
      <c r="E110" s="19">
        <f t="shared" si="1"/>
        <v>1502.6</v>
      </c>
      <c r="F110" s="11">
        <f t="shared" si="2"/>
        <v>0.03183184583</v>
      </c>
      <c r="G110" s="15">
        <f t="shared" si="3"/>
        <v>1377.2</v>
      </c>
      <c r="H110" s="11">
        <f t="shared" si="4"/>
        <v>0.03390464749</v>
      </c>
      <c r="I110" s="15">
        <f t="shared" si="5"/>
        <v>1628</v>
      </c>
      <c r="J110" s="20">
        <f t="shared" si="6"/>
        <v>0.03026652389</v>
      </c>
      <c r="K110" s="15">
        <f t="shared" si="7"/>
        <v>2035</v>
      </c>
      <c r="L110" s="11">
        <f t="shared" si="8"/>
        <v>0.03072347364</v>
      </c>
      <c r="M110" s="19">
        <v>1143.0</v>
      </c>
      <c r="N110" s="11">
        <f t="shared" si="9"/>
        <v>0.04171532847</v>
      </c>
      <c r="O110" s="15">
        <v>2056.0</v>
      </c>
      <c r="P110" s="11">
        <f t="shared" si="10"/>
        <v>0.03065225494</v>
      </c>
      <c r="Q110" s="15">
        <v>2073.0</v>
      </c>
      <c r="R110" s="11">
        <f t="shared" si="11"/>
        <v>0.02970084246</v>
      </c>
      <c r="S110" s="17">
        <v>1976.0</v>
      </c>
      <c r="T110" s="29">
        <f t="shared" si="12"/>
        <v>0.03195497841</v>
      </c>
      <c r="U110" s="15">
        <v>1593.0</v>
      </c>
      <c r="V110" s="11">
        <f t="shared" si="13"/>
        <v>0.04704527332</v>
      </c>
      <c r="W110" s="15">
        <v>1648.0</v>
      </c>
      <c r="X110" s="11">
        <f t="shared" si="14"/>
        <v>0.04385428032</v>
      </c>
      <c r="Y110" s="15">
        <v>980.0</v>
      </c>
      <c r="Z110" s="11">
        <f t="shared" si="15"/>
        <v>0.02793534962</v>
      </c>
      <c r="AA110" s="15">
        <v>1055.0</v>
      </c>
      <c r="AB110" s="11">
        <f t="shared" si="16"/>
        <v>0.03000995591</v>
      </c>
      <c r="AC110" s="15">
        <v>1796.0</v>
      </c>
      <c r="AD110" s="11">
        <f t="shared" si="17"/>
        <v>0.02118074392</v>
      </c>
      <c r="AE110" s="15">
        <v>706.0</v>
      </c>
      <c r="AF110" s="20">
        <f t="shared" si="19"/>
        <v>0.03627022862</v>
      </c>
      <c r="AG110" s="19">
        <v>1978.0</v>
      </c>
      <c r="AH110" s="15">
        <v>1312.0</v>
      </c>
      <c r="AI110" s="15">
        <v>1636.0</v>
      </c>
      <c r="AJ110" s="15">
        <v>1231.0</v>
      </c>
    </row>
    <row r="111" ht="15.75" customHeight="1">
      <c r="A111" s="6" t="s">
        <v>78</v>
      </c>
      <c r="B111" s="6" t="s">
        <v>33</v>
      </c>
      <c r="C111" s="6" t="s">
        <v>287</v>
      </c>
      <c r="D111" s="4" t="s">
        <v>196</v>
      </c>
      <c r="E111" s="19">
        <f t="shared" si="1"/>
        <v>1837.9</v>
      </c>
      <c r="F111" s="11">
        <f t="shared" si="2"/>
        <v>0.03893501228</v>
      </c>
      <c r="G111" s="15">
        <f t="shared" si="3"/>
        <v>2054.2</v>
      </c>
      <c r="H111" s="11">
        <f t="shared" si="4"/>
        <v>0.05057139622</v>
      </c>
      <c r="I111" s="15">
        <f t="shared" si="5"/>
        <v>1621.6</v>
      </c>
      <c r="J111" s="20">
        <f t="shared" si="6"/>
        <v>0.03014754001</v>
      </c>
      <c r="K111" s="15">
        <f t="shared" si="7"/>
        <v>2071.333333</v>
      </c>
      <c r="L111" s="11">
        <f t="shared" si="8"/>
        <v>0.03127201723</v>
      </c>
      <c r="M111" s="19">
        <v>1095.0</v>
      </c>
      <c r="N111" s="11">
        <f t="shared" si="9"/>
        <v>0.03996350365</v>
      </c>
      <c r="O111" s="15">
        <v>2098.0</v>
      </c>
      <c r="P111" s="11">
        <f t="shared" si="10"/>
        <v>0.03127841968</v>
      </c>
      <c r="Q111" s="15">
        <v>2147.0</v>
      </c>
      <c r="R111" s="11">
        <f t="shared" si="11"/>
        <v>0.03076107513</v>
      </c>
      <c r="S111" s="17">
        <v>1969.0</v>
      </c>
      <c r="T111" s="29">
        <f t="shared" si="12"/>
        <v>0.03184177758</v>
      </c>
      <c r="U111" s="15">
        <v>2579.0</v>
      </c>
      <c r="V111" s="11">
        <f t="shared" si="13"/>
        <v>0.07616431883</v>
      </c>
      <c r="W111" s="15">
        <v>2401.0</v>
      </c>
      <c r="X111" s="11">
        <f t="shared" si="14"/>
        <v>0.06389206738</v>
      </c>
      <c r="Y111" s="15">
        <v>862.0</v>
      </c>
      <c r="Z111" s="11">
        <f t="shared" si="15"/>
        <v>0.02457170548</v>
      </c>
      <c r="AA111" s="15">
        <v>1032.0</v>
      </c>
      <c r="AB111" s="11">
        <f t="shared" si="16"/>
        <v>0.02935571043</v>
      </c>
      <c r="AC111" s="15">
        <v>2287.0</v>
      </c>
      <c r="AD111" s="11">
        <f t="shared" si="17"/>
        <v>0.02697124797</v>
      </c>
      <c r="AE111" s="15">
        <v>1909.0</v>
      </c>
      <c r="AF111" s="20">
        <f t="shared" si="19"/>
        <v>0.09807346519</v>
      </c>
      <c r="AG111" s="19">
        <v>2036.0</v>
      </c>
      <c r="AH111" s="15">
        <v>1390.0</v>
      </c>
      <c r="AI111" s="15">
        <v>1621.0</v>
      </c>
      <c r="AJ111" s="15">
        <v>1080.0</v>
      </c>
    </row>
    <row r="112" ht="15.75" customHeight="1">
      <c r="A112" s="6" t="s">
        <v>78</v>
      </c>
      <c r="B112" s="6" t="s">
        <v>33</v>
      </c>
      <c r="C112" s="6" t="s">
        <v>62</v>
      </c>
      <c r="D112" s="4" t="s">
        <v>202</v>
      </c>
      <c r="E112" s="19">
        <f t="shared" si="1"/>
        <v>1488.6</v>
      </c>
      <c r="F112" s="11">
        <f t="shared" si="2"/>
        <v>0.03153526268</v>
      </c>
      <c r="G112" s="15">
        <f t="shared" si="3"/>
        <v>1399</v>
      </c>
      <c r="H112" s="11">
        <f t="shared" si="4"/>
        <v>0.03444133157</v>
      </c>
      <c r="I112" s="15">
        <f t="shared" si="5"/>
        <v>1578.2</v>
      </c>
      <c r="J112" s="20">
        <f t="shared" si="6"/>
        <v>0.02934068059</v>
      </c>
      <c r="K112" s="15">
        <f t="shared" si="7"/>
        <v>1944.333333</v>
      </c>
      <c r="L112" s="11">
        <f t="shared" si="8"/>
        <v>0.02935463092</v>
      </c>
      <c r="M112" s="19">
        <v>1011.0</v>
      </c>
      <c r="N112" s="11">
        <f t="shared" si="9"/>
        <v>0.03689781022</v>
      </c>
      <c r="O112" s="15">
        <v>2004.0</v>
      </c>
      <c r="P112" s="11">
        <f t="shared" si="10"/>
        <v>0.02987700335</v>
      </c>
      <c r="Q112" s="15">
        <v>2022.0</v>
      </c>
      <c r="R112" s="11">
        <f t="shared" si="11"/>
        <v>0.02897014156</v>
      </c>
      <c r="S112" s="17">
        <v>1807.0</v>
      </c>
      <c r="T112" s="29">
        <f t="shared" si="12"/>
        <v>0.02922198684</v>
      </c>
      <c r="U112" s="15">
        <v>1680.0</v>
      </c>
      <c r="V112" s="11">
        <f t="shared" si="13"/>
        <v>0.04961460087</v>
      </c>
      <c r="W112" s="15">
        <v>1651.0</v>
      </c>
      <c r="X112" s="11">
        <f t="shared" si="14"/>
        <v>0.04393411214</v>
      </c>
      <c r="Y112" s="15">
        <v>815.0</v>
      </c>
      <c r="Z112" s="11">
        <f t="shared" si="15"/>
        <v>0.02323194892</v>
      </c>
      <c r="AA112" s="15">
        <v>1243.0</v>
      </c>
      <c r="AB112" s="11">
        <f t="shared" si="16"/>
        <v>0.03535770161</v>
      </c>
      <c r="AC112" s="15">
        <v>1955.0</v>
      </c>
      <c r="AD112" s="11">
        <f t="shared" si="17"/>
        <v>0.0230558766</v>
      </c>
      <c r="AE112" s="15">
        <v>698.0</v>
      </c>
      <c r="AF112" s="20">
        <f t="shared" si="19"/>
        <v>0.03585923452</v>
      </c>
      <c r="AG112" s="19">
        <v>1946.0</v>
      </c>
      <c r="AH112" s="15">
        <v>1311.0</v>
      </c>
      <c r="AI112" s="15">
        <v>1601.0</v>
      </c>
      <c r="AJ112" s="15">
        <v>1136.0</v>
      </c>
    </row>
    <row r="113" ht="15.75" customHeight="1">
      <c r="A113" s="6" t="s">
        <v>75</v>
      </c>
      <c r="B113" s="6" t="s">
        <v>33</v>
      </c>
      <c r="C113" s="6" t="s">
        <v>54</v>
      </c>
      <c r="D113" s="4" t="s">
        <v>203</v>
      </c>
      <c r="E113" s="19">
        <f t="shared" si="1"/>
        <v>1472.1</v>
      </c>
      <c r="F113" s="11">
        <f t="shared" si="2"/>
        <v>0.03118571825</v>
      </c>
      <c r="G113" s="15">
        <f t="shared" si="3"/>
        <v>1372.8</v>
      </c>
      <c r="H113" s="11">
        <f t="shared" si="4"/>
        <v>0.03379632593</v>
      </c>
      <c r="I113" s="15">
        <f t="shared" si="5"/>
        <v>1571.4</v>
      </c>
      <c r="J113" s="20">
        <f t="shared" si="6"/>
        <v>0.02921426022</v>
      </c>
      <c r="K113" s="15">
        <f t="shared" si="7"/>
        <v>1874.666667</v>
      </c>
      <c r="L113" s="11">
        <f t="shared" si="8"/>
        <v>0.02830283632</v>
      </c>
      <c r="M113" s="19">
        <v>1031.0</v>
      </c>
      <c r="N113" s="11">
        <f t="shared" si="9"/>
        <v>0.03762773723</v>
      </c>
      <c r="O113" s="15">
        <v>1908.0</v>
      </c>
      <c r="P113" s="11">
        <f t="shared" si="10"/>
        <v>0.02844576966</v>
      </c>
      <c r="Q113" s="15">
        <v>1941.0</v>
      </c>
      <c r="R113" s="11">
        <f t="shared" si="11"/>
        <v>0.0278096166</v>
      </c>
      <c r="S113" s="17">
        <v>1775.0</v>
      </c>
      <c r="T113" s="29">
        <f t="shared" si="12"/>
        <v>0.02870449731</v>
      </c>
      <c r="U113" s="15">
        <v>1615.0</v>
      </c>
      <c r="V113" s="11">
        <f t="shared" si="13"/>
        <v>0.04769498833</v>
      </c>
      <c r="W113" s="15">
        <v>1666.0</v>
      </c>
      <c r="X113" s="11">
        <f t="shared" si="14"/>
        <v>0.04433327124</v>
      </c>
      <c r="Y113" s="15">
        <v>894.0</v>
      </c>
      <c r="Z113" s="11">
        <f t="shared" si="15"/>
        <v>0.02548388016</v>
      </c>
      <c r="AA113" s="15">
        <v>1339.0</v>
      </c>
      <c r="AB113" s="11">
        <f t="shared" si="16"/>
        <v>0.03808846537</v>
      </c>
      <c r="AC113" s="15">
        <v>1678.0</v>
      </c>
      <c r="AD113" s="11">
        <f t="shared" si="17"/>
        <v>0.01978913602</v>
      </c>
      <c r="AE113" s="15">
        <v>874.0</v>
      </c>
      <c r="AF113" s="20">
        <f t="shared" si="19"/>
        <v>0.04490110455</v>
      </c>
      <c r="AG113" s="19">
        <v>1897.0</v>
      </c>
      <c r="AH113" s="15">
        <v>1284.0</v>
      </c>
      <c r="AI113" s="15">
        <v>1639.0</v>
      </c>
      <c r="AJ113" s="15">
        <v>1090.0</v>
      </c>
    </row>
    <row r="114" ht="15.75" customHeight="1">
      <c r="A114" s="6" t="s">
        <v>75</v>
      </c>
      <c r="B114" s="6" t="s">
        <v>33</v>
      </c>
      <c r="C114" s="6" t="s">
        <v>287</v>
      </c>
      <c r="D114" s="4" t="s">
        <v>206</v>
      </c>
      <c r="E114" s="19">
        <f t="shared" si="1"/>
        <v>1386.1</v>
      </c>
      <c r="F114" s="11">
        <f t="shared" si="2"/>
        <v>0.02936385033</v>
      </c>
      <c r="G114" s="15">
        <f t="shared" si="3"/>
        <v>1225.8</v>
      </c>
      <c r="H114" s="11">
        <f t="shared" si="4"/>
        <v>0.03017740117</v>
      </c>
      <c r="I114" s="15">
        <f t="shared" si="5"/>
        <v>1546.4</v>
      </c>
      <c r="J114" s="20">
        <f t="shared" si="6"/>
        <v>0.02874947945</v>
      </c>
      <c r="K114" s="15">
        <f t="shared" si="7"/>
        <v>2013.333333</v>
      </c>
      <c r="L114" s="11">
        <f t="shared" si="8"/>
        <v>0.03039636049</v>
      </c>
      <c r="M114" s="19">
        <v>977.0</v>
      </c>
      <c r="N114" s="11">
        <f t="shared" si="9"/>
        <v>0.03565693431</v>
      </c>
      <c r="O114" s="15">
        <v>2051.0</v>
      </c>
      <c r="P114" s="11">
        <f t="shared" si="10"/>
        <v>0.03057771152</v>
      </c>
      <c r="Q114" s="15">
        <v>2088.0</v>
      </c>
      <c r="R114" s="11">
        <f t="shared" si="11"/>
        <v>0.02991575448</v>
      </c>
      <c r="S114" s="17">
        <v>1901.0</v>
      </c>
      <c r="T114" s="29">
        <f t="shared" si="12"/>
        <v>0.03074211233</v>
      </c>
      <c r="U114" s="15">
        <v>1157.0</v>
      </c>
      <c r="V114" s="11">
        <f t="shared" si="13"/>
        <v>0.0341691031</v>
      </c>
      <c r="W114" s="15">
        <v>1160.0</v>
      </c>
      <c r="X114" s="11">
        <f t="shared" si="14"/>
        <v>0.03086830411</v>
      </c>
      <c r="Y114" s="15">
        <v>786.0</v>
      </c>
      <c r="Z114" s="11">
        <f t="shared" si="15"/>
        <v>0.02240529061</v>
      </c>
      <c r="AA114" s="15">
        <v>906.0</v>
      </c>
      <c r="AB114" s="11">
        <f t="shared" si="16"/>
        <v>0.02577158299</v>
      </c>
      <c r="AC114" s="15">
        <v>1751.0</v>
      </c>
      <c r="AD114" s="11">
        <f t="shared" si="17"/>
        <v>0.02065004599</v>
      </c>
      <c r="AE114" s="15">
        <v>1084.0</v>
      </c>
      <c r="AF114" s="20">
        <f t="shared" si="19"/>
        <v>0.05568969946</v>
      </c>
      <c r="AG114" s="19">
        <v>1994.0</v>
      </c>
      <c r="AH114" s="15">
        <v>1333.0</v>
      </c>
      <c r="AI114" s="15">
        <v>1771.0</v>
      </c>
      <c r="AJ114" s="15">
        <v>1263.0</v>
      </c>
    </row>
    <row r="115" ht="15.75" customHeight="1">
      <c r="A115" s="6" t="s">
        <v>75</v>
      </c>
      <c r="B115" s="6" t="s">
        <v>33</v>
      </c>
      <c r="C115" s="6" t="s">
        <v>54</v>
      </c>
      <c r="D115" s="4" t="s">
        <v>214</v>
      </c>
      <c r="E115" s="19">
        <f t="shared" si="1"/>
        <v>1151.2</v>
      </c>
      <c r="F115" s="11">
        <f t="shared" si="2"/>
        <v>0.02438760876</v>
      </c>
      <c r="G115" s="15">
        <f t="shared" si="3"/>
        <v>826.6</v>
      </c>
      <c r="H115" s="11">
        <f t="shared" si="4"/>
        <v>0.02034968168</v>
      </c>
      <c r="I115" s="15">
        <f t="shared" si="5"/>
        <v>1475.8</v>
      </c>
      <c r="J115" s="20">
        <f t="shared" si="6"/>
        <v>0.02743693854</v>
      </c>
      <c r="K115" s="15">
        <f t="shared" si="7"/>
        <v>1846</v>
      </c>
      <c r="L115" s="11">
        <f t="shared" si="8"/>
        <v>0.02787004046</v>
      </c>
      <c r="M115" s="19">
        <v>983.0</v>
      </c>
      <c r="N115" s="11">
        <f t="shared" si="9"/>
        <v>0.03587591241</v>
      </c>
      <c r="O115" s="15">
        <v>1881.0</v>
      </c>
      <c r="P115" s="11">
        <f t="shared" si="10"/>
        <v>0.02804323518</v>
      </c>
      <c r="Q115" s="15">
        <v>1894.0</v>
      </c>
      <c r="R115" s="11">
        <f t="shared" si="11"/>
        <v>0.02713622557</v>
      </c>
      <c r="S115" s="17">
        <v>1763.0</v>
      </c>
      <c r="T115" s="29">
        <f t="shared" si="12"/>
        <v>0.02851043873</v>
      </c>
      <c r="U115" s="15">
        <v>638.0</v>
      </c>
      <c r="V115" s="11">
        <f t="shared" si="13"/>
        <v>0.01884173533</v>
      </c>
      <c r="W115" s="15">
        <v>628.0</v>
      </c>
      <c r="X115" s="11">
        <f t="shared" si="14"/>
        <v>0.01671146119</v>
      </c>
      <c r="Y115" s="15">
        <v>834.0</v>
      </c>
      <c r="Z115" s="11">
        <f t="shared" si="15"/>
        <v>0.02377355264</v>
      </c>
      <c r="AA115" s="15">
        <v>1007.0</v>
      </c>
      <c r="AB115" s="11">
        <f t="shared" si="16"/>
        <v>0.02864457403</v>
      </c>
      <c r="AC115" s="15">
        <v>1804.0</v>
      </c>
      <c r="AD115" s="11">
        <f t="shared" si="17"/>
        <v>0.02127509022</v>
      </c>
      <c r="AE115" s="15">
        <v>80.0</v>
      </c>
      <c r="AF115" s="20">
        <f t="shared" si="19"/>
        <v>0.00410994092</v>
      </c>
      <c r="AG115" s="19">
        <v>1821.0</v>
      </c>
      <c r="AH115" s="15">
        <v>1250.0</v>
      </c>
      <c r="AI115" s="15">
        <v>1465.0</v>
      </c>
      <c r="AJ115" s="15">
        <v>1063.0</v>
      </c>
    </row>
    <row r="116" ht="15.75" customHeight="1">
      <c r="A116" s="6" t="s">
        <v>78</v>
      </c>
      <c r="B116" s="6" t="s">
        <v>33</v>
      </c>
      <c r="C116" s="6" t="s">
        <v>52</v>
      </c>
      <c r="D116" s="4" t="s">
        <v>204</v>
      </c>
      <c r="E116" s="19">
        <f t="shared" si="1"/>
        <v>1467.1</v>
      </c>
      <c r="F116" s="11">
        <f t="shared" si="2"/>
        <v>0.0310797957</v>
      </c>
      <c r="G116" s="15">
        <f t="shared" si="3"/>
        <v>1471</v>
      </c>
      <c r="H116" s="11">
        <f t="shared" si="4"/>
        <v>0.03621386614</v>
      </c>
      <c r="I116" s="15">
        <f t="shared" si="5"/>
        <v>1463.2</v>
      </c>
      <c r="J116" s="20">
        <f t="shared" si="6"/>
        <v>0.02720268904</v>
      </c>
      <c r="K116" s="15">
        <f t="shared" si="7"/>
        <v>1844.666667</v>
      </c>
      <c r="L116" s="11">
        <f t="shared" si="8"/>
        <v>0.02784991042</v>
      </c>
      <c r="M116" s="19">
        <v>1168.0</v>
      </c>
      <c r="N116" s="11">
        <f t="shared" si="9"/>
        <v>0.04262773723</v>
      </c>
      <c r="O116" s="15">
        <v>1869.0</v>
      </c>
      <c r="P116" s="11">
        <f t="shared" si="10"/>
        <v>0.02786433097</v>
      </c>
      <c r="Q116" s="15">
        <v>1884.0</v>
      </c>
      <c r="R116" s="11">
        <f t="shared" si="11"/>
        <v>0.02699295089</v>
      </c>
      <c r="S116" s="17">
        <v>1781.0</v>
      </c>
      <c r="T116" s="29">
        <f t="shared" si="12"/>
        <v>0.02880152659</v>
      </c>
      <c r="U116" s="15">
        <v>1529.0</v>
      </c>
      <c r="V116" s="11">
        <f t="shared" si="13"/>
        <v>0.04515519329</v>
      </c>
      <c r="W116" s="15">
        <v>1636.0</v>
      </c>
      <c r="X116" s="11">
        <f t="shared" si="14"/>
        <v>0.04353495303</v>
      </c>
      <c r="Y116" s="15">
        <v>823.0</v>
      </c>
      <c r="Z116" s="11">
        <f t="shared" si="15"/>
        <v>0.02345999259</v>
      </c>
      <c r="AA116" s="15">
        <v>959.0</v>
      </c>
      <c r="AB116" s="11">
        <f t="shared" si="16"/>
        <v>0.02727919215</v>
      </c>
      <c r="AC116" s="15">
        <v>1834.0</v>
      </c>
      <c r="AD116" s="11">
        <f t="shared" si="17"/>
        <v>0.02162888884</v>
      </c>
      <c r="AE116" s="15">
        <v>1188.0</v>
      </c>
      <c r="AF116" s="20">
        <f t="shared" si="19"/>
        <v>0.06103262266</v>
      </c>
      <c r="AG116" s="19">
        <v>1786.0</v>
      </c>
      <c r="AH116" s="15">
        <v>1255.0</v>
      </c>
      <c r="AI116" s="15">
        <v>1607.0</v>
      </c>
      <c r="AJ116" s="15">
        <v>1059.0</v>
      </c>
    </row>
    <row r="117" ht="15.75" customHeight="1">
      <c r="A117" s="6" t="s">
        <v>75</v>
      </c>
      <c r="B117" s="6" t="s">
        <v>33</v>
      </c>
      <c r="C117" s="6" t="s">
        <v>60</v>
      </c>
      <c r="D117" s="4" t="s">
        <v>211</v>
      </c>
      <c r="E117" s="19">
        <f t="shared" si="1"/>
        <v>1217.2</v>
      </c>
      <c r="F117" s="11">
        <f t="shared" si="2"/>
        <v>0.02578578646</v>
      </c>
      <c r="G117" s="15">
        <f t="shared" si="3"/>
        <v>992.4</v>
      </c>
      <c r="H117" s="11">
        <f t="shared" si="4"/>
        <v>0.02443143492</v>
      </c>
      <c r="I117" s="15">
        <f t="shared" si="5"/>
        <v>1442</v>
      </c>
      <c r="J117" s="20">
        <f t="shared" si="6"/>
        <v>0.02680855494</v>
      </c>
      <c r="K117" s="15">
        <f t="shared" si="7"/>
        <v>1854.333333</v>
      </c>
      <c r="L117" s="11">
        <f t="shared" si="8"/>
        <v>0.02799585321</v>
      </c>
      <c r="M117" s="19">
        <v>1001.0</v>
      </c>
      <c r="N117" s="11">
        <f t="shared" si="9"/>
        <v>0.03653284672</v>
      </c>
      <c r="O117" s="15">
        <v>1899.0</v>
      </c>
      <c r="P117" s="11">
        <f t="shared" si="10"/>
        <v>0.0283115915</v>
      </c>
      <c r="Q117" s="15">
        <v>1916.0</v>
      </c>
      <c r="R117" s="11">
        <f t="shared" si="11"/>
        <v>0.02745142988</v>
      </c>
      <c r="S117" s="17">
        <v>1748.0</v>
      </c>
      <c r="T117" s="29">
        <f t="shared" si="12"/>
        <v>0.02826786552</v>
      </c>
      <c r="U117" s="15">
        <v>588.0</v>
      </c>
      <c r="V117" s="11">
        <f t="shared" si="13"/>
        <v>0.0173651103</v>
      </c>
      <c r="W117" s="15">
        <v>591.0</v>
      </c>
      <c r="X117" s="11">
        <f t="shared" si="14"/>
        <v>0.01572686873</v>
      </c>
      <c r="Y117" s="15">
        <v>814.0</v>
      </c>
      <c r="Z117" s="11">
        <f t="shared" si="15"/>
        <v>0.02320344346</v>
      </c>
      <c r="AA117" s="15">
        <v>833.0</v>
      </c>
      <c r="AB117" s="11">
        <f t="shared" si="16"/>
        <v>0.02369506471</v>
      </c>
      <c r="AC117" s="15">
        <v>2302.0</v>
      </c>
      <c r="AD117" s="11">
        <f t="shared" si="17"/>
        <v>0.02714814727</v>
      </c>
      <c r="AE117" s="15">
        <v>480.0</v>
      </c>
      <c r="AF117" s="20">
        <f t="shared" si="19"/>
        <v>0.02465964552</v>
      </c>
      <c r="AG117" s="19">
        <v>1821.0</v>
      </c>
      <c r="AH117" s="15">
        <v>1257.0</v>
      </c>
      <c r="AI117" s="15">
        <v>1611.0</v>
      </c>
      <c r="AJ117" s="15">
        <v>1173.0</v>
      </c>
    </row>
    <row r="118" ht="15.75" customHeight="1">
      <c r="A118" s="6" t="s">
        <v>78</v>
      </c>
      <c r="B118" s="6" t="s">
        <v>33</v>
      </c>
      <c r="C118" s="6" t="s">
        <v>287</v>
      </c>
      <c r="D118" s="4" t="s">
        <v>205</v>
      </c>
      <c r="E118" s="19">
        <f t="shared" si="1"/>
        <v>1440.5</v>
      </c>
      <c r="F118" s="11">
        <f t="shared" si="2"/>
        <v>0.03051628771</v>
      </c>
      <c r="G118" s="15">
        <f t="shared" si="3"/>
        <v>1484.2</v>
      </c>
      <c r="H118" s="11">
        <f t="shared" si="4"/>
        <v>0.03653883082</v>
      </c>
      <c r="I118" s="15">
        <f t="shared" si="5"/>
        <v>1396.8</v>
      </c>
      <c r="J118" s="20">
        <f t="shared" si="6"/>
        <v>0.0259682313</v>
      </c>
      <c r="K118" s="15">
        <f t="shared" si="7"/>
        <v>1584.666667</v>
      </c>
      <c r="L118" s="11">
        <f t="shared" si="8"/>
        <v>0.02392455261</v>
      </c>
      <c r="M118" s="19">
        <v>739.0</v>
      </c>
      <c r="N118" s="11">
        <f t="shared" si="9"/>
        <v>0.02697080292</v>
      </c>
      <c r="O118" s="15">
        <v>1608.0</v>
      </c>
      <c r="P118" s="11">
        <f t="shared" si="10"/>
        <v>0.02397316437</v>
      </c>
      <c r="Q118" s="15">
        <v>1632.0</v>
      </c>
      <c r="R118" s="11">
        <f t="shared" si="11"/>
        <v>0.02338242879</v>
      </c>
      <c r="S118" s="17">
        <v>1514.0</v>
      </c>
      <c r="T118" s="29">
        <f t="shared" si="12"/>
        <v>0.02448372334</v>
      </c>
      <c r="U118" s="15">
        <v>1711.0</v>
      </c>
      <c r="V118" s="11">
        <f t="shared" si="13"/>
        <v>0.05053010838</v>
      </c>
      <c r="W118" s="15">
        <v>1659.0</v>
      </c>
      <c r="X118" s="11">
        <f t="shared" si="14"/>
        <v>0.04414699699</v>
      </c>
      <c r="Y118" s="15">
        <v>1012.0</v>
      </c>
      <c r="Z118" s="11">
        <f t="shared" si="15"/>
        <v>0.0288475243</v>
      </c>
      <c r="AA118" s="15">
        <v>1218.0</v>
      </c>
      <c r="AB118" s="11">
        <f t="shared" si="16"/>
        <v>0.03464656521</v>
      </c>
      <c r="AC118" s="15">
        <v>1455.0</v>
      </c>
      <c r="AD118" s="11">
        <f t="shared" si="17"/>
        <v>0.01715923296</v>
      </c>
      <c r="AE118" s="15">
        <v>1857.0</v>
      </c>
      <c r="AF118" s="20">
        <f t="shared" si="19"/>
        <v>0.0954020036</v>
      </c>
      <c r="AG118" s="19">
        <v>1515.0</v>
      </c>
      <c r="AH118" s="15">
        <v>1005.0</v>
      </c>
      <c r="AI118" s="15">
        <v>1219.0</v>
      </c>
      <c r="AJ118" s="15">
        <v>849.0</v>
      </c>
    </row>
    <row r="119" ht="15.75" customHeight="1">
      <c r="A119" s="6" t="s">
        <v>75</v>
      </c>
      <c r="B119" s="6" t="s">
        <v>33</v>
      </c>
      <c r="C119" s="6" t="s">
        <v>60</v>
      </c>
      <c r="D119" s="4" t="s">
        <v>209</v>
      </c>
      <c r="E119" s="19">
        <f t="shared" si="1"/>
        <v>1258.7</v>
      </c>
      <c r="F119" s="11">
        <f t="shared" si="2"/>
        <v>0.02666494366</v>
      </c>
      <c r="G119" s="15">
        <f t="shared" si="3"/>
        <v>1126.2</v>
      </c>
      <c r="H119" s="11">
        <f t="shared" si="4"/>
        <v>0.027725395</v>
      </c>
      <c r="I119" s="15">
        <f t="shared" si="5"/>
        <v>1391.2</v>
      </c>
      <c r="J119" s="20">
        <f t="shared" si="6"/>
        <v>0.02586412041</v>
      </c>
      <c r="K119" s="15">
        <f t="shared" si="7"/>
        <v>1677.333333</v>
      </c>
      <c r="L119" s="11">
        <f t="shared" si="8"/>
        <v>0.02532359039</v>
      </c>
      <c r="M119" s="19">
        <v>859.0</v>
      </c>
      <c r="N119" s="11">
        <f t="shared" si="9"/>
        <v>0.03135036496</v>
      </c>
      <c r="O119" s="15">
        <v>1712.0</v>
      </c>
      <c r="P119" s="11">
        <f t="shared" si="10"/>
        <v>0.02552366754</v>
      </c>
      <c r="Q119" s="15">
        <v>1712.0</v>
      </c>
      <c r="R119" s="11">
        <f t="shared" si="11"/>
        <v>0.02452862628</v>
      </c>
      <c r="S119" s="17">
        <v>1608.0</v>
      </c>
      <c r="T119" s="29">
        <f t="shared" si="12"/>
        <v>0.02600384883</v>
      </c>
      <c r="U119" s="15">
        <v>1676.0</v>
      </c>
      <c r="V119" s="11">
        <f t="shared" si="13"/>
        <v>0.04949647087</v>
      </c>
      <c r="W119" s="15">
        <v>1661.0</v>
      </c>
      <c r="X119" s="11">
        <f t="shared" si="14"/>
        <v>0.04420021821</v>
      </c>
      <c r="Y119" s="15">
        <v>848.0</v>
      </c>
      <c r="Z119" s="11">
        <f t="shared" si="15"/>
        <v>0.02417262906</v>
      </c>
      <c r="AA119" s="15">
        <v>1076.0</v>
      </c>
      <c r="AB119" s="11">
        <f t="shared" si="16"/>
        <v>0.03060731048</v>
      </c>
      <c r="AC119" s="15">
        <v>1280.0</v>
      </c>
      <c r="AD119" s="11">
        <f t="shared" si="17"/>
        <v>0.01509540769</v>
      </c>
      <c r="AE119" s="15">
        <v>155.0</v>
      </c>
      <c r="AF119" s="20">
        <f t="shared" si="19"/>
        <v>0.007963010532</v>
      </c>
      <c r="AG119" s="19">
        <v>1643.0</v>
      </c>
      <c r="AH119" s="15">
        <v>1094.0</v>
      </c>
      <c r="AI119" s="15">
        <v>1238.0</v>
      </c>
      <c r="AJ119" s="15">
        <v>817.0</v>
      </c>
    </row>
    <row r="120" ht="15.75" customHeight="1">
      <c r="A120" s="6" t="s">
        <v>78</v>
      </c>
      <c r="B120" s="6" t="s">
        <v>33</v>
      </c>
      <c r="C120" s="6" t="s">
        <v>52</v>
      </c>
      <c r="D120" s="4" t="s">
        <v>208</v>
      </c>
      <c r="E120" s="19">
        <f t="shared" si="1"/>
        <v>1270.2</v>
      </c>
      <c r="F120" s="11">
        <f t="shared" si="2"/>
        <v>0.02690856553</v>
      </c>
      <c r="G120" s="15">
        <f t="shared" si="3"/>
        <v>1290</v>
      </c>
      <c r="H120" s="11">
        <f t="shared" si="4"/>
        <v>0.03175791117</v>
      </c>
      <c r="I120" s="15">
        <f t="shared" si="5"/>
        <v>1250.4</v>
      </c>
      <c r="J120" s="20">
        <f t="shared" si="6"/>
        <v>0.0232464751</v>
      </c>
      <c r="K120" s="15">
        <f t="shared" si="7"/>
        <v>1652</v>
      </c>
      <c r="L120" s="11">
        <f t="shared" si="8"/>
        <v>0.02494111963</v>
      </c>
      <c r="M120" s="19">
        <v>822.0</v>
      </c>
      <c r="N120" s="11">
        <f t="shared" si="9"/>
        <v>0.03</v>
      </c>
      <c r="O120" s="15">
        <v>1682.0</v>
      </c>
      <c r="P120" s="11">
        <f t="shared" si="10"/>
        <v>0.02507640701</v>
      </c>
      <c r="Q120" s="15">
        <v>1690.0</v>
      </c>
      <c r="R120" s="11">
        <f t="shared" si="11"/>
        <v>0.02421342197</v>
      </c>
      <c r="S120" s="17">
        <v>1584.0</v>
      </c>
      <c r="T120" s="29">
        <f t="shared" si="12"/>
        <v>0.02561573168</v>
      </c>
      <c r="U120" s="15">
        <v>1866.0</v>
      </c>
      <c r="V120" s="11">
        <f t="shared" si="13"/>
        <v>0.05510764596</v>
      </c>
      <c r="W120" s="15">
        <v>1862.0</v>
      </c>
      <c r="X120" s="11">
        <f t="shared" si="14"/>
        <v>0.04954895021</v>
      </c>
      <c r="Y120" s="15">
        <v>651.0</v>
      </c>
      <c r="Z120" s="11">
        <f t="shared" si="15"/>
        <v>0.01855705368</v>
      </c>
      <c r="AA120" s="15">
        <v>645.0</v>
      </c>
      <c r="AB120" s="11">
        <f t="shared" si="16"/>
        <v>0.01834731902</v>
      </c>
      <c r="AC120" s="15">
        <v>1530.0</v>
      </c>
      <c r="AD120" s="11">
        <f t="shared" si="17"/>
        <v>0.01804372951</v>
      </c>
      <c r="AE120" s="15">
        <v>370.0</v>
      </c>
      <c r="AF120" s="20">
        <f t="shared" si="19"/>
        <v>0.01900847675</v>
      </c>
      <c r="AG120" s="19">
        <v>1594.0</v>
      </c>
      <c r="AH120" s="15">
        <v>1080.0</v>
      </c>
      <c r="AI120" s="15">
        <v>1297.0</v>
      </c>
      <c r="AJ120" s="15">
        <v>839.0</v>
      </c>
    </row>
    <row r="121" ht="15.75" customHeight="1">
      <c r="A121" s="6" t="s">
        <v>75</v>
      </c>
      <c r="B121" s="6" t="s">
        <v>33</v>
      </c>
      <c r="C121" s="6" t="s">
        <v>60</v>
      </c>
      <c r="D121" s="4" t="s">
        <v>218</v>
      </c>
      <c r="E121" s="19">
        <f t="shared" si="1"/>
        <v>1057.1</v>
      </c>
      <c r="F121" s="11">
        <f t="shared" si="2"/>
        <v>0.0223941463</v>
      </c>
      <c r="G121" s="15">
        <f t="shared" si="3"/>
        <v>906</v>
      </c>
      <c r="H121" s="11">
        <f t="shared" si="4"/>
        <v>0.02230439342</v>
      </c>
      <c r="I121" s="15">
        <f t="shared" si="5"/>
        <v>1208.2</v>
      </c>
      <c r="J121" s="20">
        <f t="shared" si="6"/>
        <v>0.02246192516</v>
      </c>
      <c r="K121" s="15">
        <f t="shared" si="7"/>
        <v>1618.666667</v>
      </c>
      <c r="L121" s="11">
        <f t="shared" si="8"/>
        <v>0.02443786863</v>
      </c>
      <c r="M121" s="19">
        <v>1185.0</v>
      </c>
      <c r="N121" s="11">
        <f t="shared" si="9"/>
        <v>0.04324817518</v>
      </c>
      <c r="O121" s="15">
        <v>1643.0</v>
      </c>
      <c r="P121" s="11">
        <f t="shared" si="10"/>
        <v>0.02449496832</v>
      </c>
      <c r="Q121" s="15">
        <v>1663.0</v>
      </c>
      <c r="R121" s="11">
        <f t="shared" si="11"/>
        <v>0.02382658032</v>
      </c>
      <c r="S121" s="17">
        <v>1550.0</v>
      </c>
      <c r="T121" s="29">
        <f t="shared" si="12"/>
        <v>0.02506589906</v>
      </c>
      <c r="U121" s="15">
        <v>890.0</v>
      </c>
      <c r="V121" s="11">
        <f t="shared" si="13"/>
        <v>0.02628392546</v>
      </c>
      <c r="W121" s="15">
        <v>877.0</v>
      </c>
      <c r="X121" s="11">
        <f t="shared" si="14"/>
        <v>0.02333750233</v>
      </c>
      <c r="Y121" s="15">
        <v>542.0</v>
      </c>
      <c r="Z121" s="11">
        <f t="shared" si="15"/>
        <v>0.01544995867</v>
      </c>
      <c r="AA121" s="15">
        <v>643.0</v>
      </c>
      <c r="AB121" s="11">
        <f t="shared" si="16"/>
        <v>0.0182904281</v>
      </c>
      <c r="AC121" s="15">
        <v>1284.0</v>
      </c>
      <c r="AD121" s="11">
        <f t="shared" si="17"/>
        <v>0.01514258084</v>
      </c>
      <c r="AE121" s="15">
        <v>294.0</v>
      </c>
      <c r="AF121" s="20">
        <f t="shared" si="19"/>
        <v>0.01510403288</v>
      </c>
      <c r="AG121" s="19">
        <v>1594.0</v>
      </c>
      <c r="AH121" s="15">
        <v>1048.0</v>
      </c>
      <c r="AI121" s="15">
        <v>1322.0</v>
      </c>
      <c r="AJ121" s="15">
        <v>937.0</v>
      </c>
    </row>
    <row r="122" ht="15.75" customHeight="1">
      <c r="A122" s="6" t="s">
        <v>78</v>
      </c>
      <c r="B122" s="6" t="s">
        <v>33</v>
      </c>
      <c r="C122" s="6" t="s">
        <v>287</v>
      </c>
      <c r="D122" s="4" t="s">
        <v>215</v>
      </c>
      <c r="E122" s="19">
        <f t="shared" si="1"/>
        <v>1134.2</v>
      </c>
      <c r="F122" s="11">
        <f t="shared" si="2"/>
        <v>0.02402747207</v>
      </c>
      <c r="G122" s="15">
        <f t="shared" si="3"/>
        <v>1080.4</v>
      </c>
      <c r="H122" s="11">
        <f t="shared" si="4"/>
        <v>0.02659786607</v>
      </c>
      <c r="I122" s="15">
        <f t="shared" si="5"/>
        <v>1188</v>
      </c>
      <c r="J122" s="20">
        <f t="shared" si="6"/>
        <v>0.0220863823</v>
      </c>
      <c r="K122" s="15">
        <f t="shared" si="7"/>
        <v>1401</v>
      </c>
      <c r="L122" s="11">
        <f t="shared" si="8"/>
        <v>0.02115163959</v>
      </c>
      <c r="M122" s="19">
        <v>700.0</v>
      </c>
      <c r="N122" s="11">
        <f t="shared" si="9"/>
        <v>0.02554744526</v>
      </c>
      <c r="O122" s="15">
        <v>1415.0</v>
      </c>
      <c r="P122" s="11">
        <f t="shared" si="10"/>
        <v>0.0210957883</v>
      </c>
      <c r="Q122" s="15">
        <v>1432.0</v>
      </c>
      <c r="R122" s="11">
        <f t="shared" si="11"/>
        <v>0.02051693507</v>
      </c>
      <c r="S122" s="17">
        <v>1356.0</v>
      </c>
      <c r="T122" s="29">
        <f t="shared" si="12"/>
        <v>0.02192861879</v>
      </c>
      <c r="U122" s="15">
        <v>1216.0</v>
      </c>
      <c r="V122" s="11">
        <f t="shared" si="13"/>
        <v>0.03591152063</v>
      </c>
      <c r="W122" s="15">
        <v>1338.0</v>
      </c>
      <c r="X122" s="11">
        <f t="shared" si="14"/>
        <v>0.03560499215</v>
      </c>
      <c r="Y122" s="15">
        <v>692.0</v>
      </c>
      <c r="Z122" s="11">
        <f t="shared" si="15"/>
        <v>0.01972577749</v>
      </c>
      <c r="AA122" s="15">
        <v>1045.0</v>
      </c>
      <c r="AB122" s="11">
        <f t="shared" si="16"/>
        <v>0.02972550135</v>
      </c>
      <c r="AC122" s="15">
        <v>1268.0</v>
      </c>
      <c r="AD122" s="11">
        <f t="shared" si="17"/>
        <v>0.01495388825</v>
      </c>
      <c r="AE122" s="15">
        <v>880.0</v>
      </c>
      <c r="AF122" s="20">
        <f t="shared" si="19"/>
        <v>0.04520935012</v>
      </c>
      <c r="AG122" s="19">
        <v>1338.0</v>
      </c>
      <c r="AH122" s="15">
        <v>915.0</v>
      </c>
      <c r="AI122" s="15">
        <v>1168.0</v>
      </c>
      <c r="AJ122" s="15">
        <v>857.0</v>
      </c>
    </row>
    <row r="123" ht="15.75" customHeight="1">
      <c r="A123" s="6" t="s">
        <v>78</v>
      </c>
      <c r="B123" s="6" t="s">
        <v>33</v>
      </c>
      <c r="C123" s="6" t="s">
        <v>57</v>
      </c>
      <c r="D123" s="4" t="s">
        <v>213</v>
      </c>
      <c r="E123" s="19">
        <f t="shared" si="1"/>
        <v>1154.5</v>
      </c>
      <c r="F123" s="11">
        <f t="shared" si="2"/>
        <v>0.02445751764</v>
      </c>
      <c r="G123" s="15">
        <f t="shared" si="3"/>
        <v>1122.2</v>
      </c>
      <c r="H123" s="11">
        <f t="shared" si="4"/>
        <v>0.02762692086</v>
      </c>
      <c r="I123" s="15">
        <f t="shared" si="5"/>
        <v>1186.8</v>
      </c>
      <c r="J123" s="20">
        <f t="shared" si="6"/>
        <v>0.02206407282</v>
      </c>
      <c r="K123" s="15">
        <f t="shared" si="7"/>
        <v>1389.666667</v>
      </c>
      <c r="L123" s="11">
        <f t="shared" si="8"/>
        <v>0.02098053425</v>
      </c>
      <c r="M123" s="19">
        <v>720.0</v>
      </c>
      <c r="N123" s="11">
        <f t="shared" si="9"/>
        <v>0.02627737226</v>
      </c>
      <c r="O123" s="15">
        <v>1421.0</v>
      </c>
      <c r="P123" s="11">
        <f t="shared" si="10"/>
        <v>0.0211852404</v>
      </c>
      <c r="Q123" s="15">
        <v>1432.0</v>
      </c>
      <c r="R123" s="11">
        <f t="shared" si="11"/>
        <v>0.02051693507</v>
      </c>
      <c r="S123" s="17">
        <v>1316.0</v>
      </c>
      <c r="T123" s="29">
        <f t="shared" si="12"/>
        <v>0.02128175688</v>
      </c>
      <c r="U123" s="15">
        <v>1241.0</v>
      </c>
      <c r="V123" s="11">
        <f t="shared" si="13"/>
        <v>0.03664983314</v>
      </c>
      <c r="W123" s="15">
        <v>1417.0</v>
      </c>
      <c r="X123" s="11">
        <f t="shared" si="14"/>
        <v>0.0377072301</v>
      </c>
      <c r="Y123" s="15">
        <v>826.0</v>
      </c>
      <c r="Z123" s="11">
        <f t="shared" si="15"/>
        <v>0.02354550896</v>
      </c>
      <c r="AA123" s="15">
        <v>939.0</v>
      </c>
      <c r="AB123" s="11">
        <f t="shared" si="16"/>
        <v>0.02671028303</v>
      </c>
      <c r="AC123" s="15">
        <v>1354.0</v>
      </c>
      <c r="AD123" s="11">
        <f t="shared" si="17"/>
        <v>0.01596811095</v>
      </c>
      <c r="AE123" s="15">
        <v>879.0</v>
      </c>
      <c r="AF123" s="20">
        <f t="shared" si="19"/>
        <v>0.04515797585</v>
      </c>
      <c r="AG123" s="19">
        <v>1348.0</v>
      </c>
      <c r="AH123" s="15">
        <v>914.0</v>
      </c>
      <c r="AI123" s="15">
        <v>1082.0</v>
      </c>
      <c r="AJ123" s="15">
        <v>665.0</v>
      </c>
    </row>
    <row r="124" ht="15.75" customHeight="1">
      <c r="A124" s="6" t="s">
        <v>75</v>
      </c>
      <c r="B124" s="6" t="s">
        <v>33</v>
      </c>
      <c r="C124" s="6" t="s">
        <v>54</v>
      </c>
      <c r="D124" s="4" t="s">
        <v>220</v>
      </c>
      <c r="E124" s="19">
        <f t="shared" si="1"/>
        <v>1005.9</v>
      </c>
      <c r="F124" s="11">
        <f t="shared" si="2"/>
        <v>0.02130949935</v>
      </c>
      <c r="G124" s="15">
        <f t="shared" si="3"/>
        <v>846.4</v>
      </c>
      <c r="H124" s="11">
        <f t="shared" si="4"/>
        <v>0.02083712869</v>
      </c>
      <c r="I124" s="15">
        <f t="shared" si="5"/>
        <v>1165.4</v>
      </c>
      <c r="J124" s="20">
        <f t="shared" si="6"/>
        <v>0.02166622048</v>
      </c>
      <c r="K124" s="15">
        <f t="shared" si="7"/>
        <v>1480</v>
      </c>
      <c r="L124" s="11">
        <f t="shared" si="8"/>
        <v>0.02234434447</v>
      </c>
      <c r="M124" s="19">
        <v>722.0</v>
      </c>
      <c r="N124" s="11">
        <f t="shared" si="9"/>
        <v>0.02635036496</v>
      </c>
      <c r="O124" s="15">
        <v>1513.0</v>
      </c>
      <c r="P124" s="11">
        <f t="shared" si="10"/>
        <v>0.02255683936</v>
      </c>
      <c r="Q124" s="15">
        <v>1529.0</v>
      </c>
      <c r="R124" s="11">
        <f t="shared" si="11"/>
        <v>0.02190669952</v>
      </c>
      <c r="S124" s="17">
        <v>1398.0</v>
      </c>
      <c r="T124" s="29">
        <f t="shared" si="12"/>
        <v>0.02260782379</v>
      </c>
      <c r="U124" s="15">
        <v>915.0</v>
      </c>
      <c r="V124" s="11">
        <f t="shared" si="13"/>
        <v>0.02702223797</v>
      </c>
      <c r="W124" s="15">
        <v>967.0</v>
      </c>
      <c r="X124" s="11">
        <f t="shared" si="14"/>
        <v>0.02573245696</v>
      </c>
      <c r="Y124" s="15">
        <v>734.0</v>
      </c>
      <c r="Z124" s="11">
        <f t="shared" si="15"/>
        <v>0.02092300676</v>
      </c>
      <c r="AA124" s="15">
        <v>653.0</v>
      </c>
      <c r="AB124" s="11">
        <f t="shared" si="16"/>
        <v>0.01857488266</v>
      </c>
      <c r="AC124" s="15">
        <v>1511.0</v>
      </c>
      <c r="AD124" s="11">
        <f t="shared" si="17"/>
        <v>0.01781965705</v>
      </c>
      <c r="AE124" s="15">
        <v>117.0</v>
      </c>
      <c r="AF124" s="20">
        <f t="shared" si="19"/>
        <v>0.006010788595</v>
      </c>
      <c r="AG124" s="19">
        <v>1450.0</v>
      </c>
      <c r="AH124" s="15">
        <v>994.0</v>
      </c>
      <c r="AI124" s="15">
        <v>1299.0</v>
      </c>
      <c r="AJ124" s="15">
        <v>882.0</v>
      </c>
    </row>
    <row r="125" ht="15.75" customHeight="1">
      <c r="A125" s="6" t="s">
        <v>78</v>
      </c>
      <c r="B125" s="6" t="s">
        <v>33</v>
      </c>
      <c r="C125" s="6" t="s">
        <v>60</v>
      </c>
      <c r="D125" s="4" t="s">
        <v>219</v>
      </c>
      <c r="E125" s="19">
        <f t="shared" si="1"/>
        <v>1054.6</v>
      </c>
      <c r="F125" s="11">
        <f t="shared" si="2"/>
        <v>0.02234118502</v>
      </c>
      <c r="G125" s="15">
        <f t="shared" si="3"/>
        <v>953.6</v>
      </c>
      <c r="H125" s="11">
        <f t="shared" si="4"/>
        <v>0.02347623573</v>
      </c>
      <c r="I125" s="15">
        <f t="shared" si="5"/>
        <v>1155.6</v>
      </c>
      <c r="J125" s="20">
        <f t="shared" si="6"/>
        <v>0.02148402641</v>
      </c>
      <c r="K125" s="15">
        <f t="shared" si="7"/>
        <v>1420.333333</v>
      </c>
      <c r="L125" s="11">
        <f t="shared" si="8"/>
        <v>0.02144352517</v>
      </c>
      <c r="M125" s="19">
        <v>749.0</v>
      </c>
      <c r="N125" s="11">
        <f t="shared" si="9"/>
        <v>0.02733576642</v>
      </c>
      <c r="O125" s="15">
        <v>1436.0</v>
      </c>
      <c r="P125" s="11">
        <f t="shared" si="10"/>
        <v>0.02140887067</v>
      </c>
      <c r="Q125" s="15">
        <v>1464.0</v>
      </c>
      <c r="R125" s="11">
        <f t="shared" si="11"/>
        <v>0.02097541406</v>
      </c>
      <c r="S125" s="17">
        <v>1361.0</v>
      </c>
      <c r="T125" s="29">
        <f t="shared" si="12"/>
        <v>0.02200947653</v>
      </c>
      <c r="U125" s="15">
        <v>1196.0</v>
      </c>
      <c r="V125" s="11">
        <f t="shared" si="13"/>
        <v>0.03532087062</v>
      </c>
      <c r="W125" s="15">
        <v>1137.0</v>
      </c>
      <c r="X125" s="11">
        <f t="shared" si="14"/>
        <v>0.03025626015</v>
      </c>
      <c r="Y125" s="15">
        <v>882.0</v>
      </c>
      <c r="Z125" s="11">
        <f t="shared" si="15"/>
        <v>0.02514181466</v>
      </c>
      <c r="AA125" s="15">
        <v>635.0</v>
      </c>
      <c r="AB125" s="11">
        <f t="shared" si="16"/>
        <v>0.01806286446</v>
      </c>
      <c r="AC125" s="15">
        <v>1215.0</v>
      </c>
      <c r="AD125" s="11">
        <f t="shared" si="17"/>
        <v>0.01432884402</v>
      </c>
      <c r="AE125" s="15">
        <v>471.0</v>
      </c>
      <c r="AF125" s="20">
        <f t="shared" si="19"/>
        <v>0.02419727716</v>
      </c>
      <c r="AG125" s="19">
        <v>1385.0</v>
      </c>
      <c r="AH125" s="15">
        <v>923.0</v>
      </c>
      <c r="AI125" s="15">
        <v>1028.0</v>
      </c>
      <c r="AJ125" s="15">
        <v>666.0</v>
      </c>
    </row>
    <row r="126" ht="15.75" customHeight="1">
      <c r="A126" s="6" t="s">
        <v>78</v>
      </c>
      <c r="B126" s="6" t="s">
        <v>33</v>
      </c>
      <c r="C126" s="6" t="s">
        <v>62</v>
      </c>
      <c r="D126" s="4" t="s">
        <v>221</v>
      </c>
      <c r="E126" s="19">
        <f t="shared" si="1"/>
        <v>977.4</v>
      </c>
      <c r="F126" s="11">
        <f t="shared" si="2"/>
        <v>0.02070574079</v>
      </c>
      <c r="G126" s="15">
        <f t="shared" si="3"/>
        <v>843.4</v>
      </c>
      <c r="H126" s="11">
        <f t="shared" si="4"/>
        <v>0.02076327308</v>
      </c>
      <c r="I126" s="15">
        <f t="shared" si="5"/>
        <v>1111.4</v>
      </c>
      <c r="J126" s="20">
        <f t="shared" si="6"/>
        <v>0.02066229401</v>
      </c>
      <c r="K126" s="15">
        <f t="shared" si="7"/>
        <v>1280.666667</v>
      </c>
      <c r="L126" s="11">
        <f t="shared" si="8"/>
        <v>0.01933490348</v>
      </c>
      <c r="M126" s="19">
        <v>706.0</v>
      </c>
      <c r="N126" s="11">
        <f t="shared" si="9"/>
        <v>0.02576642336</v>
      </c>
      <c r="O126" s="15">
        <v>1301.0</v>
      </c>
      <c r="P126" s="11">
        <f t="shared" si="10"/>
        <v>0.01939619829</v>
      </c>
      <c r="Q126" s="15">
        <v>1329.0</v>
      </c>
      <c r="R126" s="11">
        <f t="shared" si="11"/>
        <v>0.0190412058</v>
      </c>
      <c r="S126" s="17">
        <v>1212.0</v>
      </c>
      <c r="T126" s="29">
        <f t="shared" si="12"/>
        <v>0.01959991591</v>
      </c>
      <c r="U126" s="15">
        <v>984.0</v>
      </c>
      <c r="V126" s="11">
        <f t="shared" si="13"/>
        <v>0.02905998051</v>
      </c>
      <c r="W126" s="15">
        <v>994.0</v>
      </c>
      <c r="X126" s="11">
        <f t="shared" si="14"/>
        <v>0.02645094335</v>
      </c>
      <c r="Y126" s="15">
        <v>875.0</v>
      </c>
      <c r="Z126" s="11">
        <f t="shared" si="15"/>
        <v>0.02494227645</v>
      </c>
      <c r="AA126" s="15">
        <v>840.0</v>
      </c>
      <c r="AB126" s="11">
        <f t="shared" si="16"/>
        <v>0.0238941829</v>
      </c>
      <c r="AC126" s="15">
        <v>1408.0</v>
      </c>
      <c r="AD126" s="11">
        <f t="shared" si="17"/>
        <v>0.01660494846</v>
      </c>
      <c r="AE126" s="15">
        <v>125.0</v>
      </c>
      <c r="AF126" s="20">
        <f t="shared" si="19"/>
        <v>0.006421782687</v>
      </c>
      <c r="AG126" s="19">
        <v>1291.0</v>
      </c>
      <c r="AH126" s="15">
        <v>902.0</v>
      </c>
      <c r="AI126" s="15">
        <v>1064.0</v>
      </c>
      <c r="AJ126" s="15">
        <v>708.0</v>
      </c>
    </row>
    <row r="127" ht="15.75" customHeight="1">
      <c r="A127" s="6" t="s">
        <v>78</v>
      </c>
      <c r="B127" s="6" t="s">
        <v>33</v>
      </c>
      <c r="C127" s="6" t="s">
        <v>60</v>
      </c>
      <c r="D127" s="4" t="s">
        <v>207</v>
      </c>
      <c r="E127" s="19">
        <f t="shared" si="1"/>
        <v>1287.9</v>
      </c>
      <c r="F127" s="11">
        <f t="shared" si="2"/>
        <v>0.02728353137</v>
      </c>
      <c r="G127" s="15">
        <f t="shared" si="3"/>
        <v>1491</v>
      </c>
      <c r="H127" s="11">
        <f t="shared" si="4"/>
        <v>0.03670623686</v>
      </c>
      <c r="I127" s="15">
        <f t="shared" si="5"/>
        <v>1084.8</v>
      </c>
      <c r="J127" s="20">
        <f t="shared" si="6"/>
        <v>0.02016776727</v>
      </c>
      <c r="K127" s="15">
        <f t="shared" si="7"/>
        <v>1379.666667</v>
      </c>
      <c r="L127" s="11">
        <f t="shared" si="8"/>
        <v>0.02082955895</v>
      </c>
      <c r="M127" s="19">
        <v>811.0</v>
      </c>
      <c r="N127" s="11">
        <f t="shared" si="9"/>
        <v>0.02959854015</v>
      </c>
      <c r="O127" s="15">
        <v>1399.0</v>
      </c>
      <c r="P127" s="11">
        <f t="shared" si="10"/>
        <v>0.02085724935</v>
      </c>
      <c r="Q127" s="15">
        <v>1401.0</v>
      </c>
      <c r="R127" s="11">
        <f t="shared" si="11"/>
        <v>0.02007278354</v>
      </c>
      <c r="S127" s="17">
        <v>1339.0</v>
      </c>
      <c r="T127" s="29">
        <f t="shared" si="12"/>
        <v>0.02165370248</v>
      </c>
      <c r="U127" s="15">
        <v>1525.0</v>
      </c>
      <c r="V127" s="11">
        <f t="shared" si="13"/>
        <v>0.04503706329</v>
      </c>
      <c r="W127" s="15">
        <v>1927.0</v>
      </c>
      <c r="X127" s="11">
        <f t="shared" si="14"/>
        <v>0.05127863967</v>
      </c>
      <c r="Y127" s="15">
        <v>679.0</v>
      </c>
      <c r="Z127" s="11">
        <f t="shared" si="15"/>
        <v>0.01935520652</v>
      </c>
      <c r="AA127" s="15">
        <v>606.0</v>
      </c>
      <c r="AB127" s="11">
        <f t="shared" si="16"/>
        <v>0.01723794624</v>
      </c>
      <c r="AC127" s="15">
        <v>1339.0</v>
      </c>
      <c r="AD127" s="11">
        <f t="shared" si="17"/>
        <v>0.01579121164</v>
      </c>
      <c r="AE127" s="15">
        <v>1853.0</v>
      </c>
      <c r="AF127" s="20">
        <f t="shared" si="19"/>
        <v>0.09519650655</v>
      </c>
      <c r="AG127" s="19">
        <v>1302.0</v>
      </c>
      <c r="AH127" s="15">
        <v>914.0</v>
      </c>
      <c r="AI127" s="15">
        <v>1081.0</v>
      </c>
      <c r="AJ127" s="15">
        <v>752.0</v>
      </c>
    </row>
    <row r="128" ht="15.75" customHeight="1">
      <c r="A128" s="6" t="s">
        <v>78</v>
      </c>
      <c r="B128" s="6" t="s">
        <v>33</v>
      </c>
      <c r="C128" s="6" t="s">
        <v>59</v>
      </c>
      <c r="D128" s="4" t="s">
        <v>210</v>
      </c>
      <c r="E128" s="19">
        <f t="shared" si="1"/>
        <v>1227.3</v>
      </c>
      <c r="F128" s="11">
        <f t="shared" si="2"/>
        <v>0.02599975002</v>
      </c>
      <c r="G128" s="15">
        <f t="shared" si="3"/>
        <v>1381.2</v>
      </c>
      <c r="H128" s="11">
        <f t="shared" si="4"/>
        <v>0.03400312163</v>
      </c>
      <c r="I128" s="15">
        <f t="shared" si="5"/>
        <v>1073.4</v>
      </c>
      <c r="J128" s="20">
        <f t="shared" si="6"/>
        <v>0.01995582724</v>
      </c>
      <c r="K128" s="15">
        <f t="shared" si="7"/>
        <v>1438.333333</v>
      </c>
      <c r="L128" s="11">
        <f t="shared" si="8"/>
        <v>0.02171528071</v>
      </c>
      <c r="M128" s="19">
        <v>831.0</v>
      </c>
      <c r="N128" s="11">
        <f t="shared" si="9"/>
        <v>0.03032846715</v>
      </c>
      <c r="O128" s="15">
        <v>1478.0</v>
      </c>
      <c r="P128" s="11">
        <f t="shared" si="10"/>
        <v>0.02203503541</v>
      </c>
      <c r="Q128" s="15">
        <v>1502.0</v>
      </c>
      <c r="R128" s="11">
        <f t="shared" si="11"/>
        <v>0.02151985787</v>
      </c>
      <c r="S128" s="17">
        <v>1335.0</v>
      </c>
      <c r="T128" s="29">
        <f t="shared" si="12"/>
        <v>0.02158901628</v>
      </c>
      <c r="U128" s="15">
        <v>1921.0</v>
      </c>
      <c r="V128" s="11">
        <f t="shared" si="13"/>
        <v>0.05673193349</v>
      </c>
      <c r="W128" s="15">
        <v>1953.0</v>
      </c>
      <c r="X128" s="11">
        <f t="shared" si="14"/>
        <v>0.05197051545</v>
      </c>
      <c r="Y128" s="15">
        <v>486.0</v>
      </c>
      <c r="Z128" s="11">
        <f t="shared" si="15"/>
        <v>0.01385365297</v>
      </c>
      <c r="AA128" s="15">
        <v>566.0</v>
      </c>
      <c r="AB128" s="11">
        <f t="shared" si="16"/>
        <v>0.016100128</v>
      </c>
      <c r="AC128" s="15">
        <v>1274.0</v>
      </c>
      <c r="AD128" s="11">
        <f t="shared" si="17"/>
        <v>0.01502464797</v>
      </c>
      <c r="AE128" s="15">
        <v>927.0</v>
      </c>
      <c r="AF128" s="20">
        <f t="shared" si="19"/>
        <v>0.04762394041</v>
      </c>
      <c r="AG128" s="19">
        <v>1397.0</v>
      </c>
      <c r="AH128" s="15">
        <v>936.0</v>
      </c>
      <c r="AI128" s="15">
        <v>1132.0</v>
      </c>
      <c r="AJ128" s="15">
        <v>813.0</v>
      </c>
    </row>
    <row r="129" ht="15.75" customHeight="1">
      <c r="A129" s="6" t="s">
        <v>78</v>
      </c>
      <c r="B129" s="6" t="s">
        <v>33</v>
      </c>
      <c r="C129" s="6" t="s">
        <v>287</v>
      </c>
      <c r="D129" s="4" t="s">
        <v>216</v>
      </c>
      <c r="E129" s="19">
        <f t="shared" si="1"/>
        <v>1074.2</v>
      </c>
      <c r="F129" s="11">
        <f t="shared" si="2"/>
        <v>0.02275640143</v>
      </c>
      <c r="G129" s="15">
        <f t="shared" si="3"/>
        <v>1086.2</v>
      </c>
      <c r="H129" s="11">
        <f t="shared" si="4"/>
        <v>0.02674065357</v>
      </c>
      <c r="I129" s="15">
        <f t="shared" si="5"/>
        <v>1062.2</v>
      </c>
      <c r="J129" s="20">
        <f t="shared" si="6"/>
        <v>0.01974760545</v>
      </c>
      <c r="K129" s="15">
        <f t="shared" si="7"/>
        <v>1417</v>
      </c>
      <c r="L129" s="11">
        <f t="shared" si="8"/>
        <v>0.02139320007</v>
      </c>
      <c r="M129" s="19">
        <v>850.0</v>
      </c>
      <c r="N129" s="11">
        <f t="shared" si="9"/>
        <v>0.03102189781</v>
      </c>
      <c r="O129" s="15">
        <v>1434.0</v>
      </c>
      <c r="P129" s="11">
        <f t="shared" si="10"/>
        <v>0.0213790533</v>
      </c>
      <c r="Q129" s="15">
        <v>1470.0</v>
      </c>
      <c r="R129" s="11">
        <f t="shared" si="11"/>
        <v>0.02106137888</v>
      </c>
      <c r="S129" s="17">
        <v>1347.0</v>
      </c>
      <c r="T129" s="29">
        <f t="shared" si="12"/>
        <v>0.02178307486</v>
      </c>
      <c r="U129" s="15">
        <v>1623.0</v>
      </c>
      <c r="V129" s="11">
        <f t="shared" si="13"/>
        <v>0.04793124834</v>
      </c>
      <c r="W129" s="15">
        <v>1535.0</v>
      </c>
      <c r="X129" s="11">
        <f t="shared" si="14"/>
        <v>0.04084728173</v>
      </c>
      <c r="Y129" s="15">
        <v>485.0</v>
      </c>
      <c r="Z129" s="11">
        <f t="shared" si="15"/>
        <v>0.01382514752</v>
      </c>
      <c r="AA129" s="15">
        <v>575.0</v>
      </c>
      <c r="AB129" s="11">
        <f t="shared" si="16"/>
        <v>0.01635613711</v>
      </c>
      <c r="AC129" s="15">
        <v>1152.0</v>
      </c>
      <c r="AD129" s="11">
        <f t="shared" si="17"/>
        <v>0.01358586692</v>
      </c>
      <c r="AE129" s="15">
        <v>271.0</v>
      </c>
      <c r="AF129" s="20">
        <f t="shared" si="19"/>
        <v>0.01392242487</v>
      </c>
      <c r="AG129" s="19">
        <v>1422.0</v>
      </c>
      <c r="AH129" s="15">
        <v>977.0</v>
      </c>
      <c r="AI129" s="15">
        <v>1112.0</v>
      </c>
      <c r="AJ129" s="15">
        <v>867.0</v>
      </c>
    </row>
    <row r="130" ht="15.75" customHeight="1">
      <c r="A130" s="6" t="s">
        <v>78</v>
      </c>
      <c r="B130" s="6" t="s">
        <v>33</v>
      </c>
      <c r="C130" s="6" t="s">
        <v>287</v>
      </c>
      <c r="D130" s="4" t="s">
        <v>212</v>
      </c>
      <c r="E130" s="19">
        <f t="shared" si="1"/>
        <v>1191.3</v>
      </c>
      <c r="F130" s="11">
        <f t="shared" si="2"/>
        <v>0.02523710764</v>
      </c>
      <c r="G130" s="15">
        <f t="shared" si="3"/>
        <v>1331.4</v>
      </c>
      <c r="H130" s="11">
        <f t="shared" si="4"/>
        <v>0.03277711855</v>
      </c>
      <c r="I130" s="15">
        <f t="shared" si="5"/>
        <v>1051.2</v>
      </c>
      <c r="J130" s="20">
        <f t="shared" si="6"/>
        <v>0.01954310191</v>
      </c>
      <c r="K130" s="15">
        <f t="shared" si="7"/>
        <v>1321.333333</v>
      </c>
      <c r="L130" s="11">
        <f t="shared" si="8"/>
        <v>0.0199488697</v>
      </c>
      <c r="M130" s="19">
        <v>765.0</v>
      </c>
      <c r="N130" s="11">
        <f t="shared" si="9"/>
        <v>0.02791970803</v>
      </c>
      <c r="O130" s="15">
        <v>1341.0</v>
      </c>
      <c r="P130" s="11">
        <f t="shared" si="10"/>
        <v>0.01999254566</v>
      </c>
      <c r="Q130" s="15">
        <v>1347.0</v>
      </c>
      <c r="R130" s="11">
        <f t="shared" si="11"/>
        <v>0.01929910023</v>
      </c>
      <c r="S130" s="17">
        <v>1276.0</v>
      </c>
      <c r="T130" s="29">
        <f t="shared" si="12"/>
        <v>0.02063489497</v>
      </c>
      <c r="U130" s="15">
        <v>1510.0</v>
      </c>
      <c r="V130" s="11">
        <f t="shared" si="13"/>
        <v>0.04459407578</v>
      </c>
      <c r="W130" s="15">
        <v>1551.0</v>
      </c>
      <c r="X130" s="11">
        <f t="shared" si="14"/>
        <v>0.04127305144</v>
      </c>
      <c r="Y130" s="15">
        <v>595.0</v>
      </c>
      <c r="Z130" s="11">
        <f t="shared" si="15"/>
        <v>0.01696074798</v>
      </c>
      <c r="AA130" s="15">
        <v>697.0</v>
      </c>
      <c r="AB130" s="11">
        <f t="shared" si="16"/>
        <v>0.01982648272</v>
      </c>
      <c r="AC130" s="15">
        <v>1835.0</v>
      </c>
      <c r="AD130" s="11">
        <f t="shared" si="17"/>
        <v>0.02164068212</v>
      </c>
      <c r="AE130" s="15">
        <v>996.0</v>
      </c>
      <c r="AF130" s="20">
        <f t="shared" si="19"/>
        <v>0.05116876445</v>
      </c>
      <c r="AG130" s="19">
        <v>1308.0</v>
      </c>
      <c r="AH130" s="15">
        <v>898.0</v>
      </c>
      <c r="AI130" s="15">
        <v>1125.0</v>
      </c>
      <c r="AJ130" s="15">
        <v>807.0</v>
      </c>
    </row>
    <row r="131" ht="15.75" customHeight="1">
      <c r="A131" s="6" t="s">
        <v>78</v>
      </c>
      <c r="B131" s="6" t="s">
        <v>33</v>
      </c>
      <c r="C131" s="6" t="s">
        <v>60</v>
      </c>
      <c r="D131" s="4" t="s">
        <v>217</v>
      </c>
      <c r="E131" s="19">
        <f t="shared" si="1"/>
        <v>1071.8</v>
      </c>
      <c r="F131" s="11">
        <f t="shared" si="2"/>
        <v>0.0227055586</v>
      </c>
      <c r="G131" s="15">
        <f t="shared" si="3"/>
        <v>1127.8</v>
      </c>
      <c r="H131" s="11">
        <f t="shared" si="4"/>
        <v>0.02776478466</v>
      </c>
      <c r="I131" s="15">
        <f t="shared" si="5"/>
        <v>1015.8</v>
      </c>
      <c r="J131" s="20">
        <f t="shared" si="6"/>
        <v>0.01888497234</v>
      </c>
      <c r="K131" s="15">
        <f t="shared" si="7"/>
        <v>1212.666667</v>
      </c>
      <c r="L131" s="11">
        <f t="shared" si="8"/>
        <v>0.01830827143</v>
      </c>
      <c r="M131" s="19">
        <v>646.0</v>
      </c>
      <c r="N131" s="11">
        <f t="shared" si="9"/>
        <v>0.02357664234</v>
      </c>
      <c r="O131" s="15">
        <v>1229.0</v>
      </c>
      <c r="P131" s="11">
        <f t="shared" si="10"/>
        <v>0.01832277302</v>
      </c>
      <c r="Q131" s="15">
        <v>1236.0</v>
      </c>
      <c r="R131" s="11">
        <f t="shared" si="11"/>
        <v>0.01770875122</v>
      </c>
      <c r="S131" s="17">
        <v>1173.0</v>
      </c>
      <c r="T131" s="29">
        <f t="shared" si="12"/>
        <v>0.01896922554</v>
      </c>
      <c r="U131" s="15">
        <v>1189.0</v>
      </c>
      <c r="V131" s="11">
        <f t="shared" si="13"/>
        <v>0.03511414311</v>
      </c>
      <c r="W131" s="15">
        <v>1327.0</v>
      </c>
      <c r="X131" s="11">
        <f t="shared" si="14"/>
        <v>0.03531227547</v>
      </c>
      <c r="Y131" s="15">
        <v>629.0</v>
      </c>
      <c r="Z131" s="11">
        <f t="shared" si="15"/>
        <v>0.01792993358</v>
      </c>
      <c r="AA131" s="15">
        <v>812.0</v>
      </c>
      <c r="AB131" s="11">
        <f t="shared" si="16"/>
        <v>0.02309771014</v>
      </c>
      <c r="AC131" s="15">
        <v>1092.0</v>
      </c>
      <c r="AD131" s="11">
        <f t="shared" si="17"/>
        <v>0.01287826969</v>
      </c>
      <c r="AE131" s="15">
        <v>1385.0</v>
      </c>
      <c r="AF131" s="20">
        <f t="shared" si="19"/>
        <v>0.07115335217</v>
      </c>
      <c r="AG131" s="19">
        <v>1199.0</v>
      </c>
      <c r="AH131" s="15">
        <v>808.0</v>
      </c>
      <c r="AI131" s="15">
        <v>919.0</v>
      </c>
      <c r="AJ131" s="15">
        <v>679.0</v>
      </c>
    </row>
    <row r="132" ht="15.75" customHeight="1">
      <c r="A132" s="6" t="s">
        <v>78</v>
      </c>
      <c r="B132" s="6" t="s">
        <v>34</v>
      </c>
      <c r="C132" s="6" t="s">
        <v>62</v>
      </c>
      <c r="D132" s="4" t="s">
        <v>225</v>
      </c>
      <c r="E132" s="19">
        <f t="shared" si="1"/>
        <v>866.9</v>
      </c>
      <c r="F132" s="11">
        <f t="shared" si="2"/>
        <v>0.01836485235</v>
      </c>
      <c r="G132" s="15">
        <f t="shared" si="3"/>
        <v>755.6</v>
      </c>
      <c r="H132" s="11">
        <f t="shared" si="4"/>
        <v>0.01860176564</v>
      </c>
      <c r="I132" s="15">
        <f t="shared" si="5"/>
        <v>978.2</v>
      </c>
      <c r="J132" s="20">
        <f t="shared" si="6"/>
        <v>0.01818594205</v>
      </c>
      <c r="K132" s="15">
        <f t="shared" si="7"/>
        <v>1156.333333</v>
      </c>
      <c r="L132" s="11">
        <f t="shared" si="8"/>
        <v>0.01745777724</v>
      </c>
      <c r="M132" s="19">
        <v>457.0</v>
      </c>
      <c r="N132" s="11">
        <f t="shared" si="9"/>
        <v>0.01667883212</v>
      </c>
      <c r="O132" s="15">
        <v>1179.0</v>
      </c>
      <c r="P132" s="11">
        <f t="shared" si="10"/>
        <v>0.0175773388</v>
      </c>
      <c r="Q132" s="15">
        <v>1199.0</v>
      </c>
      <c r="R132" s="11">
        <f t="shared" si="11"/>
        <v>0.01717863488</v>
      </c>
      <c r="S132" s="17">
        <v>1091.0</v>
      </c>
      <c r="T132" s="29">
        <f t="shared" si="12"/>
        <v>0.01764315863</v>
      </c>
      <c r="U132" s="15">
        <v>1054.0</v>
      </c>
      <c r="V132" s="11">
        <f t="shared" si="13"/>
        <v>0.03112725554</v>
      </c>
      <c r="W132" s="15">
        <v>1073.0</v>
      </c>
      <c r="X132" s="11">
        <f t="shared" si="14"/>
        <v>0.0285531813</v>
      </c>
      <c r="Y132" s="15">
        <v>642.0</v>
      </c>
      <c r="Z132" s="11">
        <f t="shared" si="15"/>
        <v>0.01830050455</v>
      </c>
      <c r="AA132" s="15">
        <v>780.0</v>
      </c>
      <c r="AB132" s="11">
        <f t="shared" si="16"/>
        <v>0.02218745555</v>
      </c>
      <c r="AC132" s="15">
        <v>906.0</v>
      </c>
      <c r="AD132" s="11">
        <f t="shared" si="17"/>
        <v>0.01068471826</v>
      </c>
      <c r="AE132" s="15">
        <v>288.0</v>
      </c>
      <c r="AF132" s="20">
        <f t="shared" si="19"/>
        <v>0.01479578731</v>
      </c>
      <c r="AG132" s="19">
        <v>828.0</v>
      </c>
      <c r="AH132" s="15">
        <v>628.0</v>
      </c>
      <c r="AI132" s="15">
        <v>660.0</v>
      </c>
      <c r="AJ132" s="15">
        <v>481.0</v>
      </c>
    </row>
    <row r="133" ht="15.75" customHeight="1">
      <c r="A133" s="6" t="s">
        <v>78</v>
      </c>
      <c r="B133" s="6" t="s">
        <v>34</v>
      </c>
      <c r="C133" s="6" t="s">
        <v>52</v>
      </c>
      <c r="D133" s="4" t="s">
        <v>222</v>
      </c>
      <c r="E133" s="19">
        <f t="shared" si="1"/>
        <v>957.2</v>
      </c>
      <c r="F133" s="11">
        <f t="shared" si="2"/>
        <v>0.02027781367</v>
      </c>
      <c r="G133" s="15">
        <f t="shared" si="3"/>
        <v>940.4</v>
      </c>
      <c r="H133" s="11">
        <f t="shared" si="4"/>
        <v>0.02315127106</v>
      </c>
      <c r="I133" s="15">
        <f t="shared" si="5"/>
        <v>974</v>
      </c>
      <c r="J133" s="20">
        <f t="shared" si="6"/>
        <v>0.01810785889</v>
      </c>
      <c r="K133" s="15">
        <f t="shared" si="7"/>
        <v>1158</v>
      </c>
      <c r="L133" s="11">
        <f t="shared" si="8"/>
        <v>0.01748293979</v>
      </c>
      <c r="M133" s="19">
        <v>705.0</v>
      </c>
      <c r="N133" s="11">
        <f t="shared" si="9"/>
        <v>0.02572992701</v>
      </c>
      <c r="O133" s="15">
        <v>1173.0</v>
      </c>
      <c r="P133" s="11">
        <f t="shared" si="10"/>
        <v>0.01748788669</v>
      </c>
      <c r="Q133" s="15">
        <v>1191.0</v>
      </c>
      <c r="R133" s="11">
        <f t="shared" si="11"/>
        <v>0.01706401513</v>
      </c>
      <c r="S133" s="17">
        <v>1110.0</v>
      </c>
      <c r="T133" s="29">
        <f t="shared" si="12"/>
        <v>0.01795041803</v>
      </c>
      <c r="U133" s="15">
        <v>1107.0</v>
      </c>
      <c r="V133" s="11">
        <f t="shared" si="13"/>
        <v>0.03269247807</v>
      </c>
      <c r="W133" s="15">
        <v>1223.0</v>
      </c>
      <c r="X133" s="11">
        <f t="shared" si="14"/>
        <v>0.03254477235</v>
      </c>
      <c r="Y133" s="15">
        <v>617.0</v>
      </c>
      <c r="Z133" s="11">
        <f t="shared" si="15"/>
        <v>0.01758786808</v>
      </c>
      <c r="AA133" s="15">
        <v>779.0</v>
      </c>
      <c r="AB133" s="11">
        <f t="shared" si="16"/>
        <v>0.0221590101</v>
      </c>
      <c r="AC133" s="15">
        <v>1147.0</v>
      </c>
      <c r="AD133" s="11">
        <f t="shared" si="17"/>
        <v>0.01352690049</v>
      </c>
      <c r="AE133" s="15">
        <v>520.0</v>
      </c>
      <c r="AF133" s="20">
        <f t="shared" si="19"/>
        <v>0.02671461598</v>
      </c>
      <c r="AG133" s="19">
        <v>1131.0</v>
      </c>
      <c r="AH133" s="15">
        <v>757.0</v>
      </c>
      <c r="AI133" s="15">
        <v>938.0</v>
      </c>
      <c r="AJ133" s="15">
        <v>608.0</v>
      </c>
    </row>
    <row r="134" ht="15.75" customHeight="1">
      <c r="A134" s="6" t="s">
        <v>73</v>
      </c>
      <c r="B134" s="6" t="s">
        <v>34</v>
      </c>
      <c r="C134" s="6" t="s">
        <v>60</v>
      </c>
      <c r="D134" s="4" t="s">
        <v>228</v>
      </c>
      <c r="E134" s="19">
        <f t="shared" si="1"/>
        <v>789.1</v>
      </c>
      <c r="F134" s="11">
        <f t="shared" si="2"/>
        <v>0.01671669742</v>
      </c>
      <c r="G134" s="15">
        <f t="shared" si="3"/>
        <v>623.4</v>
      </c>
      <c r="H134" s="11">
        <f t="shared" si="4"/>
        <v>0.01534719521</v>
      </c>
      <c r="I134" s="15">
        <f t="shared" si="5"/>
        <v>954.8</v>
      </c>
      <c r="J134" s="20">
        <f t="shared" si="6"/>
        <v>0.01775090725</v>
      </c>
      <c r="K134" s="15">
        <f t="shared" si="7"/>
        <v>1162.333333</v>
      </c>
      <c r="L134" s="11">
        <f t="shared" si="8"/>
        <v>0.01754836242</v>
      </c>
      <c r="M134" s="19">
        <v>622.0</v>
      </c>
      <c r="N134" s="11">
        <f t="shared" si="9"/>
        <v>0.02270072993</v>
      </c>
      <c r="O134" s="15">
        <v>1175.0</v>
      </c>
      <c r="P134" s="11">
        <f t="shared" si="10"/>
        <v>0.01751770406</v>
      </c>
      <c r="Q134" s="15">
        <v>1188.0</v>
      </c>
      <c r="R134" s="11">
        <f t="shared" si="11"/>
        <v>0.01702103272</v>
      </c>
      <c r="S134" s="17">
        <v>1124.0</v>
      </c>
      <c r="T134" s="29">
        <f t="shared" si="12"/>
        <v>0.0181768197</v>
      </c>
      <c r="U134" s="15">
        <v>556.0</v>
      </c>
      <c r="V134" s="11">
        <f t="shared" si="13"/>
        <v>0.01642007029</v>
      </c>
      <c r="W134" s="15">
        <v>559.0</v>
      </c>
      <c r="X134" s="11">
        <f t="shared" si="14"/>
        <v>0.01487532931</v>
      </c>
      <c r="Y134" s="15">
        <v>601.0</v>
      </c>
      <c r="Z134" s="11">
        <f t="shared" si="15"/>
        <v>0.01713178074</v>
      </c>
      <c r="AA134" s="15">
        <v>686.0</v>
      </c>
      <c r="AB134" s="11">
        <f t="shared" si="16"/>
        <v>0.01951358271</v>
      </c>
      <c r="AC134" s="15">
        <v>1079.0</v>
      </c>
      <c r="AD134" s="11">
        <f t="shared" si="17"/>
        <v>0.01272495695</v>
      </c>
      <c r="AE134" s="15">
        <v>301.0</v>
      </c>
      <c r="AF134" s="20">
        <f t="shared" si="19"/>
        <v>0.01546365271</v>
      </c>
      <c r="AG134" s="19">
        <v>1145.0</v>
      </c>
      <c r="AH134" s="15">
        <v>765.0</v>
      </c>
      <c r="AI134" s="15">
        <v>946.0</v>
      </c>
      <c r="AJ134" s="15">
        <v>692.0</v>
      </c>
    </row>
    <row r="135" ht="15.75" customHeight="1">
      <c r="A135" s="6" t="s">
        <v>75</v>
      </c>
      <c r="B135" s="6" t="s">
        <v>34</v>
      </c>
      <c r="C135" s="6" t="s">
        <v>60</v>
      </c>
      <c r="D135" s="4" t="s">
        <v>223</v>
      </c>
      <c r="E135" s="19">
        <f t="shared" si="1"/>
        <v>909.9</v>
      </c>
      <c r="F135" s="11">
        <f t="shared" si="2"/>
        <v>0.01927578632</v>
      </c>
      <c r="G135" s="15">
        <f t="shared" si="3"/>
        <v>898.2</v>
      </c>
      <c r="H135" s="11">
        <f t="shared" si="4"/>
        <v>0.02211236884</v>
      </c>
      <c r="I135" s="15">
        <f t="shared" si="5"/>
        <v>921.6</v>
      </c>
      <c r="J135" s="20">
        <f t="shared" si="6"/>
        <v>0.01713367839</v>
      </c>
      <c r="K135" s="15">
        <f t="shared" si="7"/>
        <v>1177.333333</v>
      </c>
      <c r="L135" s="11">
        <f t="shared" si="8"/>
        <v>0.01777482537</v>
      </c>
      <c r="M135" s="19">
        <v>618.0</v>
      </c>
      <c r="N135" s="11">
        <f t="shared" si="9"/>
        <v>0.02255474453</v>
      </c>
      <c r="O135" s="15">
        <v>1189.0</v>
      </c>
      <c r="P135" s="11">
        <f t="shared" si="10"/>
        <v>0.01772642564</v>
      </c>
      <c r="Q135" s="15">
        <v>1203.0</v>
      </c>
      <c r="R135" s="11">
        <f t="shared" si="11"/>
        <v>0.01723594475</v>
      </c>
      <c r="S135" s="17">
        <v>1140.0</v>
      </c>
      <c r="T135" s="29">
        <f t="shared" si="12"/>
        <v>0.01843556447</v>
      </c>
      <c r="U135" s="15">
        <v>1234.0</v>
      </c>
      <c r="V135" s="11">
        <f t="shared" si="13"/>
        <v>0.03644310564</v>
      </c>
      <c r="W135" s="15">
        <v>1227.0</v>
      </c>
      <c r="X135" s="11">
        <f t="shared" si="14"/>
        <v>0.03265121477</v>
      </c>
      <c r="Y135" s="15">
        <v>548.0</v>
      </c>
      <c r="Z135" s="11">
        <f t="shared" si="15"/>
        <v>0.01562099142</v>
      </c>
      <c r="AA135" s="15">
        <v>528.0</v>
      </c>
      <c r="AB135" s="11">
        <f t="shared" si="16"/>
        <v>0.01501920068</v>
      </c>
      <c r="AC135" s="15">
        <v>1064.0</v>
      </c>
      <c r="AD135" s="11">
        <f t="shared" si="17"/>
        <v>0.01254805765</v>
      </c>
      <c r="AE135" s="15">
        <v>348.0</v>
      </c>
      <c r="AF135" s="20">
        <f t="shared" si="19"/>
        <v>0.017878243</v>
      </c>
      <c r="AG135" s="19">
        <v>1164.0</v>
      </c>
      <c r="AH135" s="15">
        <v>800.0</v>
      </c>
      <c r="AI135" s="15">
        <v>925.0</v>
      </c>
      <c r="AJ135" s="15">
        <v>615.0</v>
      </c>
    </row>
    <row r="136" ht="15.75" customHeight="1">
      <c r="A136" s="6" t="s">
        <v>78</v>
      </c>
      <c r="B136" s="6" t="s">
        <v>34</v>
      </c>
      <c r="C136" s="6" t="s">
        <v>62</v>
      </c>
      <c r="D136" s="4" t="s">
        <v>233</v>
      </c>
      <c r="E136" s="19">
        <f t="shared" si="1"/>
        <v>730.3</v>
      </c>
      <c r="F136" s="11">
        <f t="shared" si="2"/>
        <v>0.01547104819</v>
      </c>
      <c r="G136" s="15">
        <f t="shared" si="3"/>
        <v>549.6</v>
      </c>
      <c r="H136" s="11">
        <f t="shared" si="4"/>
        <v>0.01353034727</v>
      </c>
      <c r="I136" s="15">
        <f t="shared" si="5"/>
        <v>911</v>
      </c>
      <c r="J136" s="20">
        <f t="shared" si="6"/>
        <v>0.01693661134</v>
      </c>
      <c r="K136" s="15">
        <f t="shared" si="7"/>
        <v>1031.333333</v>
      </c>
      <c r="L136" s="11">
        <f t="shared" si="8"/>
        <v>0.01557058599</v>
      </c>
      <c r="M136" s="19">
        <v>476.0</v>
      </c>
      <c r="N136" s="11">
        <f t="shared" si="9"/>
        <v>0.01737226277</v>
      </c>
      <c r="O136" s="15">
        <v>1070.0</v>
      </c>
      <c r="P136" s="11">
        <f t="shared" si="10"/>
        <v>0.01595229221</v>
      </c>
      <c r="Q136" s="15">
        <v>1096.0</v>
      </c>
      <c r="R136" s="11">
        <f t="shared" si="11"/>
        <v>0.01570290561</v>
      </c>
      <c r="S136" s="17">
        <v>928.0</v>
      </c>
      <c r="T136" s="29">
        <f t="shared" si="12"/>
        <v>0.01500719634</v>
      </c>
      <c r="U136" s="15">
        <v>634.0</v>
      </c>
      <c r="V136" s="11">
        <f t="shared" si="13"/>
        <v>0.01872360533</v>
      </c>
      <c r="W136" s="15">
        <v>597.0</v>
      </c>
      <c r="X136" s="11">
        <f t="shared" si="14"/>
        <v>0.01588653237</v>
      </c>
      <c r="Y136" s="15">
        <v>679.0</v>
      </c>
      <c r="Z136" s="11">
        <f t="shared" si="15"/>
        <v>0.01935520652</v>
      </c>
      <c r="AA136" s="15">
        <v>782.0</v>
      </c>
      <c r="AB136" s="11">
        <f t="shared" si="16"/>
        <v>0.02224434647</v>
      </c>
      <c r="AC136" s="15">
        <v>921.0</v>
      </c>
      <c r="AD136" s="11">
        <f t="shared" si="17"/>
        <v>0.01086161757</v>
      </c>
      <c r="AE136" s="15">
        <v>120.0</v>
      </c>
      <c r="AF136" s="20">
        <f t="shared" si="19"/>
        <v>0.006164911379</v>
      </c>
      <c r="AG136" s="19">
        <v>1041.0</v>
      </c>
      <c r="AH136" s="15">
        <v>699.0</v>
      </c>
      <c r="AI136" s="15">
        <v>823.0</v>
      </c>
      <c r="AJ136" s="15">
        <v>586.0</v>
      </c>
    </row>
    <row r="137" ht="15.75" customHeight="1">
      <c r="A137" s="6" t="s">
        <v>75</v>
      </c>
      <c r="B137" s="6" t="s">
        <v>34</v>
      </c>
      <c r="C137" s="6" t="s">
        <v>56</v>
      </c>
      <c r="D137" s="4" t="s">
        <v>224</v>
      </c>
      <c r="E137" s="19">
        <f t="shared" si="1"/>
        <v>889.2</v>
      </c>
      <c r="F137" s="11">
        <f t="shared" si="2"/>
        <v>0.01883726694</v>
      </c>
      <c r="G137" s="15">
        <f t="shared" si="3"/>
        <v>880</v>
      </c>
      <c r="H137" s="11">
        <f t="shared" si="4"/>
        <v>0.02166431149</v>
      </c>
      <c r="I137" s="15">
        <f t="shared" si="5"/>
        <v>898.4</v>
      </c>
      <c r="J137" s="20">
        <f t="shared" si="6"/>
        <v>0.01670236183</v>
      </c>
      <c r="K137" s="15">
        <f t="shared" si="7"/>
        <v>1180</v>
      </c>
      <c r="L137" s="11">
        <f t="shared" si="8"/>
        <v>0.01781508545</v>
      </c>
      <c r="M137" s="19">
        <v>536.0</v>
      </c>
      <c r="N137" s="11">
        <f t="shared" si="9"/>
        <v>0.0195620438</v>
      </c>
      <c r="O137" s="15">
        <v>1204.0</v>
      </c>
      <c r="P137" s="11">
        <f t="shared" si="10"/>
        <v>0.01795005591</v>
      </c>
      <c r="Q137" s="15">
        <v>1243.0</v>
      </c>
      <c r="R137" s="11">
        <f t="shared" si="11"/>
        <v>0.0178090435</v>
      </c>
      <c r="S137" s="17">
        <v>1093.0</v>
      </c>
      <c r="T137" s="29">
        <f t="shared" si="12"/>
        <v>0.01767550172</v>
      </c>
      <c r="U137" s="15">
        <v>1113.0</v>
      </c>
      <c r="V137" s="11">
        <f t="shared" si="13"/>
        <v>0.03286967308</v>
      </c>
      <c r="W137" s="15">
        <v>1094.0</v>
      </c>
      <c r="X137" s="11">
        <f t="shared" si="14"/>
        <v>0.02911200404</v>
      </c>
      <c r="Y137" s="15">
        <v>351.0</v>
      </c>
      <c r="Z137" s="11">
        <f t="shared" si="15"/>
        <v>0.01000541604</v>
      </c>
      <c r="AA137" s="15">
        <v>601.0</v>
      </c>
      <c r="AB137" s="11">
        <f t="shared" si="16"/>
        <v>0.01709571896</v>
      </c>
      <c r="AC137" s="15">
        <v>882.0</v>
      </c>
      <c r="AD137" s="11">
        <f t="shared" si="17"/>
        <v>0.01040167936</v>
      </c>
      <c r="AE137" s="15">
        <v>775.0</v>
      </c>
      <c r="AF137" s="20">
        <f t="shared" si="19"/>
        <v>0.03981505266</v>
      </c>
      <c r="AG137" s="19">
        <v>1111.0</v>
      </c>
      <c r="AH137" s="15">
        <v>743.0</v>
      </c>
      <c r="AI137" s="15">
        <v>839.0</v>
      </c>
      <c r="AJ137" s="15">
        <v>585.0</v>
      </c>
    </row>
    <row r="138" ht="15.75" customHeight="1">
      <c r="A138" s="6" t="s">
        <v>78</v>
      </c>
      <c r="B138" s="6" t="s">
        <v>34</v>
      </c>
      <c r="C138" s="6" t="s">
        <v>60</v>
      </c>
      <c r="D138" s="4" t="s">
        <v>232</v>
      </c>
      <c r="E138" s="19">
        <f t="shared" si="1"/>
        <v>733.9</v>
      </c>
      <c r="F138" s="11">
        <f t="shared" si="2"/>
        <v>0.01554731243</v>
      </c>
      <c r="G138" s="15">
        <f t="shared" si="3"/>
        <v>588.4</v>
      </c>
      <c r="H138" s="11">
        <f t="shared" si="4"/>
        <v>0.01448554646</v>
      </c>
      <c r="I138" s="15">
        <f t="shared" si="5"/>
        <v>879.4</v>
      </c>
      <c r="J138" s="20">
        <f t="shared" si="6"/>
        <v>0.01634912844</v>
      </c>
      <c r="K138" s="15">
        <f t="shared" si="7"/>
        <v>1092</v>
      </c>
      <c r="L138" s="11">
        <f t="shared" si="8"/>
        <v>0.01648650281</v>
      </c>
      <c r="M138" s="19">
        <v>600.0</v>
      </c>
      <c r="N138" s="11">
        <f t="shared" si="9"/>
        <v>0.02189781022</v>
      </c>
      <c r="O138" s="15">
        <v>1114.0</v>
      </c>
      <c r="P138" s="11">
        <f t="shared" si="10"/>
        <v>0.01660827432</v>
      </c>
      <c r="Q138" s="15">
        <v>1121.0</v>
      </c>
      <c r="R138" s="11">
        <f t="shared" si="11"/>
        <v>0.01606109233</v>
      </c>
      <c r="S138" s="17">
        <v>1041.0</v>
      </c>
      <c r="T138" s="29">
        <f t="shared" si="12"/>
        <v>0.01683458124</v>
      </c>
      <c r="U138" s="15">
        <v>551.0</v>
      </c>
      <c r="V138" s="11">
        <f t="shared" si="13"/>
        <v>0.01627240778</v>
      </c>
      <c r="W138" s="15">
        <v>582.0</v>
      </c>
      <c r="X138" s="11">
        <f t="shared" si="14"/>
        <v>0.01548737327</v>
      </c>
      <c r="Y138" s="15">
        <v>576.0</v>
      </c>
      <c r="Z138" s="11">
        <f t="shared" si="15"/>
        <v>0.01641914427</v>
      </c>
      <c r="AA138" s="15">
        <v>545.0</v>
      </c>
      <c r="AB138" s="11">
        <f t="shared" si="16"/>
        <v>0.01550277343</v>
      </c>
      <c r="AC138" s="15">
        <v>1053.0</v>
      </c>
      <c r="AD138" s="11">
        <f t="shared" si="17"/>
        <v>0.01241833149</v>
      </c>
      <c r="AE138" s="15">
        <v>156.0</v>
      </c>
      <c r="AF138" s="20">
        <f t="shared" si="19"/>
        <v>0.008014384793</v>
      </c>
      <c r="AG138" s="19">
        <v>1082.0</v>
      </c>
      <c r="AH138" s="15">
        <v>750.0</v>
      </c>
      <c r="AI138" s="15">
        <v>900.0</v>
      </c>
      <c r="AJ138" s="15">
        <v>603.0</v>
      </c>
    </row>
    <row r="139" ht="15.75" customHeight="1">
      <c r="A139" s="6" t="s">
        <v>78</v>
      </c>
      <c r="B139" s="6" t="s">
        <v>34</v>
      </c>
      <c r="C139" s="6" t="s">
        <v>52</v>
      </c>
      <c r="D139" s="4" t="s">
        <v>231</v>
      </c>
      <c r="E139" s="19">
        <f t="shared" si="1"/>
        <v>737.6</v>
      </c>
      <c r="F139" s="11">
        <f t="shared" si="2"/>
        <v>0.01562569512</v>
      </c>
      <c r="G139" s="15">
        <f t="shared" si="3"/>
        <v>643.2</v>
      </c>
      <c r="H139" s="11">
        <f t="shared" si="4"/>
        <v>0.01583464222</v>
      </c>
      <c r="I139" s="15">
        <f t="shared" si="5"/>
        <v>832</v>
      </c>
      <c r="J139" s="20">
        <f t="shared" si="6"/>
        <v>0.0154679041</v>
      </c>
      <c r="K139" s="15">
        <f t="shared" si="7"/>
        <v>1027.333333</v>
      </c>
      <c r="L139" s="11">
        <f t="shared" si="8"/>
        <v>0.01551019587</v>
      </c>
      <c r="M139" s="19">
        <v>597.0</v>
      </c>
      <c r="N139" s="11">
        <f t="shared" si="9"/>
        <v>0.02178832117</v>
      </c>
      <c r="O139" s="15">
        <v>1049.0</v>
      </c>
      <c r="P139" s="11">
        <f t="shared" si="10"/>
        <v>0.01563920984</v>
      </c>
      <c r="Q139" s="15">
        <v>1058.0</v>
      </c>
      <c r="R139" s="11">
        <f t="shared" si="11"/>
        <v>0.0151584618</v>
      </c>
      <c r="S139" s="17">
        <v>975.0</v>
      </c>
      <c r="T139" s="29">
        <f t="shared" si="12"/>
        <v>0.01576725908</v>
      </c>
      <c r="U139" s="15">
        <v>680.0</v>
      </c>
      <c r="V139" s="11">
        <f t="shared" si="13"/>
        <v>0.02008210035</v>
      </c>
      <c r="W139" s="15">
        <v>701.0</v>
      </c>
      <c r="X139" s="11">
        <f t="shared" si="14"/>
        <v>0.0186540355</v>
      </c>
      <c r="Y139" s="15">
        <v>565.0</v>
      </c>
      <c r="Z139" s="11">
        <f t="shared" si="15"/>
        <v>0.01610558422</v>
      </c>
      <c r="AA139" s="15">
        <v>513.0</v>
      </c>
      <c r="AB139" s="11">
        <f t="shared" si="16"/>
        <v>0.01459251885</v>
      </c>
      <c r="AC139" s="15">
        <v>1161.0</v>
      </c>
      <c r="AD139" s="11">
        <f t="shared" si="17"/>
        <v>0.01369200651</v>
      </c>
      <c r="AE139" s="15">
        <v>77.0</v>
      </c>
      <c r="AF139" s="20">
        <f t="shared" si="19"/>
        <v>0.003955818135</v>
      </c>
      <c r="AG139" s="19">
        <v>1004.0</v>
      </c>
      <c r="AH139" s="15">
        <v>675.0</v>
      </c>
      <c r="AI139" s="15">
        <v>785.0</v>
      </c>
      <c r="AJ139" s="15">
        <v>500.0</v>
      </c>
    </row>
    <row r="140" ht="15.75" customHeight="1">
      <c r="A140" s="6" t="s">
        <v>75</v>
      </c>
      <c r="B140" s="6" t="s">
        <v>34</v>
      </c>
      <c r="C140" s="6" t="s">
        <v>54</v>
      </c>
      <c r="D140" s="4" t="s">
        <v>234</v>
      </c>
      <c r="E140" s="19">
        <f t="shared" si="1"/>
        <v>635.6</v>
      </c>
      <c r="F140" s="11">
        <f t="shared" si="2"/>
        <v>0.01346487502</v>
      </c>
      <c r="G140" s="15">
        <f t="shared" si="3"/>
        <v>465.2</v>
      </c>
      <c r="H140" s="11">
        <f t="shared" si="4"/>
        <v>0.01145254285</v>
      </c>
      <c r="I140" s="15">
        <f t="shared" si="5"/>
        <v>806</v>
      </c>
      <c r="J140" s="20">
        <f t="shared" si="6"/>
        <v>0.0149845321</v>
      </c>
      <c r="K140" s="15">
        <f t="shared" si="7"/>
        <v>1031.666667</v>
      </c>
      <c r="L140" s="11">
        <f t="shared" si="8"/>
        <v>0.0155756185</v>
      </c>
      <c r="M140" s="19">
        <v>502.0</v>
      </c>
      <c r="N140" s="11">
        <f t="shared" si="9"/>
        <v>0.01832116788</v>
      </c>
      <c r="O140" s="15">
        <v>1051.0</v>
      </c>
      <c r="P140" s="11">
        <f t="shared" si="10"/>
        <v>0.01566902721</v>
      </c>
      <c r="Q140" s="15">
        <v>1053.0</v>
      </c>
      <c r="R140" s="11">
        <f t="shared" si="11"/>
        <v>0.01508682446</v>
      </c>
      <c r="S140" s="17">
        <v>991.0</v>
      </c>
      <c r="T140" s="29">
        <f t="shared" si="12"/>
        <v>0.01602600385</v>
      </c>
      <c r="U140" s="15">
        <v>295.0</v>
      </c>
      <c r="V140" s="11">
        <f t="shared" si="13"/>
        <v>0.008712087652</v>
      </c>
      <c r="W140" s="15">
        <v>324.0</v>
      </c>
      <c r="X140" s="11">
        <f t="shared" si="14"/>
        <v>0.008621836664</v>
      </c>
      <c r="Y140" s="15">
        <v>455.0</v>
      </c>
      <c r="Z140" s="11">
        <f t="shared" si="15"/>
        <v>0.01296998375</v>
      </c>
      <c r="AA140" s="15">
        <v>480.0</v>
      </c>
      <c r="AB140" s="11">
        <f t="shared" si="16"/>
        <v>0.0136538188</v>
      </c>
      <c r="AC140" s="15">
        <v>992.0</v>
      </c>
      <c r="AD140" s="11">
        <f t="shared" si="17"/>
        <v>0.01169894096</v>
      </c>
      <c r="AE140" s="15">
        <v>213.0</v>
      </c>
      <c r="AF140" s="20">
        <f t="shared" si="19"/>
        <v>0.0109427177</v>
      </c>
      <c r="AG140" s="19">
        <v>996.0</v>
      </c>
      <c r="AH140" s="15">
        <v>671.0</v>
      </c>
      <c r="AI140" s="15">
        <v>887.0</v>
      </c>
      <c r="AJ140" s="15">
        <v>656.0</v>
      </c>
    </row>
    <row r="141" ht="15.75" customHeight="1">
      <c r="A141" s="6" t="s">
        <v>75</v>
      </c>
      <c r="B141" s="6" t="s">
        <v>34</v>
      </c>
      <c r="C141" s="6" t="s">
        <v>60</v>
      </c>
      <c r="D141" s="4" t="s">
        <v>230</v>
      </c>
      <c r="E141" s="19">
        <f t="shared" si="1"/>
        <v>746.4</v>
      </c>
      <c r="F141" s="11">
        <f t="shared" si="2"/>
        <v>0.01581211881</v>
      </c>
      <c r="G141" s="15">
        <f t="shared" si="3"/>
        <v>701.4</v>
      </c>
      <c r="H141" s="11">
        <f t="shared" si="4"/>
        <v>0.017267441</v>
      </c>
      <c r="I141" s="15">
        <f t="shared" si="5"/>
        <v>791.4</v>
      </c>
      <c r="J141" s="20">
        <f t="shared" si="6"/>
        <v>0.01471310012</v>
      </c>
      <c r="K141" s="15">
        <f t="shared" si="7"/>
        <v>1043.666667</v>
      </c>
      <c r="L141" s="11">
        <f t="shared" si="8"/>
        <v>0.01575678886</v>
      </c>
      <c r="M141" s="19">
        <v>479.0</v>
      </c>
      <c r="N141" s="11">
        <f t="shared" si="9"/>
        <v>0.01748175182</v>
      </c>
      <c r="O141" s="15">
        <v>1055.0</v>
      </c>
      <c r="P141" s="11">
        <f t="shared" si="10"/>
        <v>0.01572866195</v>
      </c>
      <c r="Q141" s="15">
        <v>1072.0</v>
      </c>
      <c r="R141" s="11">
        <f t="shared" si="11"/>
        <v>0.01535904636</v>
      </c>
      <c r="S141" s="17">
        <v>1004.0</v>
      </c>
      <c r="T141" s="29">
        <f t="shared" si="12"/>
        <v>0.01623623397</v>
      </c>
      <c r="U141" s="15">
        <v>1062.0</v>
      </c>
      <c r="V141" s="11">
        <f t="shared" si="13"/>
        <v>0.03136351555</v>
      </c>
      <c r="W141" s="15">
        <v>1031.0</v>
      </c>
      <c r="X141" s="11">
        <f t="shared" si="14"/>
        <v>0.0274355358</v>
      </c>
      <c r="Y141" s="15">
        <v>406.0</v>
      </c>
      <c r="Z141" s="11">
        <f t="shared" si="15"/>
        <v>0.01157321627</v>
      </c>
      <c r="AA141" s="15">
        <v>420.0</v>
      </c>
      <c r="AB141" s="11">
        <f t="shared" si="16"/>
        <v>0.01194709145</v>
      </c>
      <c r="AC141" s="15">
        <v>811.0</v>
      </c>
      <c r="AD141" s="11">
        <f t="shared" si="17"/>
        <v>0.009564355969</v>
      </c>
      <c r="AE141" s="15">
        <v>124.0</v>
      </c>
      <c r="AF141" s="20">
        <f t="shared" si="19"/>
        <v>0.006370408425</v>
      </c>
      <c r="AG141" s="19">
        <v>1021.0</v>
      </c>
      <c r="AH141" s="15">
        <v>682.0</v>
      </c>
      <c r="AI141" s="15">
        <v>878.0</v>
      </c>
      <c r="AJ141" s="15">
        <v>580.0</v>
      </c>
    </row>
    <row r="142" ht="15.75" customHeight="1">
      <c r="A142" s="6" t="s">
        <v>78</v>
      </c>
      <c r="B142" s="6" t="s">
        <v>34</v>
      </c>
      <c r="C142" s="6" t="s">
        <v>52</v>
      </c>
      <c r="D142" s="4" t="s">
        <v>227</v>
      </c>
      <c r="E142" s="19">
        <f t="shared" si="1"/>
        <v>800.6</v>
      </c>
      <c r="F142" s="11">
        <f t="shared" si="2"/>
        <v>0.01696031929</v>
      </c>
      <c r="G142" s="15">
        <f t="shared" si="3"/>
        <v>825.2</v>
      </c>
      <c r="H142" s="11">
        <f t="shared" si="4"/>
        <v>0.02031521573</v>
      </c>
      <c r="I142" s="15">
        <f t="shared" si="5"/>
        <v>776</v>
      </c>
      <c r="J142" s="20">
        <f t="shared" si="6"/>
        <v>0.01442679517</v>
      </c>
      <c r="K142" s="15">
        <f t="shared" si="7"/>
        <v>958.6666667</v>
      </c>
      <c r="L142" s="11">
        <f t="shared" si="8"/>
        <v>0.0144734988</v>
      </c>
      <c r="M142" s="19">
        <v>477.0</v>
      </c>
      <c r="N142" s="11">
        <f t="shared" si="9"/>
        <v>0.01740875912</v>
      </c>
      <c r="O142" s="15">
        <v>976.0</v>
      </c>
      <c r="P142" s="11">
        <f t="shared" si="10"/>
        <v>0.01455087589</v>
      </c>
      <c r="Q142" s="15">
        <v>997.0</v>
      </c>
      <c r="R142" s="11">
        <f t="shared" si="11"/>
        <v>0.01428448622</v>
      </c>
      <c r="S142" s="17">
        <v>903.0</v>
      </c>
      <c r="T142" s="29">
        <f t="shared" si="12"/>
        <v>0.01460290764</v>
      </c>
      <c r="U142" s="15">
        <v>1361.0</v>
      </c>
      <c r="V142" s="11">
        <f t="shared" si="13"/>
        <v>0.0401937332</v>
      </c>
      <c r="W142" s="15">
        <v>1228.0</v>
      </c>
      <c r="X142" s="11">
        <f t="shared" si="14"/>
        <v>0.03267782538</v>
      </c>
      <c r="Y142" s="15">
        <v>539.0</v>
      </c>
      <c r="Z142" s="11">
        <f t="shared" si="15"/>
        <v>0.01536444229</v>
      </c>
      <c r="AA142" s="15">
        <v>465.0</v>
      </c>
      <c r="AB142" s="11">
        <f t="shared" si="16"/>
        <v>0.01322713696</v>
      </c>
      <c r="AC142" s="15">
        <v>945.0</v>
      </c>
      <c r="AD142" s="11">
        <f t="shared" si="17"/>
        <v>0.01114465646</v>
      </c>
      <c r="AE142" s="15">
        <v>115.0</v>
      </c>
      <c r="AF142" s="20">
        <f t="shared" si="19"/>
        <v>0.005908040072</v>
      </c>
      <c r="AG142" s="19">
        <v>953.0</v>
      </c>
      <c r="AH142" s="15">
        <v>674.0</v>
      </c>
      <c r="AI142" s="15">
        <v>774.0</v>
      </c>
      <c r="AJ142" s="15">
        <v>419.0</v>
      </c>
    </row>
    <row r="143" ht="15.75" customHeight="1">
      <c r="A143" s="6" t="s">
        <v>75</v>
      </c>
      <c r="B143" s="6" t="s">
        <v>34</v>
      </c>
      <c r="C143" s="6" t="s">
        <v>56</v>
      </c>
      <c r="D143" s="4" t="s">
        <v>229</v>
      </c>
      <c r="E143" s="19">
        <f t="shared" si="1"/>
        <v>787.1</v>
      </c>
      <c r="F143" s="11">
        <f t="shared" si="2"/>
        <v>0.0166743284</v>
      </c>
      <c r="G143" s="15">
        <f t="shared" si="3"/>
        <v>885.6</v>
      </c>
      <c r="H143" s="11">
        <f t="shared" si="4"/>
        <v>0.02180217529</v>
      </c>
      <c r="I143" s="15">
        <f t="shared" si="5"/>
        <v>688.6</v>
      </c>
      <c r="J143" s="20">
        <f t="shared" si="6"/>
        <v>0.01280192159</v>
      </c>
      <c r="K143" s="15">
        <f t="shared" si="7"/>
        <v>860.3333333</v>
      </c>
      <c r="L143" s="11">
        <f t="shared" si="8"/>
        <v>0.01298890835</v>
      </c>
      <c r="M143" s="19">
        <v>545.0</v>
      </c>
      <c r="N143" s="11">
        <f t="shared" si="9"/>
        <v>0.01989051095</v>
      </c>
      <c r="O143" s="15">
        <v>887.0</v>
      </c>
      <c r="P143" s="11">
        <f t="shared" si="10"/>
        <v>0.01322400298</v>
      </c>
      <c r="Q143" s="15">
        <v>897.0</v>
      </c>
      <c r="R143" s="11">
        <f t="shared" si="11"/>
        <v>0.01285173935</v>
      </c>
      <c r="S143" s="17">
        <v>797.0</v>
      </c>
      <c r="T143" s="29">
        <f t="shared" si="12"/>
        <v>0.01288872358</v>
      </c>
      <c r="U143" s="15">
        <v>1103.0</v>
      </c>
      <c r="V143" s="11">
        <f t="shared" si="13"/>
        <v>0.03257434807</v>
      </c>
      <c r="W143" s="15">
        <v>1120.0</v>
      </c>
      <c r="X143" s="11">
        <f t="shared" si="14"/>
        <v>0.02980387983</v>
      </c>
      <c r="Y143" s="15">
        <v>330.0</v>
      </c>
      <c r="Z143" s="11">
        <f t="shared" si="15"/>
        <v>0.009406801402</v>
      </c>
      <c r="AA143" s="15">
        <v>532.0</v>
      </c>
      <c r="AB143" s="11">
        <f t="shared" si="16"/>
        <v>0.01513298251</v>
      </c>
      <c r="AC143" s="15">
        <v>773.0</v>
      </c>
      <c r="AD143" s="11">
        <f t="shared" si="17"/>
        <v>0.009116211053</v>
      </c>
      <c r="AE143" s="15">
        <v>887.0</v>
      </c>
      <c r="AF143" s="20">
        <f t="shared" si="19"/>
        <v>0.04556896995</v>
      </c>
      <c r="AG143" s="19">
        <v>842.0</v>
      </c>
      <c r="AH143" s="15">
        <v>547.0</v>
      </c>
      <c r="AI143" s="15">
        <v>644.0</v>
      </c>
      <c r="AJ143" s="15">
        <v>474.0</v>
      </c>
    </row>
    <row r="144" ht="15.75" customHeight="1">
      <c r="A144" s="6" t="s">
        <v>75</v>
      </c>
      <c r="B144" s="6" t="s">
        <v>34</v>
      </c>
      <c r="C144" s="6" t="s">
        <v>54</v>
      </c>
      <c r="D144" s="4" t="s">
        <v>235</v>
      </c>
      <c r="E144" s="19">
        <f t="shared" si="1"/>
        <v>630.8</v>
      </c>
      <c r="F144" s="11">
        <f t="shared" si="2"/>
        <v>0.01336318937</v>
      </c>
      <c r="G144" s="15">
        <f t="shared" si="3"/>
        <v>626.2</v>
      </c>
      <c r="H144" s="11">
        <f t="shared" si="4"/>
        <v>0.01541612711</v>
      </c>
      <c r="I144" s="15">
        <f t="shared" si="5"/>
        <v>635.4</v>
      </c>
      <c r="J144" s="20">
        <f t="shared" si="6"/>
        <v>0.01181286811</v>
      </c>
      <c r="K144" s="15">
        <f t="shared" si="7"/>
        <v>780</v>
      </c>
      <c r="L144" s="11">
        <f t="shared" si="8"/>
        <v>0.01177607343</v>
      </c>
      <c r="M144" s="19">
        <v>470.0</v>
      </c>
      <c r="N144" s="11">
        <f t="shared" si="9"/>
        <v>0.01715328467</v>
      </c>
      <c r="O144" s="15">
        <v>805.0</v>
      </c>
      <c r="P144" s="11">
        <f t="shared" si="10"/>
        <v>0.01200149087</v>
      </c>
      <c r="Q144" s="15">
        <v>819.0</v>
      </c>
      <c r="R144" s="11">
        <f t="shared" si="11"/>
        <v>0.0117341968</v>
      </c>
      <c r="S144" s="17">
        <v>716.0</v>
      </c>
      <c r="T144" s="29">
        <f t="shared" si="12"/>
        <v>0.01157882821</v>
      </c>
      <c r="U144" s="15">
        <v>992.0</v>
      </c>
      <c r="V144" s="11">
        <f t="shared" si="13"/>
        <v>0.02929624051</v>
      </c>
      <c r="W144" s="15">
        <v>947.0</v>
      </c>
      <c r="X144" s="11">
        <f t="shared" si="14"/>
        <v>0.02520024482</v>
      </c>
      <c r="Y144" s="15">
        <v>330.0</v>
      </c>
      <c r="Z144" s="11">
        <f t="shared" si="15"/>
        <v>0.009406801402</v>
      </c>
      <c r="AA144" s="15">
        <v>507.0</v>
      </c>
      <c r="AB144" s="11">
        <f t="shared" si="16"/>
        <v>0.01442184611</v>
      </c>
      <c r="AC144" s="15">
        <v>691.0</v>
      </c>
      <c r="AD144" s="11">
        <f t="shared" si="17"/>
        <v>0.008149161497</v>
      </c>
      <c r="AE144" s="15">
        <v>31.0</v>
      </c>
      <c r="AF144" s="20">
        <f t="shared" si="19"/>
        <v>0.001592602106</v>
      </c>
      <c r="AG144" s="19">
        <v>770.0</v>
      </c>
      <c r="AH144" s="15">
        <v>510.0</v>
      </c>
      <c r="AI144" s="15">
        <v>615.0</v>
      </c>
      <c r="AJ144" s="15">
        <v>448.0</v>
      </c>
    </row>
    <row r="145" ht="15.75" customHeight="1">
      <c r="A145" s="6" t="s">
        <v>75</v>
      </c>
      <c r="B145" s="6" t="s">
        <v>34</v>
      </c>
      <c r="C145" s="6" t="s">
        <v>60</v>
      </c>
      <c r="D145" s="4" t="s">
        <v>60</v>
      </c>
      <c r="E145" s="19">
        <f t="shared" si="1"/>
        <v>520</v>
      </c>
      <c r="F145" s="11">
        <f t="shared" si="2"/>
        <v>0.01101594558</v>
      </c>
      <c r="G145" s="15">
        <f t="shared" si="3"/>
        <v>435.8</v>
      </c>
      <c r="H145" s="11">
        <f t="shared" si="4"/>
        <v>0.0107287579</v>
      </c>
      <c r="I145" s="15">
        <f t="shared" si="5"/>
        <v>604.2</v>
      </c>
      <c r="J145" s="20">
        <f t="shared" si="6"/>
        <v>0.0112328217</v>
      </c>
      <c r="K145" s="15">
        <f t="shared" si="7"/>
        <v>765</v>
      </c>
      <c r="L145" s="11">
        <f t="shared" si="8"/>
        <v>0.01154961048</v>
      </c>
      <c r="M145" s="19">
        <v>481.0</v>
      </c>
      <c r="N145" s="11">
        <f t="shared" si="9"/>
        <v>0.01755474453</v>
      </c>
      <c r="O145" s="15">
        <v>778.0</v>
      </c>
      <c r="P145" s="11">
        <f t="shared" si="10"/>
        <v>0.01159895639</v>
      </c>
      <c r="Q145" s="15">
        <v>790.0</v>
      </c>
      <c r="R145" s="11">
        <f t="shared" si="11"/>
        <v>0.01131870021</v>
      </c>
      <c r="S145" s="17">
        <v>727.0</v>
      </c>
      <c r="T145" s="29">
        <f t="shared" si="12"/>
        <v>0.01175671524</v>
      </c>
      <c r="U145" s="15">
        <v>406.0</v>
      </c>
      <c r="V145" s="11">
        <f t="shared" si="13"/>
        <v>0.01199019521</v>
      </c>
      <c r="W145" s="15">
        <v>438.0</v>
      </c>
      <c r="X145" s="11">
        <f t="shared" si="14"/>
        <v>0.01165544586</v>
      </c>
      <c r="Y145" s="15">
        <v>365.0</v>
      </c>
      <c r="Z145" s="11">
        <f t="shared" si="15"/>
        <v>0.01040449246</v>
      </c>
      <c r="AA145" s="15">
        <v>361.0</v>
      </c>
      <c r="AB145" s="11">
        <f t="shared" si="16"/>
        <v>0.01026880956</v>
      </c>
      <c r="AC145" s="15">
        <v>824.0</v>
      </c>
      <c r="AD145" s="11">
        <f t="shared" si="17"/>
        <v>0.009717668703</v>
      </c>
      <c r="AE145" s="15">
        <v>30.0</v>
      </c>
      <c r="AF145" s="20">
        <f t="shared" si="19"/>
        <v>0.001541227845</v>
      </c>
      <c r="AG145" s="19">
        <v>757.0</v>
      </c>
      <c r="AH145" s="15">
        <v>545.0</v>
      </c>
      <c r="AI145" s="15">
        <v>607.0</v>
      </c>
      <c r="AJ145" s="15">
        <v>414.0</v>
      </c>
    </row>
    <row r="146" ht="15.75" customHeight="1">
      <c r="A146" s="6" t="s">
        <v>78</v>
      </c>
      <c r="B146" s="6" t="s">
        <v>34</v>
      </c>
      <c r="C146" s="6" t="s">
        <v>56</v>
      </c>
      <c r="D146" s="4" t="s">
        <v>239</v>
      </c>
      <c r="E146" s="19">
        <f t="shared" si="1"/>
        <v>463.2</v>
      </c>
      <c r="F146" s="11">
        <f t="shared" si="2"/>
        <v>0.009812665372</v>
      </c>
      <c r="G146" s="15">
        <f t="shared" si="3"/>
        <v>322.6</v>
      </c>
      <c r="H146" s="11">
        <f t="shared" si="4"/>
        <v>0.007941939645</v>
      </c>
      <c r="I146" s="15">
        <f t="shared" si="5"/>
        <v>603.8</v>
      </c>
      <c r="J146" s="20">
        <f t="shared" si="6"/>
        <v>0.01122538521</v>
      </c>
      <c r="K146" s="15">
        <f t="shared" si="7"/>
        <v>703</v>
      </c>
      <c r="L146" s="11">
        <f t="shared" si="8"/>
        <v>0.01061356362</v>
      </c>
      <c r="M146" s="19">
        <v>360.0</v>
      </c>
      <c r="N146" s="11">
        <f t="shared" si="9"/>
        <v>0.01313868613</v>
      </c>
      <c r="O146" s="15">
        <v>716.0</v>
      </c>
      <c r="P146" s="11">
        <f t="shared" si="10"/>
        <v>0.01067461796</v>
      </c>
      <c r="Q146" s="15">
        <v>737.0</v>
      </c>
      <c r="R146" s="11">
        <f t="shared" si="11"/>
        <v>0.01055934438</v>
      </c>
      <c r="S146" s="17">
        <v>656.0</v>
      </c>
      <c r="T146" s="29">
        <f t="shared" si="12"/>
        <v>0.01060853534</v>
      </c>
      <c r="U146" s="15">
        <v>243.0</v>
      </c>
      <c r="V146" s="11">
        <f t="shared" si="13"/>
        <v>0.007176397626</v>
      </c>
      <c r="W146" s="15">
        <v>249.0</v>
      </c>
      <c r="X146" s="11">
        <f t="shared" si="14"/>
        <v>0.00662604114</v>
      </c>
      <c r="Y146" s="15">
        <v>466.0</v>
      </c>
      <c r="Z146" s="11">
        <f t="shared" si="15"/>
        <v>0.0132835438</v>
      </c>
      <c r="AA146" s="15">
        <v>444.0</v>
      </c>
      <c r="AB146" s="11">
        <f t="shared" si="16"/>
        <v>0.01262978239</v>
      </c>
      <c r="AC146" s="15">
        <v>701.0</v>
      </c>
      <c r="AD146" s="11">
        <f t="shared" si="17"/>
        <v>0.00826709437</v>
      </c>
      <c r="AE146" s="15">
        <v>60.0</v>
      </c>
      <c r="AF146" s="20">
        <f t="shared" si="19"/>
        <v>0.00308245569</v>
      </c>
      <c r="AG146" s="19">
        <v>696.0</v>
      </c>
      <c r="AH146" s="15">
        <v>480.0</v>
      </c>
      <c r="AI146" s="15">
        <v>536.0</v>
      </c>
      <c r="AJ146" s="15">
        <v>345.0</v>
      </c>
    </row>
    <row r="147" ht="15.75" customHeight="1">
      <c r="A147" s="6" t="s">
        <v>78</v>
      </c>
      <c r="B147" s="6" t="s">
        <v>34</v>
      </c>
      <c r="C147" s="6" t="s">
        <v>62</v>
      </c>
      <c r="D147" s="4" t="s">
        <v>226</v>
      </c>
      <c r="E147" s="19">
        <f t="shared" si="1"/>
        <v>833.3</v>
      </c>
      <c r="F147" s="11">
        <f t="shared" si="2"/>
        <v>0.01765305279</v>
      </c>
      <c r="G147" s="15">
        <f t="shared" si="3"/>
        <v>1063.6</v>
      </c>
      <c r="H147" s="11">
        <f t="shared" si="4"/>
        <v>0.02618427466</v>
      </c>
      <c r="I147" s="15">
        <f t="shared" si="5"/>
        <v>603</v>
      </c>
      <c r="J147" s="20">
        <f t="shared" si="6"/>
        <v>0.01121051223</v>
      </c>
      <c r="K147" s="15">
        <f t="shared" si="7"/>
        <v>818.6666667</v>
      </c>
      <c r="L147" s="11">
        <f t="shared" si="8"/>
        <v>0.0123598446</v>
      </c>
      <c r="M147" s="19">
        <v>478.0</v>
      </c>
      <c r="N147" s="11">
        <f t="shared" si="9"/>
        <v>0.01744525547</v>
      </c>
      <c r="O147" s="15">
        <v>847.0</v>
      </c>
      <c r="P147" s="11">
        <f t="shared" si="10"/>
        <v>0.01262765561</v>
      </c>
      <c r="Q147" s="15">
        <v>853.0</v>
      </c>
      <c r="R147" s="11">
        <f t="shared" si="11"/>
        <v>0.01222133074</v>
      </c>
      <c r="S147" s="17">
        <v>756.0</v>
      </c>
      <c r="T147" s="29">
        <f t="shared" si="12"/>
        <v>0.01222569012</v>
      </c>
      <c r="U147" s="15">
        <v>1530.0</v>
      </c>
      <c r="V147" s="11">
        <f t="shared" si="13"/>
        <v>0.04518472579</v>
      </c>
      <c r="W147" s="15">
        <v>1451.0</v>
      </c>
      <c r="X147" s="11">
        <f t="shared" si="14"/>
        <v>0.03861199074</v>
      </c>
      <c r="Y147" s="15">
        <v>237.0</v>
      </c>
      <c r="Z147" s="11">
        <f t="shared" si="15"/>
        <v>0.006755793735</v>
      </c>
      <c r="AA147" s="15">
        <v>322.0</v>
      </c>
      <c r="AB147" s="11">
        <f t="shared" si="16"/>
        <v>0.00915943678</v>
      </c>
      <c r="AC147" s="15">
        <v>812.0</v>
      </c>
      <c r="AD147" s="11">
        <f t="shared" si="17"/>
        <v>0.009576149256</v>
      </c>
      <c r="AE147" s="15">
        <v>1047.0</v>
      </c>
      <c r="AF147" s="20">
        <f t="shared" si="19"/>
        <v>0.05378885179</v>
      </c>
      <c r="AG147" s="19">
        <v>790.0</v>
      </c>
      <c r="AH147" s="15">
        <v>552.0</v>
      </c>
      <c r="AI147" s="15">
        <v>636.0</v>
      </c>
      <c r="AJ147" s="15">
        <v>448.0</v>
      </c>
    </row>
    <row r="148" ht="15.75" customHeight="1">
      <c r="A148" s="6" t="s">
        <v>78</v>
      </c>
      <c r="B148" s="6" t="s">
        <v>34</v>
      </c>
      <c r="C148" s="6" t="s">
        <v>60</v>
      </c>
      <c r="D148" s="4" t="s">
        <v>236</v>
      </c>
      <c r="E148" s="19">
        <f t="shared" si="1"/>
        <v>530.4</v>
      </c>
      <c r="F148" s="11">
        <f t="shared" si="2"/>
        <v>0.01123626449</v>
      </c>
      <c r="G148" s="15">
        <f t="shared" si="3"/>
        <v>477.6</v>
      </c>
      <c r="H148" s="11">
        <f t="shared" si="4"/>
        <v>0.01175781269</v>
      </c>
      <c r="I148" s="15">
        <f t="shared" si="5"/>
        <v>583.2</v>
      </c>
      <c r="J148" s="20">
        <f t="shared" si="6"/>
        <v>0.01084240585</v>
      </c>
      <c r="K148" s="15">
        <f t="shared" si="7"/>
        <v>741</v>
      </c>
      <c r="L148" s="11">
        <f t="shared" si="8"/>
        <v>0.01118726976</v>
      </c>
      <c r="M148" s="19">
        <v>391.0</v>
      </c>
      <c r="N148" s="11">
        <f t="shared" si="9"/>
        <v>0.01427007299</v>
      </c>
      <c r="O148" s="15">
        <v>750.0</v>
      </c>
      <c r="P148" s="11">
        <f t="shared" si="10"/>
        <v>0.01118151323</v>
      </c>
      <c r="Q148" s="15">
        <v>759.0</v>
      </c>
      <c r="R148" s="11">
        <f t="shared" si="11"/>
        <v>0.01087454868</v>
      </c>
      <c r="S148" s="17">
        <v>714.0</v>
      </c>
      <c r="T148" s="29">
        <f t="shared" si="12"/>
        <v>0.01154648511</v>
      </c>
      <c r="U148" s="15">
        <v>626.0</v>
      </c>
      <c r="V148" s="11">
        <f t="shared" si="13"/>
        <v>0.01848734532</v>
      </c>
      <c r="W148" s="15">
        <v>629.0</v>
      </c>
      <c r="X148" s="11">
        <f t="shared" si="14"/>
        <v>0.0167380718</v>
      </c>
      <c r="Y148" s="15">
        <v>364.0</v>
      </c>
      <c r="Z148" s="11">
        <f t="shared" si="15"/>
        <v>0.010375987</v>
      </c>
      <c r="AA148" s="15">
        <v>329.0</v>
      </c>
      <c r="AB148" s="11">
        <f t="shared" si="16"/>
        <v>0.009358554971</v>
      </c>
      <c r="AC148" s="15">
        <v>565.0</v>
      </c>
      <c r="AD148" s="11">
        <f t="shared" si="17"/>
        <v>0.006663207302</v>
      </c>
      <c r="AE148" s="15">
        <v>177.0</v>
      </c>
      <c r="AF148" s="20">
        <f t="shared" si="19"/>
        <v>0.009093244285</v>
      </c>
      <c r="AG148" s="19">
        <v>732.0</v>
      </c>
      <c r="AH148" s="15">
        <v>501.0</v>
      </c>
      <c r="AI148" s="15">
        <v>568.0</v>
      </c>
      <c r="AJ148" s="15">
        <v>397.0</v>
      </c>
    </row>
    <row r="149" ht="15.75" customHeight="1">
      <c r="A149" s="6" t="s">
        <v>75</v>
      </c>
      <c r="B149" s="6" t="s">
        <v>34</v>
      </c>
      <c r="C149" s="6" t="s">
        <v>54</v>
      </c>
      <c r="D149" s="4" t="s">
        <v>240</v>
      </c>
      <c r="E149" s="19">
        <f t="shared" si="1"/>
        <v>435.9</v>
      </c>
      <c r="F149" s="11">
        <f t="shared" si="2"/>
        <v>0.009234328229</v>
      </c>
      <c r="G149" s="15">
        <f t="shared" si="3"/>
        <v>349.2</v>
      </c>
      <c r="H149" s="11">
        <f t="shared" si="4"/>
        <v>0.008596792697</v>
      </c>
      <c r="I149" s="15">
        <f t="shared" si="5"/>
        <v>522.6</v>
      </c>
      <c r="J149" s="20">
        <f t="shared" si="6"/>
        <v>0.009715777262</v>
      </c>
      <c r="K149" s="15">
        <f t="shared" si="7"/>
        <v>652.3333333</v>
      </c>
      <c r="L149" s="11">
        <f t="shared" si="8"/>
        <v>0.009848622099</v>
      </c>
      <c r="M149" s="19">
        <v>335.0</v>
      </c>
      <c r="N149" s="11">
        <f t="shared" si="9"/>
        <v>0.01222627737</v>
      </c>
      <c r="O149" s="15">
        <v>662.0</v>
      </c>
      <c r="P149" s="11">
        <f t="shared" si="10"/>
        <v>0.009869549012</v>
      </c>
      <c r="Q149" s="15">
        <v>670.0</v>
      </c>
      <c r="R149" s="11">
        <f t="shared" si="11"/>
        <v>0.009599403977</v>
      </c>
      <c r="S149" s="17">
        <v>625.0</v>
      </c>
      <c r="T149" s="29">
        <f t="shared" si="12"/>
        <v>0.01010721736</v>
      </c>
      <c r="U149" s="15">
        <v>326.0</v>
      </c>
      <c r="V149" s="11">
        <f t="shared" si="13"/>
        <v>0.009627595168</v>
      </c>
      <c r="W149" s="15">
        <v>354.0</v>
      </c>
      <c r="X149" s="11">
        <f t="shared" si="14"/>
        <v>0.009420154874</v>
      </c>
      <c r="Y149" s="15">
        <v>341.0</v>
      </c>
      <c r="Z149" s="11">
        <f t="shared" si="15"/>
        <v>0.009720361449</v>
      </c>
      <c r="AA149" s="15">
        <v>315.0</v>
      </c>
      <c r="AB149" s="11">
        <f t="shared" si="16"/>
        <v>0.008960318589</v>
      </c>
      <c r="AC149" s="15">
        <v>631.0</v>
      </c>
      <c r="AD149" s="11">
        <f t="shared" si="17"/>
        <v>0.007441564262</v>
      </c>
      <c r="AE149" s="15">
        <v>100.0</v>
      </c>
      <c r="AF149" s="20">
        <f t="shared" si="19"/>
        <v>0.005137426149</v>
      </c>
      <c r="AG149" s="19">
        <v>637.0</v>
      </c>
      <c r="AH149" s="15">
        <v>443.0</v>
      </c>
      <c r="AI149" s="15">
        <v>506.0</v>
      </c>
      <c r="AJ149" s="15">
        <v>340.0</v>
      </c>
    </row>
    <row r="150" ht="15.75" customHeight="1">
      <c r="A150" s="6" t="s">
        <v>75</v>
      </c>
      <c r="B150" s="6" t="s">
        <v>34</v>
      </c>
      <c r="C150" s="6" t="s">
        <v>56</v>
      </c>
      <c r="D150" s="4" t="s">
        <v>238</v>
      </c>
      <c r="E150" s="19">
        <f t="shared" si="1"/>
        <v>472.9</v>
      </c>
      <c r="F150" s="11">
        <f t="shared" si="2"/>
        <v>0.01001815513</v>
      </c>
      <c r="G150" s="15">
        <f t="shared" si="3"/>
        <v>435.6</v>
      </c>
      <c r="H150" s="11">
        <f t="shared" si="4"/>
        <v>0.01072383419</v>
      </c>
      <c r="I150" s="15">
        <f t="shared" si="5"/>
        <v>510.2</v>
      </c>
      <c r="J150" s="20">
        <f t="shared" si="6"/>
        <v>0.009485245999</v>
      </c>
      <c r="K150" s="15">
        <f t="shared" si="7"/>
        <v>651.6666667</v>
      </c>
      <c r="L150" s="11">
        <f t="shared" si="8"/>
        <v>0.009838557079</v>
      </c>
      <c r="M150" s="19">
        <v>403.0</v>
      </c>
      <c r="N150" s="11">
        <f t="shared" si="9"/>
        <v>0.0147080292</v>
      </c>
      <c r="O150" s="15">
        <v>659.0</v>
      </c>
      <c r="P150" s="11">
        <f t="shared" si="10"/>
        <v>0.009824822959</v>
      </c>
      <c r="Q150" s="15">
        <v>667.0</v>
      </c>
      <c r="R150" s="11">
        <f t="shared" si="11"/>
        <v>0.009556421571</v>
      </c>
      <c r="S150" s="17">
        <v>629.0</v>
      </c>
      <c r="T150" s="29">
        <f t="shared" si="12"/>
        <v>0.01017190355</v>
      </c>
      <c r="U150" s="15">
        <v>460.0</v>
      </c>
      <c r="V150" s="11">
        <f t="shared" si="13"/>
        <v>0.01358495024</v>
      </c>
      <c r="W150" s="15">
        <v>480.0</v>
      </c>
      <c r="X150" s="11">
        <f t="shared" si="14"/>
        <v>0.01277309135</v>
      </c>
      <c r="Y150" s="15">
        <v>290.0</v>
      </c>
      <c r="Z150" s="11">
        <f t="shared" si="15"/>
        <v>0.008266583051</v>
      </c>
      <c r="AA150" s="15">
        <v>306.0</v>
      </c>
      <c r="AB150" s="11">
        <f t="shared" si="16"/>
        <v>0.008704309487</v>
      </c>
      <c r="AC150" s="15">
        <v>688.0</v>
      </c>
      <c r="AD150" s="11">
        <f t="shared" si="17"/>
        <v>0.008113781635</v>
      </c>
      <c r="AE150" s="15">
        <v>147.0</v>
      </c>
      <c r="AF150" s="20">
        <f t="shared" si="19"/>
        <v>0.00755201644</v>
      </c>
      <c r="AG150" s="19">
        <v>652.0</v>
      </c>
      <c r="AH150" s="15">
        <v>445.0</v>
      </c>
      <c r="AI150" s="15">
        <v>517.0</v>
      </c>
      <c r="AJ150" s="15">
        <v>348.0</v>
      </c>
    </row>
    <row r="151" ht="15.75" customHeight="1">
      <c r="A151" s="6" t="s">
        <v>78</v>
      </c>
      <c r="B151" s="6" t="s">
        <v>34</v>
      </c>
      <c r="C151" s="6" t="s">
        <v>62</v>
      </c>
      <c r="D151" s="4" t="s">
        <v>237</v>
      </c>
      <c r="E151" s="19">
        <f t="shared" si="1"/>
        <v>530.2</v>
      </c>
      <c r="F151" s="11">
        <f t="shared" si="2"/>
        <v>0.01123202759</v>
      </c>
      <c r="G151" s="15">
        <f t="shared" si="3"/>
        <v>608.6</v>
      </c>
      <c r="H151" s="11">
        <f t="shared" si="4"/>
        <v>0.01498284088</v>
      </c>
      <c r="I151" s="15">
        <f t="shared" si="5"/>
        <v>451.8</v>
      </c>
      <c r="J151" s="20">
        <f t="shared" si="6"/>
        <v>0.008399518115</v>
      </c>
      <c r="K151" s="15">
        <f t="shared" si="7"/>
        <v>547.6666667</v>
      </c>
      <c r="L151" s="11">
        <f t="shared" si="8"/>
        <v>0.008268413954</v>
      </c>
      <c r="M151" s="19">
        <v>363.0</v>
      </c>
      <c r="N151" s="11">
        <f t="shared" si="9"/>
        <v>0.01324817518</v>
      </c>
      <c r="O151" s="15">
        <v>563.0</v>
      </c>
      <c r="P151" s="11">
        <f t="shared" si="10"/>
        <v>0.008393589266</v>
      </c>
      <c r="Q151" s="15">
        <v>567.0</v>
      </c>
      <c r="R151" s="11">
        <f t="shared" si="11"/>
        <v>0.008123674709</v>
      </c>
      <c r="S151" s="17">
        <v>513.0</v>
      </c>
      <c r="T151" s="29">
        <f t="shared" si="12"/>
        <v>0.008296004011</v>
      </c>
      <c r="U151" s="15">
        <v>772.0</v>
      </c>
      <c r="V151" s="11">
        <f t="shared" si="13"/>
        <v>0.0227990904</v>
      </c>
      <c r="W151" s="15">
        <v>777.0</v>
      </c>
      <c r="X151" s="11">
        <f t="shared" si="14"/>
        <v>0.02067644163</v>
      </c>
      <c r="Y151" s="15">
        <v>250.0</v>
      </c>
      <c r="Z151" s="11">
        <f t="shared" si="15"/>
        <v>0.007126364699</v>
      </c>
      <c r="AA151" s="15">
        <v>366.0</v>
      </c>
      <c r="AB151" s="11">
        <f t="shared" si="16"/>
        <v>0.01041103684</v>
      </c>
      <c r="AC151" s="15">
        <v>460.0</v>
      </c>
      <c r="AD151" s="11">
        <f t="shared" si="17"/>
        <v>0.00542491214</v>
      </c>
      <c r="AE151" s="15">
        <v>671.0</v>
      </c>
      <c r="AF151" s="20">
        <f t="shared" si="19"/>
        <v>0.03447212946</v>
      </c>
      <c r="AG151" s="19">
        <v>526.0</v>
      </c>
      <c r="AH151" s="15">
        <v>353.0</v>
      </c>
      <c r="AI151" s="15">
        <v>432.0</v>
      </c>
      <c r="AJ151" s="15">
        <v>312.0</v>
      </c>
    </row>
    <row r="152" ht="15.75" customHeight="1">
      <c r="A152" s="6" t="s">
        <v>75</v>
      </c>
      <c r="B152" s="6" t="s">
        <v>34</v>
      </c>
      <c r="C152" s="6" t="s">
        <v>60</v>
      </c>
      <c r="D152" s="4" t="s">
        <v>241</v>
      </c>
      <c r="E152" s="19">
        <f t="shared" si="1"/>
        <v>352.2</v>
      </c>
      <c r="F152" s="11">
        <f t="shared" si="2"/>
        <v>0.00746118468</v>
      </c>
      <c r="G152" s="15">
        <f t="shared" si="3"/>
        <v>295.6</v>
      </c>
      <c r="H152" s="11">
        <f t="shared" si="4"/>
        <v>0.007277239179</v>
      </c>
      <c r="I152" s="15">
        <f t="shared" si="5"/>
        <v>408.8</v>
      </c>
      <c r="J152" s="20">
        <f t="shared" si="6"/>
        <v>0.007600095187</v>
      </c>
      <c r="K152" s="15">
        <f t="shared" si="7"/>
        <v>569</v>
      </c>
      <c r="L152" s="11">
        <f t="shared" si="8"/>
        <v>0.008590494595</v>
      </c>
      <c r="M152" s="19">
        <v>285.0</v>
      </c>
      <c r="N152" s="11">
        <f t="shared" si="9"/>
        <v>0.01040145985</v>
      </c>
      <c r="O152" s="15">
        <v>574.0</v>
      </c>
      <c r="P152" s="11">
        <f t="shared" si="10"/>
        <v>0.008557584793</v>
      </c>
      <c r="Q152" s="15">
        <v>583.0</v>
      </c>
      <c r="R152" s="11">
        <f t="shared" si="11"/>
        <v>0.008352914207</v>
      </c>
      <c r="S152" s="17">
        <v>550.0</v>
      </c>
      <c r="T152" s="29">
        <f t="shared" si="12"/>
        <v>0.008894351278</v>
      </c>
      <c r="U152" s="15">
        <v>360.0</v>
      </c>
      <c r="V152" s="11">
        <f t="shared" si="13"/>
        <v>0.01063170019</v>
      </c>
      <c r="W152" s="15">
        <v>373.0</v>
      </c>
      <c r="X152" s="11">
        <f t="shared" si="14"/>
        <v>0.009925756407</v>
      </c>
      <c r="Y152" s="15">
        <v>185.0</v>
      </c>
      <c r="Z152" s="11">
        <f t="shared" si="15"/>
        <v>0.005273509877</v>
      </c>
      <c r="AA152" s="15">
        <v>152.0</v>
      </c>
      <c r="AB152" s="11">
        <f t="shared" si="16"/>
        <v>0.004323709287</v>
      </c>
      <c r="AC152" s="15">
        <v>416.0</v>
      </c>
      <c r="AD152" s="11">
        <f t="shared" si="17"/>
        <v>0.004906007501</v>
      </c>
      <c r="AE152" s="15">
        <v>44.0</v>
      </c>
      <c r="AF152" s="20">
        <f t="shared" si="19"/>
        <v>0.002260467506</v>
      </c>
      <c r="AG152" s="19">
        <v>604.0</v>
      </c>
      <c r="AH152" s="15">
        <v>411.0</v>
      </c>
      <c r="AI152" s="15">
        <v>508.0</v>
      </c>
      <c r="AJ152" s="15">
        <v>367.0</v>
      </c>
    </row>
    <row r="153" ht="15.75" customHeight="1">
      <c r="A153" s="6" t="s">
        <v>78</v>
      </c>
      <c r="B153" s="6" t="s">
        <v>34</v>
      </c>
      <c r="C153" s="6" t="s">
        <v>52</v>
      </c>
      <c r="D153" s="4" t="s">
        <v>243</v>
      </c>
      <c r="E153" s="19">
        <f t="shared" si="1"/>
        <v>268.4</v>
      </c>
      <c r="F153" s="11">
        <f t="shared" si="2"/>
        <v>0.005685922681</v>
      </c>
      <c r="G153" s="15">
        <f t="shared" si="3"/>
        <v>167</v>
      </c>
      <c r="H153" s="11">
        <f t="shared" si="4"/>
        <v>0.004111295477</v>
      </c>
      <c r="I153" s="15">
        <f t="shared" si="5"/>
        <v>369.8</v>
      </c>
      <c r="J153" s="20">
        <f t="shared" si="6"/>
        <v>0.006875037182</v>
      </c>
      <c r="K153" s="15">
        <f t="shared" si="7"/>
        <v>460</v>
      </c>
      <c r="L153" s="11">
        <f t="shared" si="8"/>
        <v>0.00694486382</v>
      </c>
      <c r="M153" s="19">
        <v>255.0</v>
      </c>
      <c r="N153" s="11">
        <f t="shared" si="9"/>
        <v>0.009306569343</v>
      </c>
      <c r="O153" s="15">
        <v>474.0</v>
      </c>
      <c r="P153" s="11">
        <f t="shared" si="10"/>
        <v>0.007066716362</v>
      </c>
      <c r="Q153" s="15">
        <v>480.0</v>
      </c>
      <c r="R153" s="11">
        <f t="shared" si="11"/>
        <v>0.006877184939</v>
      </c>
      <c r="S153" s="17">
        <v>426.0</v>
      </c>
      <c r="T153" s="29">
        <f t="shared" si="12"/>
        <v>0.006889079354</v>
      </c>
      <c r="U153" s="15">
        <v>65.0</v>
      </c>
      <c r="V153" s="11">
        <f t="shared" si="13"/>
        <v>0.001919612534</v>
      </c>
      <c r="W153" s="15">
        <v>64.0</v>
      </c>
      <c r="X153" s="11">
        <f t="shared" si="14"/>
        <v>0.001703078847</v>
      </c>
      <c r="Y153" s="15">
        <v>265.0</v>
      </c>
      <c r="Z153" s="11">
        <f t="shared" si="15"/>
        <v>0.007553946581</v>
      </c>
      <c r="AA153" s="15">
        <v>204.0</v>
      </c>
      <c r="AB153" s="11">
        <f t="shared" si="16"/>
        <v>0.005802872991</v>
      </c>
      <c r="AC153" s="15">
        <v>435.0</v>
      </c>
      <c r="AD153" s="11">
        <f t="shared" si="17"/>
        <v>0.005130079958</v>
      </c>
      <c r="AE153" s="15">
        <v>16.0</v>
      </c>
      <c r="AF153" s="20">
        <f t="shared" si="19"/>
        <v>0.0008219881839</v>
      </c>
      <c r="AG153" s="19">
        <v>441.0</v>
      </c>
      <c r="AH153" s="15">
        <v>297.0</v>
      </c>
      <c r="AI153" s="15">
        <v>338.0</v>
      </c>
      <c r="AJ153" s="15">
        <v>249.0</v>
      </c>
    </row>
    <row r="154" ht="15.75" customHeight="1">
      <c r="A154" s="6" t="s">
        <v>78</v>
      </c>
      <c r="B154" s="6" t="s">
        <v>34</v>
      </c>
      <c r="C154" s="6" t="s">
        <v>52</v>
      </c>
      <c r="D154" s="4" t="s">
        <v>242</v>
      </c>
      <c r="E154" s="19">
        <f t="shared" si="1"/>
        <v>274.9</v>
      </c>
      <c r="F154" s="11">
        <f t="shared" si="2"/>
        <v>0.005823622001</v>
      </c>
      <c r="G154" s="15">
        <f t="shared" si="3"/>
        <v>206.6</v>
      </c>
      <c r="H154" s="11">
        <f t="shared" si="4"/>
        <v>0.005086189494</v>
      </c>
      <c r="I154" s="15">
        <f t="shared" si="5"/>
        <v>343.2</v>
      </c>
      <c r="J154" s="20">
        <f t="shared" si="6"/>
        <v>0.006380510441</v>
      </c>
      <c r="K154" s="15">
        <f t="shared" si="7"/>
        <v>436.3333333</v>
      </c>
      <c r="L154" s="11">
        <f t="shared" si="8"/>
        <v>0.006587555609</v>
      </c>
      <c r="M154" s="19">
        <v>217.0</v>
      </c>
      <c r="N154" s="11">
        <f t="shared" si="9"/>
        <v>0.007919708029</v>
      </c>
      <c r="O154" s="15">
        <v>448.0</v>
      </c>
      <c r="P154" s="11">
        <f t="shared" si="10"/>
        <v>0.00667909057</v>
      </c>
      <c r="Q154" s="15">
        <v>455.0</v>
      </c>
      <c r="R154" s="11">
        <f t="shared" si="11"/>
        <v>0.006518998223</v>
      </c>
      <c r="S154" s="17">
        <v>406.0</v>
      </c>
      <c r="T154" s="29">
        <f t="shared" si="12"/>
        <v>0.006565648398</v>
      </c>
      <c r="U154" s="15">
        <v>162.0</v>
      </c>
      <c r="V154" s="11">
        <f t="shared" si="13"/>
        <v>0.004784265084</v>
      </c>
      <c r="W154" s="15">
        <v>149.0</v>
      </c>
      <c r="X154" s="11">
        <f t="shared" si="14"/>
        <v>0.003964980441</v>
      </c>
      <c r="Y154" s="15">
        <v>200.0</v>
      </c>
      <c r="Z154" s="11">
        <f t="shared" si="15"/>
        <v>0.005701091759</v>
      </c>
      <c r="AA154" s="15">
        <v>207.0</v>
      </c>
      <c r="AB154" s="11">
        <f t="shared" si="16"/>
        <v>0.005888209359</v>
      </c>
      <c r="AC154" s="15">
        <v>448.0</v>
      </c>
      <c r="AD154" s="11">
        <f t="shared" si="17"/>
        <v>0.005283392693</v>
      </c>
      <c r="AE154" s="15">
        <v>57.0</v>
      </c>
      <c r="AF154" s="20">
        <f t="shared" si="19"/>
        <v>0.002928332905</v>
      </c>
      <c r="AG154" s="19">
        <v>387.0</v>
      </c>
      <c r="AH154" s="15">
        <v>271.0</v>
      </c>
      <c r="AI154" s="15">
        <v>306.0</v>
      </c>
      <c r="AJ154" s="15">
        <v>191.0</v>
      </c>
    </row>
    <row r="155" ht="15.75" customHeight="1">
      <c r="A155" s="6" t="s">
        <v>78</v>
      </c>
      <c r="B155" s="6" t="s">
        <v>34</v>
      </c>
      <c r="C155" s="6" t="s">
        <v>56</v>
      </c>
      <c r="D155" s="4" t="s">
        <v>247</v>
      </c>
      <c r="E155" s="19">
        <f t="shared" si="1"/>
        <v>226.5</v>
      </c>
      <c r="F155" s="11">
        <f t="shared" si="2"/>
        <v>0.004798291681</v>
      </c>
      <c r="G155" s="15">
        <f t="shared" si="3"/>
        <v>147.2</v>
      </c>
      <c r="H155" s="11">
        <f t="shared" si="4"/>
        <v>0.003623848468</v>
      </c>
      <c r="I155" s="15">
        <f t="shared" si="5"/>
        <v>305.8</v>
      </c>
      <c r="J155" s="20">
        <f t="shared" si="6"/>
        <v>0.005685198406</v>
      </c>
      <c r="K155" s="15">
        <f t="shared" si="7"/>
        <v>398</v>
      </c>
      <c r="L155" s="11">
        <f t="shared" si="8"/>
        <v>0.006008816958</v>
      </c>
      <c r="M155" s="19">
        <v>219.0</v>
      </c>
      <c r="N155" s="11">
        <f t="shared" si="9"/>
        <v>0.00799270073</v>
      </c>
      <c r="O155" s="15">
        <v>418.0</v>
      </c>
      <c r="P155" s="11">
        <f t="shared" si="10"/>
        <v>0.006231830041</v>
      </c>
      <c r="Q155" s="15">
        <v>420.0</v>
      </c>
      <c r="R155" s="11">
        <f t="shared" si="11"/>
        <v>0.006017536822</v>
      </c>
      <c r="S155" s="17">
        <v>356.0</v>
      </c>
      <c r="T155" s="29">
        <f t="shared" si="12"/>
        <v>0.005757071009</v>
      </c>
      <c r="U155" s="15">
        <v>70.0</v>
      </c>
      <c r="V155" s="11">
        <f t="shared" si="13"/>
        <v>0.002067275036</v>
      </c>
      <c r="W155" s="15">
        <v>73.0</v>
      </c>
      <c r="X155" s="11">
        <f t="shared" si="14"/>
        <v>0.00194257431</v>
      </c>
      <c r="Y155" s="15">
        <v>177.0</v>
      </c>
      <c r="Z155" s="11">
        <f t="shared" si="15"/>
        <v>0.005045466207</v>
      </c>
      <c r="AA155" s="15">
        <v>158.0</v>
      </c>
      <c r="AB155" s="11">
        <f t="shared" si="16"/>
        <v>0.004494382022</v>
      </c>
      <c r="AC155" s="15">
        <v>369.0</v>
      </c>
      <c r="AD155" s="11">
        <f t="shared" si="17"/>
        <v>0.004351722999</v>
      </c>
      <c r="AE155" s="15">
        <v>5.0</v>
      </c>
      <c r="AF155" s="20">
        <f t="shared" si="19"/>
        <v>0.0002568713075</v>
      </c>
      <c r="AG155" s="19">
        <v>417.0</v>
      </c>
      <c r="AH155" s="15">
        <v>275.0</v>
      </c>
      <c r="AI155" s="15">
        <v>301.0</v>
      </c>
      <c r="AJ155" s="15">
        <v>227.0</v>
      </c>
    </row>
    <row r="156" ht="15.75" customHeight="1">
      <c r="A156" s="6" t="s">
        <v>78</v>
      </c>
      <c r="B156" s="6" t="s">
        <v>34</v>
      </c>
      <c r="C156" s="6" t="s">
        <v>56</v>
      </c>
      <c r="D156" s="4" t="s">
        <v>244</v>
      </c>
      <c r="E156" s="19">
        <f t="shared" si="1"/>
        <v>248.7</v>
      </c>
      <c r="F156" s="11">
        <f t="shared" si="2"/>
        <v>0.005268587819</v>
      </c>
      <c r="G156" s="15">
        <f t="shared" si="3"/>
        <v>217.2</v>
      </c>
      <c r="H156" s="11">
        <f t="shared" si="4"/>
        <v>0.005347145973</v>
      </c>
      <c r="I156" s="15">
        <f t="shared" si="5"/>
        <v>280.2</v>
      </c>
      <c r="J156" s="20">
        <f t="shared" si="6"/>
        <v>0.005209262895</v>
      </c>
      <c r="K156" s="15">
        <f t="shared" si="7"/>
        <v>328</v>
      </c>
      <c r="L156" s="11">
        <f t="shared" si="8"/>
        <v>0.004951989854</v>
      </c>
      <c r="M156" s="19">
        <v>162.0</v>
      </c>
      <c r="N156" s="11">
        <f t="shared" si="9"/>
        <v>0.005912408759</v>
      </c>
      <c r="O156" s="15">
        <v>331.0</v>
      </c>
      <c r="P156" s="11">
        <f t="shared" si="10"/>
        <v>0.004934774506</v>
      </c>
      <c r="Q156" s="15">
        <v>337.0</v>
      </c>
      <c r="R156" s="11">
        <f t="shared" si="11"/>
        <v>0.004828356926</v>
      </c>
      <c r="S156" s="17">
        <v>316.0</v>
      </c>
      <c r="T156" s="29">
        <f t="shared" si="12"/>
        <v>0.005110209098</v>
      </c>
      <c r="U156" s="15">
        <v>278.0</v>
      </c>
      <c r="V156" s="11">
        <f t="shared" si="13"/>
        <v>0.008210035144</v>
      </c>
      <c r="W156" s="15">
        <v>276.0</v>
      </c>
      <c r="X156" s="11">
        <f t="shared" si="14"/>
        <v>0.007344527529</v>
      </c>
      <c r="Y156" s="15">
        <v>214.0</v>
      </c>
      <c r="Z156" s="11">
        <f t="shared" si="15"/>
        <v>0.006100168182</v>
      </c>
      <c r="AA156" s="15">
        <v>203.0</v>
      </c>
      <c r="AB156" s="11">
        <f t="shared" si="16"/>
        <v>0.005774427535</v>
      </c>
      <c r="AC156" s="15">
        <v>346.0</v>
      </c>
      <c r="AD156" s="11">
        <f t="shared" si="17"/>
        <v>0.004080477392</v>
      </c>
      <c r="AE156" s="15">
        <v>24.0</v>
      </c>
      <c r="AF156" s="20">
        <f t="shared" si="19"/>
        <v>0.001232982276</v>
      </c>
      <c r="AG156" s="19">
        <v>324.0</v>
      </c>
      <c r="AH156" s="15">
        <v>234.0</v>
      </c>
      <c r="AI156" s="15">
        <v>237.0</v>
      </c>
      <c r="AJ156" s="15">
        <v>159.0</v>
      </c>
    </row>
    <row r="157" ht="15.75" customHeight="1">
      <c r="A157" s="6" t="s">
        <v>71</v>
      </c>
      <c r="B157" s="6" t="s">
        <v>34</v>
      </c>
      <c r="C157" s="6" t="s">
        <v>56</v>
      </c>
      <c r="D157" s="4" t="s">
        <v>245</v>
      </c>
      <c r="E157" s="19">
        <f t="shared" si="1"/>
        <v>238.4</v>
      </c>
      <c r="F157" s="11">
        <f t="shared" si="2"/>
        <v>0.005050387359</v>
      </c>
      <c r="G157" s="15">
        <f t="shared" si="3"/>
        <v>201.6</v>
      </c>
      <c r="H157" s="11">
        <f t="shared" si="4"/>
        <v>0.004963096815</v>
      </c>
      <c r="I157" s="15">
        <f t="shared" si="5"/>
        <v>275.2</v>
      </c>
      <c r="J157" s="20">
        <f t="shared" si="6"/>
        <v>0.00511630674</v>
      </c>
      <c r="K157" s="15">
        <f t="shared" si="7"/>
        <v>331</v>
      </c>
      <c r="L157" s="11">
        <f t="shared" si="8"/>
        <v>0.004997282445</v>
      </c>
      <c r="M157" s="19">
        <v>194.0</v>
      </c>
      <c r="N157" s="11">
        <f t="shared" si="9"/>
        <v>0.007080291971</v>
      </c>
      <c r="O157" s="15">
        <v>349.0</v>
      </c>
      <c r="P157" s="11">
        <f t="shared" si="10"/>
        <v>0.005203130824</v>
      </c>
      <c r="Q157" s="15">
        <v>349.0</v>
      </c>
      <c r="R157" s="11">
        <f t="shared" si="11"/>
        <v>0.005000286549</v>
      </c>
      <c r="S157" s="17">
        <v>295.0</v>
      </c>
      <c r="T157" s="29">
        <f t="shared" si="12"/>
        <v>0.004770606595</v>
      </c>
      <c r="U157" s="15">
        <v>214.0</v>
      </c>
      <c r="V157" s="11">
        <f t="shared" si="13"/>
        <v>0.006319955111</v>
      </c>
      <c r="W157" s="15">
        <v>209.0</v>
      </c>
      <c r="X157" s="11">
        <f t="shared" si="14"/>
        <v>0.00556161686</v>
      </c>
      <c r="Y157" s="15">
        <v>200.0</v>
      </c>
      <c r="Z157" s="11">
        <f t="shared" si="15"/>
        <v>0.005701091759</v>
      </c>
      <c r="AA157" s="15">
        <v>183.0</v>
      </c>
      <c r="AB157" s="11">
        <f t="shared" si="16"/>
        <v>0.005205518418</v>
      </c>
      <c r="AC157" s="15">
        <v>381.0</v>
      </c>
      <c r="AD157" s="11">
        <f t="shared" si="17"/>
        <v>0.004493242446</v>
      </c>
      <c r="AE157" s="15">
        <v>10.0</v>
      </c>
      <c r="AF157" s="20">
        <f t="shared" si="19"/>
        <v>0.0005137426149</v>
      </c>
      <c r="AG157" s="19">
        <v>315.0</v>
      </c>
      <c r="AH157" s="15">
        <v>245.0</v>
      </c>
      <c r="AI157" s="15">
        <v>239.0</v>
      </c>
      <c r="AJ157" s="15">
        <v>167.0</v>
      </c>
    </row>
    <row r="158" ht="15.75" customHeight="1">
      <c r="A158" s="6" t="s">
        <v>78</v>
      </c>
      <c r="B158" s="6" t="s">
        <v>34</v>
      </c>
      <c r="C158" s="6" t="s">
        <v>56</v>
      </c>
      <c r="D158" s="4" t="s">
        <v>248</v>
      </c>
      <c r="E158" s="19">
        <f t="shared" si="1"/>
        <v>216.9</v>
      </c>
      <c r="F158" s="11">
        <f t="shared" si="2"/>
        <v>0.004594920378</v>
      </c>
      <c r="G158" s="15">
        <f t="shared" si="3"/>
        <v>163.8</v>
      </c>
      <c r="H158" s="11">
        <f t="shared" si="4"/>
        <v>0.004032516162</v>
      </c>
      <c r="I158" s="15">
        <f t="shared" si="5"/>
        <v>270</v>
      </c>
      <c r="J158" s="20">
        <f t="shared" si="6"/>
        <v>0.00501963234</v>
      </c>
      <c r="K158" s="15">
        <f t="shared" si="7"/>
        <v>297</v>
      </c>
      <c r="L158" s="11">
        <f t="shared" si="8"/>
        <v>0.004483966423</v>
      </c>
      <c r="M158" s="19">
        <v>182.0</v>
      </c>
      <c r="N158" s="11">
        <f t="shared" si="9"/>
        <v>0.006642335766</v>
      </c>
      <c r="O158" s="15">
        <v>305.0</v>
      </c>
      <c r="P158" s="11">
        <f t="shared" si="10"/>
        <v>0.004547148714</v>
      </c>
      <c r="Q158" s="15">
        <v>310.0</v>
      </c>
      <c r="R158" s="11">
        <f t="shared" si="11"/>
        <v>0.004441515273</v>
      </c>
      <c r="S158" s="17">
        <v>276.0</v>
      </c>
      <c r="T158" s="29">
        <f t="shared" si="12"/>
        <v>0.004463347187</v>
      </c>
      <c r="U158" s="15">
        <v>146.0</v>
      </c>
      <c r="V158" s="11">
        <f t="shared" si="13"/>
        <v>0.004311745075</v>
      </c>
      <c r="W158" s="15">
        <v>153.0</v>
      </c>
      <c r="X158" s="11">
        <f t="shared" si="14"/>
        <v>0.004071422869</v>
      </c>
      <c r="Y158" s="15">
        <v>260.0</v>
      </c>
      <c r="Z158" s="11">
        <f t="shared" si="15"/>
        <v>0.007411419287</v>
      </c>
      <c r="AA158" s="15">
        <v>199.0</v>
      </c>
      <c r="AB158" s="11">
        <f t="shared" si="16"/>
        <v>0.005660645712</v>
      </c>
      <c r="AC158" s="15">
        <v>304.0</v>
      </c>
      <c r="AD158" s="11">
        <f t="shared" si="17"/>
        <v>0.003585159327</v>
      </c>
      <c r="AE158" s="15">
        <v>34.0</v>
      </c>
      <c r="AF158" s="20">
        <f t="shared" si="19"/>
        <v>0.001746724891</v>
      </c>
      <c r="AG158" s="19">
        <v>275.0</v>
      </c>
      <c r="AH158" s="15">
        <v>200.0</v>
      </c>
      <c r="AI158" s="15">
        <v>213.0</v>
      </c>
      <c r="AJ158" s="15">
        <v>158.0</v>
      </c>
    </row>
    <row r="159" ht="15.75" customHeight="1">
      <c r="A159" s="6" t="s">
        <v>71</v>
      </c>
      <c r="B159" s="6" t="s">
        <v>34</v>
      </c>
      <c r="C159" s="6" t="s">
        <v>56</v>
      </c>
      <c r="D159" s="4" t="s">
        <v>246</v>
      </c>
      <c r="E159" s="19">
        <f t="shared" si="1"/>
        <v>236.4</v>
      </c>
      <c r="F159" s="11">
        <f t="shared" si="2"/>
        <v>0.005008018337</v>
      </c>
      <c r="G159" s="15">
        <f t="shared" si="3"/>
        <v>212.6</v>
      </c>
      <c r="H159" s="11">
        <f t="shared" si="4"/>
        <v>0.005233900709</v>
      </c>
      <c r="I159" s="15">
        <f t="shared" si="5"/>
        <v>260.2</v>
      </c>
      <c r="J159" s="20">
        <f t="shared" si="6"/>
        <v>0.004837438277</v>
      </c>
      <c r="K159" s="15">
        <f t="shared" si="7"/>
        <v>301.3333333</v>
      </c>
      <c r="L159" s="11">
        <f t="shared" si="8"/>
        <v>0.004549389053</v>
      </c>
      <c r="M159" s="19">
        <v>230.0</v>
      </c>
      <c r="N159" s="11">
        <f t="shared" si="9"/>
        <v>0.008394160584</v>
      </c>
      <c r="O159" s="15">
        <v>308.0</v>
      </c>
      <c r="P159" s="11">
        <f t="shared" si="10"/>
        <v>0.004591874767</v>
      </c>
      <c r="Q159" s="15">
        <v>320.0</v>
      </c>
      <c r="R159" s="11">
        <f t="shared" si="11"/>
        <v>0.004584789959</v>
      </c>
      <c r="S159" s="17">
        <v>276.0</v>
      </c>
      <c r="T159" s="29">
        <f t="shared" si="12"/>
        <v>0.004463347187</v>
      </c>
      <c r="U159" s="15">
        <v>244.0</v>
      </c>
      <c r="V159" s="11">
        <f t="shared" si="13"/>
        <v>0.007205930126</v>
      </c>
      <c r="W159" s="15">
        <v>246.0</v>
      </c>
      <c r="X159" s="11">
        <f t="shared" si="14"/>
        <v>0.006546209319</v>
      </c>
      <c r="Y159" s="15">
        <v>195.0</v>
      </c>
      <c r="Z159" s="11">
        <f t="shared" si="15"/>
        <v>0.005558564465</v>
      </c>
      <c r="AA159" s="15">
        <v>202.0</v>
      </c>
      <c r="AB159" s="11">
        <f t="shared" si="16"/>
        <v>0.005745982079</v>
      </c>
      <c r="AC159" s="15">
        <v>321.0</v>
      </c>
      <c r="AD159" s="11">
        <f t="shared" si="17"/>
        <v>0.003785645211</v>
      </c>
      <c r="AE159" s="15">
        <v>22.0</v>
      </c>
      <c r="AF159" s="20">
        <f t="shared" si="19"/>
        <v>0.001130233753</v>
      </c>
      <c r="AG159" s="19">
        <v>319.0</v>
      </c>
      <c r="AH159" s="15">
        <v>230.0</v>
      </c>
      <c r="AI159" s="15">
        <v>247.0</v>
      </c>
      <c r="AJ159" s="15">
        <v>197.0</v>
      </c>
    </row>
    <row r="160" ht="15.75" customHeight="1">
      <c r="A160" s="6" t="s">
        <v>75</v>
      </c>
      <c r="B160" s="6" t="s">
        <v>34</v>
      </c>
      <c r="C160" s="6" t="s">
        <v>54</v>
      </c>
      <c r="D160" s="4" t="s">
        <v>249</v>
      </c>
      <c r="E160" s="19">
        <f t="shared" si="1"/>
        <v>125.8</v>
      </c>
      <c r="F160" s="11">
        <f t="shared" si="2"/>
        <v>0.00266501145</v>
      </c>
      <c r="G160" s="15">
        <f t="shared" si="3"/>
        <v>104.2</v>
      </c>
      <c r="H160" s="11">
        <f t="shared" si="4"/>
        <v>0.002565251429</v>
      </c>
      <c r="I160" s="15">
        <f t="shared" si="5"/>
        <v>147.4</v>
      </c>
      <c r="J160" s="20">
        <f t="shared" si="6"/>
        <v>0.002740347433</v>
      </c>
      <c r="K160" s="15">
        <f t="shared" si="7"/>
        <v>212</v>
      </c>
      <c r="L160" s="11">
        <f t="shared" si="8"/>
        <v>0.003200676369</v>
      </c>
      <c r="M160" s="19">
        <v>115.0</v>
      </c>
      <c r="N160" s="11">
        <f t="shared" si="9"/>
        <v>0.004197080292</v>
      </c>
      <c r="O160" s="15">
        <v>214.0</v>
      </c>
      <c r="P160" s="11">
        <f t="shared" si="10"/>
        <v>0.003190458442</v>
      </c>
      <c r="Q160" s="15">
        <v>220.0</v>
      </c>
      <c r="R160" s="11">
        <f t="shared" si="11"/>
        <v>0.003152043097</v>
      </c>
      <c r="S160" s="17">
        <v>202.0</v>
      </c>
      <c r="T160" s="29">
        <f t="shared" si="12"/>
        <v>0.003266652651</v>
      </c>
      <c r="U160" s="15">
        <v>90.0</v>
      </c>
      <c r="V160" s="11">
        <f t="shared" si="13"/>
        <v>0.002657925047</v>
      </c>
      <c r="W160" s="15">
        <v>98.0</v>
      </c>
      <c r="X160" s="11">
        <f t="shared" si="14"/>
        <v>0.002607839485</v>
      </c>
      <c r="Y160" s="15">
        <v>59.0</v>
      </c>
      <c r="Z160" s="11">
        <f t="shared" si="15"/>
        <v>0.001681822069</v>
      </c>
      <c r="AA160" s="15">
        <v>42.0</v>
      </c>
      <c r="AB160" s="11">
        <f t="shared" si="16"/>
        <v>0.001194709145</v>
      </c>
      <c r="AC160" s="15">
        <v>197.0</v>
      </c>
      <c r="AD160" s="11">
        <f t="shared" si="17"/>
        <v>0.00232327759</v>
      </c>
      <c r="AE160" s="15">
        <v>21.0</v>
      </c>
      <c r="AF160" s="20">
        <f t="shared" si="19"/>
        <v>0.001078859491</v>
      </c>
      <c r="AG160" s="19">
        <v>215.0</v>
      </c>
      <c r="AH160" s="15">
        <v>147.0</v>
      </c>
      <c r="AI160" s="15">
        <v>177.0</v>
      </c>
      <c r="AJ160" s="15">
        <v>123.0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1.22" defaultRowHeight="15.0"/>
  <cols>
    <col customWidth="1" min="1" max="2" width="10.56"/>
    <col customWidth="1" min="3" max="4" width="18.33"/>
    <col customWidth="1" min="5" max="5" width="18.78"/>
    <col customWidth="1" min="6" max="6" width="16.0"/>
    <col customWidth="1" min="7" max="13" width="10.78"/>
    <col customWidth="1" min="14" max="26" width="10.56"/>
    <col customWidth="1" min="27" max="27" width="10.78"/>
    <col customWidth="1" min="28" max="30" width="10.56"/>
  </cols>
  <sheetData>
    <row r="1" ht="15.75" customHeight="1">
      <c r="F1" s="4"/>
      <c r="G1" s="18"/>
      <c r="L1" s="4"/>
      <c r="M1" s="18"/>
      <c r="AA1" s="18"/>
    </row>
    <row r="2" ht="15.75" customHeight="1">
      <c r="F2" s="4"/>
      <c r="G2" s="18"/>
      <c r="L2" s="4"/>
      <c r="M2" s="18"/>
      <c r="AA2" s="18"/>
    </row>
    <row r="3" ht="15.75" customHeight="1">
      <c r="F3" s="4"/>
      <c r="G3" s="18"/>
      <c r="L3" s="4"/>
      <c r="M3" s="18" t="s">
        <v>92</v>
      </c>
      <c r="O3" s="6" t="s">
        <v>93</v>
      </c>
      <c r="Q3" s="6" t="s">
        <v>94</v>
      </c>
      <c r="S3" s="6" t="s">
        <v>96</v>
      </c>
      <c r="U3" s="6" t="s">
        <v>97</v>
      </c>
      <c r="W3" s="6" t="s">
        <v>98</v>
      </c>
      <c r="Y3" s="6" t="s">
        <v>99</v>
      </c>
      <c r="AA3" s="18"/>
    </row>
    <row r="4" ht="15.75" customHeight="1">
      <c r="F4" s="4"/>
      <c r="G4" s="19">
        <f t="shared" ref="G4:Z4" si="1">SUM(G6:G164)</f>
        <v>0</v>
      </c>
      <c r="H4" s="11">
        <f t="shared" si="1"/>
        <v>1</v>
      </c>
      <c r="I4" s="15">
        <f t="shared" si="1"/>
        <v>0</v>
      </c>
      <c r="J4" s="11">
        <f t="shared" si="1"/>
        <v>1</v>
      </c>
      <c r="K4" s="15">
        <f t="shared" si="1"/>
        <v>894778.75</v>
      </c>
      <c r="L4" s="20">
        <f t="shared" si="1"/>
        <v>1</v>
      </c>
      <c r="M4" s="19">
        <f t="shared" si="1"/>
        <v>588947</v>
      </c>
      <c r="N4" s="11">
        <f t="shared" si="1"/>
        <v>1</v>
      </c>
      <c r="O4" s="15">
        <f t="shared" si="1"/>
        <v>1178625</v>
      </c>
      <c r="P4" s="11">
        <f t="shared" si="1"/>
        <v>1</v>
      </c>
      <c r="Q4" s="15">
        <f t="shared" si="1"/>
        <v>1204742</v>
      </c>
      <c r="R4" s="11">
        <f t="shared" si="1"/>
        <v>1</v>
      </c>
      <c r="S4" s="15">
        <f t="shared" si="1"/>
        <v>947352</v>
      </c>
      <c r="T4" s="11">
        <f t="shared" si="1"/>
        <v>1</v>
      </c>
      <c r="U4" s="15">
        <f t="shared" si="1"/>
        <v>992555</v>
      </c>
      <c r="V4" s="11">
        <f t="shared" si="1"/>
        <v>1</v>
      </c>
      <c r="W4" s="15">
        <f t="shared" si="1"/>
        <v>588307</v>
      </c>
      <c r="X4" s="11">
        <f t="shared" si="1"/>
        <v>1</v>
      </c>
      <c r="Y4" s="15">
        <f t="shared" si="1"/>
        <v>607441</v>
      </c>
      <c r="Z4" s="11">
        <f t="shared" si="1"/>
        <v>1</v>
      </c>
      <c r="AA4" s="18"/>
      <c r="AB4" s="6" t="s">
        <v>102</v>
      </c>
    </row>
    <row r="5" ht="31.5" customHeight="1">
      <c r="A5" s="6" t="s">
        <v>296</v>
      </c>
      <c r="B5" s="6" t="s">
        <v>297</v>
      </c>
      <c r="C5" s="21" t="s">
        <v>103</v>
      </c>
      <c r="D5" s="21" t="s">
        <v>104</v>
      </c>
      <c r="E5" s="21" t="s">
        <v>35</v>
      </c>
      <c r="F5" s="22" t="s">
        <v>105</v>
      </c>
      <c r="G5" s="23" t="s">
        <v>36</v>
      </c>
      <c r="H5" s="24" t="s">
        <v>37</v>
      </c>
      <c r="I5" s="21" t="s">
        <v>38</v>
      </c>
      <c r="J5" s="24" t="s">
        <v>39</v>
      </c>
      <c r="K5" s="21" t="s">
        <v>40</v>
      </c>
      <c r="L5" s="25" t="s">
        <v>41</v>
      </c>
      <c r="M5" s="23" t="s">
        <v>108</v>
      </c>
      <c r="N5" s="24" t="s">
        <v>109</v>
      </c>
      <c r="O5" s="21" t="s">
        <v>108</v>
      </c>
      <c r="P5" s="24" t="s">
        <v>109</v>
      </c>
      <c r="Q5" s="21" t="s">
        <v>108</v>
      </c>
      <c r="R5" s="24" t="s">
        <v>109</v>
      </c>
      <c r="S5" s="21" t="s">
        <v>110</v>
      </c>
      <c r="T5" s="24" t="s">
        <v>109</v>
      </c>
      <c r="U5" s="21" t="s">
        <v>111</v>
      </c>
      <c r="V5" s="24" t="s">
        <v>109</v>
      </c>
      <c r="W5" s="21" t="s">
        <v>108</v>
      </c>
      <c r="X5" s="24" t="s">
        <v>109</v>
      </c>
      <c r="Y5" s="21" t="s">
        <v>108</v>
      </c>
      <c r="Z5" s="24" t="s">
        <v>109</v>
      </c>
      <c r="AA5" s="27" t="s">
        <v>112</v>
      </c>
      <c r="AB5" s="28" t="s">
        <v>113</v>
      </c>
      <c r="AC5" s="28" t="s">
        <v>114</v>
      </c>
      <c r="AD5" s="28" t="s">
        <v>87</v>
      </c>
    </row>
    <row r="6" ht="15.75" customHeight="1">
      <c r="A6" s="6">
        <v>79.0</v>
      </c>
      <c r="C6" s="6" t="s">
        <v>78</v>
      </c>
      <c r="D6" s="6" t="s">
        <v>33</v>
      </c>
      <c r="E6" s="6" t="s">
        <v>61</v>
      </c>
      <c r="F6" s="4" t="s">
        <v>171</v>
      </c>
      <c r="G6" s="19"/>
      <c r="H6" s="11">
        <f t="shared" ref="H6:H164" si="3">AVERAGE(N6,P6,R6,T6,V6,X6,Z6)</f>
        <v>0.003145954914</v>
      </c>
      <c r="I6" s="15"/>
      <c r="J6" s="11">
        <f t="shared" ref="J6:J164" si="4">AVERAGE(N6,T6,V6)</f>
        <v>0.003340184532</v>
      </c>
      <c r="K6" s="15">
        <f t="shared" ref="K6:L6" si="2">AVERAGE(O6,Q6,W6,Y6)</f>
        <v>2727.5</v>
      </c>
      <c r="L6" s="20">
        <f t="shared" si="2"/>
        <v>0.003000282701</v>
      </c>
      <c r="M6" s="19">
        <v>1902.0</v>
      </c>
      <c r="N6" s="11">
        <f t="shared" ref="N6:N164" si="6">M6/$M$4</f>
        <v>0.003229492637</v>
      </c>
      <c r="O6" s="15">
        <v>3703.0</v>
      </c>
      <c r="P6" s="11">
        <f t="shared" ref="P6:P164" si="7">O6/$O$4</f>
        <v>0.003141796585</v>
      </c>
      <c r="Q6" s="15">
        <v>3781.0</v>
      </c>
      <c r="R6" s="11">
        <f t="shared" ref="R6:R164" si="8">Q6/$Q$4</f>
        <v>0.003138431299</v>
      </c>
      <c r="S6" s="15">
        <v>3238.0</v>
      </c>
      <c r="T6" s="11">
        <f t="shared" ref="T6:T164" si="9">S6/$S$4</f>
        <v>0.003417948133</v>
      </c>
      <c r="U6" s="15">
        <v>3348.0</v>
      </c>
      <c r="V6" s="11">
        <f t="shared" ref="V6:V164" si="10">U6/$U$4</f>
        <v>0.003373112825</v>
      </c>
      <c r="W6" s="15">
        <v>1510.0</v>
      </c>
      <c r="X6" s="11">
        <f t="shared" ref="X6:X164" si="11">W6/$W$4</f>
        <v>0.002566687121</v>
      </c>
      <c r="Y6" s="15">
        <v>1916.0</v>
      </c>
      <c r="Z6" s="11">
        <f t="shared" ref="Z6:Z164" si="12">Y6/$Y$4</f>
        <v>0.0031542158</v>
      </c>
      <c r="AA6" s="19">
        <v>3622.0</v>
      </c>
      <c r="AB6" s="15">
        <v>2374.0</v>
      </c>
      <c r="AC6" s="15">
        <v>2793.0</v>
      </c>
      <c r="AD6" s="15">
        <v>1824.0</v>
      </c>
    </row>
    <row r="7" ht="15.75" customHeight="1">
      <c r="A7" s="6">
        <v>140.0</v>
      </c>
      <c r="C7" s="6" t="s">
        <v>78</v>
      </c>
      <c r="D7" s="6" t="s">
        <v>34</v>
      </c>
      <c r="E7" s="6" t="s">
        <v>52</v>
      </c>
      <c r="F7" s="4" t="s">
        <v>227</v>
      </c>
      <c r="G7" s="19"/>
      <c r="H7" s="11">
        <f t="shared" si="3"/>
        <v>0.0009744440771</v>
      </c>
      <c r="I7" s="15"/>
      <c r="J7" s="11">
        <f t="shared" si="4"/>
        <v>0.001161255709</v>
      </c>
      <c r="K7" s="15">
        <f t="shared" ref="K7:L7" si="5">AVERAGE(O7,Q7,W7,Y7)</f>
        <v>744.25</v>
      </c>
      <c r="L7" s="20">
        <f t="shared" si="5"/>
        <v>0.0008343353532</v>
      </c>
      <c r="M7" s="19">
        <v>477.0</v>
      </c>
      <c r="N7" s="11">
        <f t="shared" si="6"/>
        <v>0.0008099200777</v>
      </c>
      <c r="O7" s="15">
        <v>976.0</v>
      </c>
      <c r="P7" s="11">
        <f t="shared" si="7"/>
        <v>0.000828083572</v>
      </c>
      <c r="Q7" s="15">
        <v>997.0</v>
      </c>
      <c r="R7" s="11">
        <f t="shared" si="8"/>
        <v>0.0008275630799</v>
      </c>
      <c r="S7" s="15">
        <v>1361.0</v>
      </c>
      <c r="T7" s="11">
        <f t="shared" si="9"/>
        <v>0.001436636013</v>
      </c>
      <c r="U7" s="15">
        <v>1228.0</v>
      </c>
      <c r="V7" s="11">
        <f t="shared" si="10"/>
        <v>0.001237211036</v>
      </c>
      <c r="W7" s="15">
        <v>539.0</v>
      </c>
      <c r="X7" s="11">
        <f t="shared" si="11"/>
        <v>0.0009161883166</v>
      </c>
      <c r="Y7" s="15">
        <v>465.0</v>
      </c>
      <c r="Z7" s="11">
        <f t="shared" si="12"/>
        <v>0.0007655064442</v>
      </c>
      <c r="AA7" s="19">
        <v>953.0</v>
      </c>
      <c r="AB7" s="15">
        <v>674.0</v>
      </c>
      <c r="AC7" s="15">
        <v>774.0</v>
      </c>
      <c r="AD7" s="15">
        <v>419.0</v>
      </c>
    </row>
    <row r="8" ht="15.75" customHeight="1">
      <c r="A8" s="6">
        <v>108.0</v>
      </c>
      <c r="C8" s="6" t="s">
        <v>78</v>
      </c>
      <c r="D8" s="6" t="s">
        <v>33</v>
      </c>
      <c r="E8" s="6" t="s">
        <v>61</v>
      </c>
      <c r="F8" s="4" t="s">
        <v>198</v>
      </c>
      <c r="G8" s="19"/>
      <c r="H8" s="11">
        <f t="shared" si="3"/>
        <v>0.001880106822</v>
      </c>
      <c r="I8" s="15"/>
      <c r="J8" s="11">
        <f t="shared" si="4"/>
        <v>0.002186265327</v>
      </c>
      <c r="K8" s="15">
        <f t="shared" ref="K8:L8" si="13">AVERAGE(O8,Q8,W8,Y8)</f>
        <v>1572.5</v>
      </c>
      <c r="L8" s="20">
        <f t="shared" si="13"/>
        <v>0.001650487943</v>
      </c>
      <c r="M8" s="19">
        <v>1113.0</v>
      </c>
      <c r="N8" s="11">
        <f t="shared" si="6"/>
        <v>0.001889813515</v>
      </c>
      <c r="O8" s="15">
        <v>2312.0</v>
      </c>
      <c r="P8" s="11">
        <f t="shared" si="7"/>
        <v>0.001961607806</v>
      </c>
      <c r="Q8" s="15">
        <v>2388.0</v>
      </c>
      <c r="R8" s="11">
        <f t="shared" si="8"/>
        <v>0.001982167136</v>
      </c>
      <c r="S8" s="15">
        <v>2310.0</v>
      </c>
      <c r="T8" s="11">
        <f t="shared" si="9"/>
        <v>0.002438375599</v>
      </c>
      <c r="U8" s="15">
        <v>2214.0</v>
      </c>
      <c r="V8" s="11">
        <f t="shared" si="10"/>
        <v>0.002230606868</v>
      </c>
      <c r="W8" s="15">
        <v>759.0</v>
      </c>
      <c r="X8" s="11">
        <f t="shared" si="11"/>
        <v>0.001290142732</v>
      </c>
      <c r="Y8" s="15">
        <v>831.0</v>
      </c>
      <c r="Z8" s="11">
        <f t="shared" si="12"/>
        <v>0.001368034097</v>
      </c>
      <c r="AA8" s="19">
        <v>2252.0</v>
      </c>
      <c r="AB8" s="15">
        <v>1525.0</v>
      </c>
      <c r="AC8" s="15">
        <v>1757.0</v>
      </c>
      <c r="AD8" s="15">
        <v>1134.0</v>
      </c>
    </row>
    <row r="9" ht="15.75" customHeight="1">
      <c r="A9" s="6">
        <v>152.0</v>
      </c>
      <c r="C9" s="6" t="s">
        <v>78</v>
      </c>
      <c r="D9" s="6" t="s">
        <v>34</v>
      </c>
      <c r="E9" s="6" t="s">
        <v>52</v>
      </c>
      <c r="F9" s="4" t="s">
        <v>243</v>
      </c>
      <c r="G9" s="19"/>
      <c r="H9" s="11">
        <f t="shared" si="3"/>
        <v>0.0003075625379</v>
      </c>
      <c r="I9" s="15"/>
      <c r="J9" s="11">
        <f t="shared" si="4"/>
        <v>0.0001886894989</v>
      </c>
      <c r="K9" s="15">
        <f t="shared" ref="K9:L9" si="14">AVERAGE(O9,Q9,W9,Y9)</f>
        <v>355.75</v>
      </c>
      <c r="L9" s="20">
        <f t="shared" si="14"/>
        <v>0.0003967173172</v>
      </c>
      <c r="M9" s="19">
        <v>255.0</v>
      </c>
      <c r="N9" s="11">
        <f t="shared" si="6"/>
        <v>0.0004329761422</v>
      </c>
      <c r="O9" s="15">
        <v>474.0</v>
      </c>
      <c r="P9" s="11">
        <f t="shared" si="7"/>
        <v>0.000402163538</v>
      </c>
      <c r="Q9" s="15">
        <v>480.0</v>
      </c>
      <c r="R9" s="11">
        <f t="shared" si="8"/>
        <v>0.000398425555</v>
      </c>
      <c r="S9" s="15">
        <v>65.0</v>
      </c>
      <c r="T9" s="11">
        <f t="shared" si="9"/>
        <v>0.00006861230039</v>
      </c>
      <c r="U9" s="15">
        <v>64.0</v>
      </c>
      <c r="V9" s="11">
        <f t="shared" si="10"/>
        <v>0.000064480054</v>
      </c>
      <c r="W9" s="15">
        <v>265.0</v>
      </c>
      <c r="X9" s="11">
        <f t="shared" si="11"/>
        <v>0.0004504450907</v>
      </c>
      <c r="Y9" s="15">
        <v>204.0</v>
      </c>
      <c r="Z9" s="11">
        <f t="shared" si="12"/>
        <v>0.0003358350852</v>
      </c>
      <c r="AA9" s="19">
        <v>441.0</v>
      </c>
      <c r="AB9" s="15">
        <v>297.0</v>
      </c>
      <c r="AC9" s="15">
        <v>338.0</v>
      </c>
      <c r="AD9" s="15">
        <v>249.0</v>
      </c>
    </row>
    <row r="10" ht="15.75" customHeight="1">
      <c r="A10" s="6">
        <v>62.0</v>
      </c>
      <c r="C10" s="6" t="s">
        <v>75</v>
      </c>
      <c r="D10" s="6" t="s">
        <v>33</v>
      </c>
      <c r="E10" s="6" t="s">
        <v>60</v>
      </c>
      <c r="F10" s="4" t="s">
        <v>159</v>
      </c>
      <c r="G10" s="19"/>
      <c r="H10" s="11">
        <f t="shared" si="3"/>
        <v>0.004009683555</v>
      </c>
      <c r="I10" s="15"/>
      <c r="J10" s="11">
        <f t="shared" si="4"/>
        <v>0.003900339879</v>
      </c>
      <c r="K10" s="15">
        <f t="shared" ref="K10:L10" si="15">AVERAGE(O10,Q10,W10,Y10)</f>
        <v>3637.75</v>
      </c>
      <c r="L10" s="20">
        <f t="shared" si="15"/>
        <v>0.004091691312</v>
      </c>
      <c r="M10" s="19">
        <v>2419.0</v>
      </c>
      <c r="N10" s="11">
        <f t="shared" si="6"/>
        <v>0.004107330541</v>
      </c>
      <c r="O10" s="15">
        <v>4756.0</v>
      </c>
      <c r="P10" s="11">
        <f t="shared" si="7"/>
        <v>0.004035210521</v>
      </c>
      <c r="Q10" s="15">
        <v>4820.0</v>
      </c>
      <c r="R10" s="11">
        <f t="shared" si="8"/>
        <v>0.004000856615</v>
      </c>
      <c r="S10" s="15">
        <v>3587.0</v>
      </c>
      <c r="T10" s="11">
        <f t="shared" si="9"/>
        <v>0.003786343408</v>
      </c>
      <c r="U10" s="15">
        <v>3779.0</v>
      </c>
      <c r="V10" s="11">
        <f t="shared" si="10"/>
        <v>0.003807345689</v>
      </c>
      <c r="W10" s="15">
        <v>2626.0</v>
      </c>
      <c r="X10" s="11">
        <f t="shared" si="11"/>
        <v>0.00446365588</v>
      </c>
      <c r="Y10" s="15">
        <v>2349.0</v>
      </c>
      <c r="Z10" s="11">
        <f t="shared" si="12"/>
        <v>0.003867042231</v>
      </c>
      <c r="AA10" s="19">
        <v>4605.0</v>
      </c>
      <c r="AB10" s="15">
        <v>3045.0</v>
      </c>
      <c r="AC10" s="15">
        <v>4124.0</v>
      </c>
      <c r="AD10" s="15">
        <v>2953.0</v>
      </c>
    </row>
    <row r="11" ht="15.75" customHeight="1">
      <c r="A11" s="6">
        <v>77.0</v>
      </c>
      <c r="C11" s="6" t="s">
        <v>76</v>
      </c>
      <c r="D11" s="6" t="s">
        <v>33</v>
      </c>
      <c r="E11" s="6" t="s">
        <v>53</v>
      </c>
      <c r="F11" s="4" t="s">
        <v>169</v>
      </c>
      <c r="G11" s="19"/>
      <c r="H11" s="11">
        <f t="shared" si="3"/>
        <v>0.003513536577</v>
      </c>
      <c r="I11" s="15"/>
      <c r="J11" s="11">
        <f t="shared" si="4"/>
        <v>0.00356040015</v>
      </c>
      <c r="K11" s="15">
        <f t="shared" ref="K11:L11" si="16">AVERAGE(O11,Q11,W11,Y11)</f>
        <v>3009.5</v>
      </c>
      <c r="L11" s="20">
        <f t="shared" si="16"/>
        <v>0.003478388898</v>
      </c>
      <c r="M11" s="19">
        <v>1888.0</v>
      </c>
      <c r="N11" s="11">
        <f t="shared" si="6"/>
        <v>0.003205721398</v>
      </c>
      <c r="O11" s="15">
        <v>3715.0</v>
      </c>
      <c r="P11" s="11">
        <f t="shared" si="7"/>
        <v>0.00315197794</v>
      </c>
      <c r="Q11" s="15">
        <v>3742.0</v>
      </c>
      <c r="R11" s="11">
        <f t="shared" si="8"/>
        <v>0.003106059223</v>
      </c>
      <c r="S11" s="15">
        <v>3622.0</v>
      </c>
      <c r="T11" s="11">
        <f t="shared" si="9"/>
        <v>0.003823288493</v>
      </c>
      <c r="U11" s="15">
        <v>3625.0</v>
      </c>
      <c r="V11" s="11">
        <f t="shared" si="10"/>
        <v>0.003652190559</v>
      </c>
      <c r="W11" s="15">
        <v>2130.0</v>
      </c>
      <c r="X11" s="11">
        <f t="shared" si="11"/>
        <v>0.003620558654</v>
      </c>
      <c r="Y11" s="15">
        <v>2451.0</v>
      </c>
      <c r="Z11" s="11">
        <f t="shared" si="12"/>
        <v>0.004034959774</v>
      </c>
      <c r="AA11" s="19">
        <v>3801.0</v>
      </c>
      <c r="AB11" s="15">
        <v>2496.0</v>
      </c>
      <c r="AC11" s="15">
        <v>3264.0</v>
      </c>
      <c r="AD11" s="15">
        <v>2603.0</v>
      </c>
    </row>
    <row r="12" ht="15.75" customHeight="1">
      <c r="A12" s="6">
        <v>25.0</v>
      </c>
      <c r="B12" s="6">
        <v>5.0</v>
      </c>
      <c r="C12" s="6" t="s">
        <v>68</v>
      </c>
      <c r="D12" s="6" t="s">
        <v>32</v>
      </c>
      <c r="E12" s="6" t="s">
        <v>53</v>
      </c>
      <c r="F12" s="4" t="s">
        <v>118</v>
      </c>
      <c r="G12" s="19"/>
      <c r="H12" s="11">
        <f t="shared" si="3"/>
        <v>0.00924038282</v>
      </c>
      <c r="I12" s="15"/>
      <c r="J12" s="11">
        <f t="shared" si="4"/>
        <v>0.009107549256</v>
      </c>
      <c r="K12" s="15">
        <f t="shared" ref="K12:L12" si="17">AVERAGE(O12,Q12,W12,Y12)</f>
        <v>8464.5</v>
      </c>
      <c r="L12" s="20">
        <f t="shared" si="17"/>
        <v>0.009340007994</v>
      </c>
      <c r="M12" s="19">
        <v>5444.0</v>
      </c>
      <c r="N12" s="11">
        <f t="shared" si="6"/>
        <v>0.009243616149</v>
      </c>
      <c r="O12" s="15">
        <v>11483.0</v>
      </c>
      <c r="P12" s="11">
        <f t="shared" si="7"/>
        <v>0.009742708665</v>
      </c>
      <c r="Q12" s="15">
        <v>11662.0</v>
      </c>
      <c r="R12" s="11">
        <f t="shared" si="8"/>
        <v>0.00968008088</v>
      </c>
      <c r="S12" s="15">
        <v>8476.0</v>
      </c>
      <c r="T12" s="11">
        <f t="shared" si="9"/>
        <v>0.008947043971</v>
      </c>
      <c r="U12" s="15">
        <v>9064.0</v>
      </c>
      <c r="V12" s="11">
        <f t="shared" si="10"/>
        <v>0.009131987648</v>
      </c>
      <c r="W12" s="15">
        <v>5621.0</v>
      </c>
      <c r="X12" s="11">
        <f t="shared" si="11"/>
        <v>0.009554535302</v>
      </c>
      <c r="Y12" s="15">
        <v>5092.0</v>
      </c>
      <c r="Z12" s="11">
        <f t="shared" si="12"/>
        <v>0.008382707127</v>
      </c>
      <c r="AA12" s="19">
        <v>11319.0</v>
      </c>
      <c r="AB12" s="15">
        <v>7489.0</v>
      </c>
      <c r="AC12" s="15">
        <v>10248.0</v>
      </c>
      <c r="AD12" s="15">
        <v>8696.0</v>
      </c>
    </row>
    <row r="13" ht="15.75" customHeight="1">
      <c r="A13" s="6">
        <v>17.0</v>
      </c>
      <c r="B13" s="6">
        <v>4.0</v>
      </c>
      <c r="C13" s="6" t="s">
        <v>77</v>
      </c>
      <c r="D13" s="6" t="s">
        <v>91</v>
      </c>
      <c r="E13" s="6" t="s">
        <v>53</v>
      </c>
      <c r="F13" s="4" t="s">
        <v>25</v>
      </c>
      <c r="G13" s="19"/>
      <c r="H13" s="11">
        <f t="shared" si="3"/>
        <v>0.01363663983</v>
      </c>
      <c r="I13" s="15"/>
      <c r="J13" s="11">
        <f t="shared" si="4"/>
        <v>0.01475075824</v>
      </c>
      <c r="K13" s="15">
        <f t="shared" ref="K13:L13" si="18">AVERAGE(O13,Q13,W13,Y13)</f>
        <v>11692.5</v>
      </c>
      <c r="L13" s="20">
        <f t="shared" si="18"/>
        <v>0.01280105103</v>
      </c>
      <c r="M13" s="19">
        <v>8252.0</v>
      </c>
      <c r="N13" s="11">
        <f t="shared" si="6"/>
        <v>0.01401144755</v>
      </c>
      <c r="O13" s="15">
        <v>16057.0</v>
      </c>
      <c r="P13" s="11">
        <f t="shared" si="7"/>
        <v>0.01362350196</v>
      </c>
      <c r="Q13" s="15">
        <v>16396.0</v>
      </c>
      <c r="R13" s="11">
        <f t="shared" si="8"/>
        <v>0.01360955292</v>
      </c>
      <c r="S13" s="15">
        <v>14559.0</v>
      </c>
      <c r="T13" s="11">
        <f t="shared" si="9"/>
        <v>0.01536809971</v>
      </c>
      <c r="U13" s="15">
        <v>14762.0</v>
      </c>
      <c r="V13" s="11">
        <f t="shared" si="10"/>
        <v>0.01487272746</v>
      </c>
      <c r="W13" s="15">
        <v>7504.0</v>
      </c>
      <c r="X13" s="11">
        <f t="shared" si="11"/>
        <v>0.01275524514</v>
      </c>
      <c r="Y13" s="15">
        <v>6813.0</v>
      </c>
      <c r="Z13" s="11">
        <f t="shared" si="12"/>
        <v>0.0112159041</v>
      </c>
      <c r="AA13" s="19">
        <v>16094.0</v>
      </c>
      <c r="AB13" s="15">
        <v>10696.0</v>
      </c>
      <c r="AC13" s="15">
        <v>14150.0</v>
      </c>
      <c r="AD13" s="15">
        <v>12036.0</v>
      </c>
    </row>
    <row r="14" ht="15.75" customHeight="1">
      <c r="A14" s="6">
        <v>115.0</v>
      </c>
      <c r="C14" s="6" t="s">
        <v>78</v>
      </c>
      <c r="D14" s="6" t="s">
        <v>33</v>
      </c>
      <c r="E14" s="6" t="s">
        <v>52</v>
      </c>
      <c r="F14" s="4" t="s">
        <v>204</v>
      </c>
      <c r="G14" s="19"/>
      <c r="H14" s="11">
        <f t="shared" si="3"/>
        <v>0.001624670622</v>
      </c>
      <c r="I14" s="15"/>
      <c r="J14" s="11">
        <f t="shared" si="4"/>
        <v>0.001748481442</v>
      </c>
      <c r="K14" s="15">
        <f t="shared" ref="K14:L14" si="19">AVERAGE(O14,Q14,W14,Y14)</f>
        <v>1383.75</v>
      </c>
      <c r="L14" s="20">
        <f t="shared" si="19"/>
        <v>0.001531812507</v>
      </c>
      <c r="M14" s="19">
        <v>1168.0</v>
      </c>
      <c r="N14" s="11">
        <f t="shared" si="6"/>
        <v>0.001983200526</v>
      </c>
      <c r="O14" s="15">
        <v>1869.0</v>
      </c>
      <c r="P14" s="11">
        <f t="shared" si="7"/>
        <v>0.001585746102</v>
      </c>
      <c r="Q14" s="15">
        <v>1884.0</v>
      </c>
      <c r="R14" s="11">
        <f t="shared" si="8"/>
        <v>0.001563820303</v>
      </c>
      <c r="S14" s="15">
        <v>1529.0</v>
      </c>
      <c r="T14" s="11">
        <f t="shared" si="9"/>
        <v>0.00161397242</v>
      </c>
      <c r="U14" s="15">
        <v>1636.0</v>
      </c>
      <c r="V14" s="11">
        <f t="shared" si="10"/>
        <v>0.00164827138</v>
      </c>
      <c r="W14" s="15">
        <v>823.0</v>
      </c>
      <c r="X14" s="11">
        <f t="shared" si="11"/>
        <v>0.00139892947</v>
      </c>
      <c r="Y14" s="15">
        <v>959.0</v>
      </c>
      <c r="Z14" s="11">
        <f t="shared" si="12"/>
        <v>0.001578754151</v>
      </c>
      <c r="AA14" s="19">
        <v>1786.0</v>
      </c>
      <c r="AB14" s="15">
        <v>1255.0</v>
      </c>
      <c r="AC14" s="15">
        <v>1607.0</v>
      </c>
      <c r="AD14" s="15">
        <v>1059.0</v>
      </c>
    </row>
    <row r="15" ht="15.75" customHeight="1">
      <c r="A15" s="6">
        <v>84.0</v>
      </c>
      <c r="C15" s="6" t="s">
        <v>78</v>
      </c>
      <c r="D15" s="6" t="s">
        <v>33</v>
      </c>
      <c r="E15" s="6" t="s">
        <v>52</v>
      </c>
      <c r="F15" s="4" t="s">
        <v>179</v>
      </c>
      <c r="G15" s="19"/>
      <c r="H15" s="11">
        <f t="shared" si="3"/>
        <v>0.002855041874</v>
      </c>
      <c r="I15" s="15"/>
      <c r="J15" s="11">
        <f t="shared" si="4"/>
        <v>0.002997016764</v>
      </c>
      <c r="K15" s="15">
        <f t="shared" ref="K15:L15" si="20">AVERAGE(O15,Q15,W15,Y15)</f>
        <v>2466.5</v>
      </c>
      <c r="L15" s="20">
        <f t="shared" si="20"/>
        <v>0.002748560708</v>
      </c>
      <c r="M15" s="19">
        <v>1572.0</v>
      </c>
      <c r="N15" s="11">
        <f t="shared" si="6"/>
        <v>0.002669170571</v>
      </c>
      <c r="O15" s="15">
        <v>3280.0</v>
      </c>
      <c r="P15" s="11">
        <f t="shared" si="7"/>
        <v>0.002782903807</v>
      </c>
      <c r="Q15" s="15">
        <v>3321.0</v>
      </c>
      <c r="R15" s="11">
        <f t="shared" si="8"/>
        <v>0.002756606809</v>
      </c>
      <c r="S15" s="15">
        <v>3014.0</v>
      </c>
      <c r="T15" s="11">
        <f t="shared" si="9"/>
        <v>0.00318149959</v>
      </c>
      <c r="U15" s="15">
        <v>3117.0</v>
      </c>
      <c r="V15" s="11">
        <f t="shared" si="10"/>
        <v>0.00314038013</v>
      </c>
      <c r="W15" s="15">
        <v>1489.0</v>
      </c>
      <c r="X15" s="11">
        <f t="shared" si="11"/>
        <v>0.002530991472</v>
      </c>
      <c r="Y15" s="15">
        <v>1776.0</v>
      </c>
      <c r="Z15" s="11">
        <f t="shared" si="12"/>
        <v>0.002923740742</v>
      </c>
      <c r="AA15" s="19">
        <v>3144.0</v>
      </c>
      <c r="AB15" s="15">
        <v>2159.0</v>
      </c>
      <c r="AC15" s="15">
        <v>2461.0</v>
      </c>
      <c r="AD15" s="15">
        <v>1678.0</v>
      </c>
    </row>
    <row r="16" ht="15.75" customHeight="1">
      <c r="A16" s="6">
        <v>18.0</v>
      </c>
      <c r="B16" s="6">
        <v>8.0</v>
      </c>
      <c r="C16" s="6" t="s">
        <v>73</v>
      </c>
      <c r="D16" s="6" t="s">
        <v>91</v>
      </c>
      <c r="E16" s="6" t="s">
        <v>60</v>
      </c>
      <c r="F16" s="4" t="s">
        <v>29</v>
      </c>
      <c r="G16" s="19"/>
      <c r="H16" s="11">
        <f t="shared" si="3"/>
        <v>0.01206297102</v>
      </c>
      <c r="I16" s="15"/>
      <c r="J16" s="11">
        <f t="shared" si="4"/>
        <v>0.01108410411</v>
      </c>
      <c r="K16" s="15">
        <f t="shared" ref="K16:L16" si="21">AVERAGE(O16,Q16,W16,Y16)</f>
        <v>11017</v>
      </c>
      <c r="L16" s="20">
        <f t="shared" si="21"/>
        <v>0.01279712121</v>
      </c>
      <c r="M16" s="19">
        <v>5849.0</v>
      </c>
      <c r="N16" s="11">
        <f t="shared" si="6"/>
        <v>0.009931284139</v>
      </c>
      <c r="O16" s="15">
        <v>13403.0</v>
      </c>
      <c r="P16" s="11">
        <f t="shared" si="7"/>
        <v>0.01137172553</v>
      </c>
      <c r="Q16" s="15">
        <v>13624.0</v>
      </c>
      <c r="R16" s="11">
        <f t="shared" si="8"/>
        <v>0.01130864534</v>
      </c>
      <c r="S16" s="15">
        <v>11137.0</v>
      </c>
      <c r="T16" s="11">
        <f t="shared" si="9"/>
        <v>0.01175592599</v>
      </c>
      <c r="U16" s="15">
        <v>11479.0</v>
      </c>
      <c r="V16" s="11">
        <f t="shared" si="10"/>
        <v>0.01156510219</v>
      </c>
      <c r="W16" s="15">
        <v>8486.0</v>
      </c>
      <c r="X16" s="11">
        <f t="shared" si="11"/>
        <v>0.01442444166</v>
      </c>
      <c r="Y16" s="15">
        <v>8555.0</v>
      </c>
      <c r="Z16" s="11">
        <f t="shared" si="12"/>
        <v>0.01408367232</v>
      </c>
      <c r="AA16" s="19">
        <v>12809.0</v>
      </c>
      <c r="AB16" s="15">
        <v>8809.0</v>
      </c>
      <c r="AC16" s="15">
        <v>11116.0</v>
      </c>
      <c r="AD16" s="15">
        <v>8289.0</v>
      </c>
    </row>
    <row r="17" ht="15.75" customHeight="1">
      <c r="A17" s="6">
        <v>101.0</v>
      </c>
      <c r="C17" s="6" t="s">
        <v>75</v>
      </c>
      <c r="D17" s="6" t="s">
        <v>33</v>
      </c>
      <c r="E17" s="6" t="s">
        <v>60</v>
      </c>
      <c r="F17" s="4" t="s">
        <v>193</v>
      </c>
      <c r="G17" s="19"/>
      <c r="H17" s="11">
        <f t="shared" si="3"/>
        <v>0.002038181062</v>
      </c>
      <c r="I17" s="15"/>
      <c r="J17" s="11">
        <f t="shared" si="4"/>
        <v>0.001784457342</v>
      </c>
      <c r="K17" s="15">
        <f t="shared" ref="K17:L17" si="22">AVERAGE(O17,Q17,W17,Y17)</f>
        <v>1969.25</v>
      </c>
      <c r="L17" s="20">
        <f t="shared" si="22"/>
        <v>0.002228473852</v>
      </c>
      <c r="M17" s="19">
        <v>1064.0</v>
      </c>
      <c r="N17" s="11">
        <f t="shared" si="6"/>
        <v>0.001806614178</v>
      </c>
      <c r="O17" s="15">
        <v>2537.0</v>
      </c>
      <c r="P17" s="11">
        <f t="shared" si="7"/>
        <v>0.002152508219</v>
      </c>
      <c r="Q17" s="15">
        <v>2563.0</v>
      </c>
      <c r="R17" s="11">
        <f t="shared" si="8"/>
        <v>0.002127426453</v>
      </c>
      <c r="S17" s="15">
        <v>1684.0</v>
      </c>
      <c r="T17" s="11">
        <f t="shared" si="9"/>
        <v>0.001777586367</v>
      </c>
      <c r="U17" s="15">
        <v>1756.0</v>
      </c>
      <c r="V17" s="11">
        <f t="shared" si="10"/>
        <v>0.001769171482</v>
      </c>
      <c r="W17" s="15">
        <v>1164.0</v>
      </c>
      <c r="X17" s="11">
        <f t="shared" si="11"/>
        <v>0.001978558814</v>
      </c>
      <c r="Y17" s="15">
        <v>1613.0</v>
      </c>
      <c r="Z17" s="11">
        <f t="shared" si="12"/>
        <v>0.002655401924</v>
      </c>
      <c r="AA17" s="19">
        <v>2426.0</v>
      </c>
      <c r="AB17" s="15">
        <v>1576.0</v>
      </c>
      <c r="AC17" s="15">
        <v>1990.0</v>
      </c>
      <c r="AD17" s="15">
        <v>1406.0</v>
      </c>
    </row>
    <row r="18" ht="15.75" customHeight="1">
      <c r="A18" s="6">
        <v>100.0</v>
      </c>
      <c r="C18" s="6" t="s">
        <v>78</v>
      </c>
      <c r="D18" s="6" t="s">
        <v>33</v>
      </c>
      <c r="E18" s="6" t="s">
        <v>59</v>
      </c>
      <c r="F18" s="4" t="s">
        <v>181</v>
      </c>
      <c r="G18" s="19"/>
      <c r="H18" s="11">
        <f t="shared" si="3"/>
        <v>0.002690209531</v>
      </c>
      <c r="I18" s="15"/>
      <c r="J18" s="11">
        <f t="shared" si="4"/>
        <v>0.003231959882</v>
      </c>
      <c r="K18" s="15">
        <f t="shared" ref="K18:L18" si="23">AVERAGE(O18,Q18,W18,Y18)</f>
        <v>2144.75</v>
      </c>
      <c r="L18" s="20">
        <f t="shared" si="23"/>
        <v>0.002283896768</v>
      </c>
      <c r="M18" s="19">
        <v>1670.0</v>
      </c>
      <c r="N18" s="11">
        <f t="shared" si="6"/>
        <v>0.002835569245</v>
      </c>
      <c r="O18" s="15">
        <v>3084.0</v>
      </c>
      <c r="P18" s="11">
        <f t="shared" si="7"/>
        <v>0.002616608336</v>
      </c>
      <c r="Q18" s="15">
        <v>3158.0</v>
      </c>
      <c r="R18" s="11">
        <f t="shared" si="8"/>
        <v>0.002621308131</v>
      </c>
      <c r="S18" s="15">
        <v>3442.0</v>
      </c>
      <c r="T18" s="11">
        <f t="shared" si="9"/>
        <v>0.003633285199</v>
      </c>
      <c r="U18" s="15">
        <v>3203.0</v>
      </c>
      <c r="V18" s="11">
        <f t="shared" si="10"/>
        <v>0.003227025203</v>
      </c>
      <c r="W18" s="15">
        <v>941.0</v>
      </c>
      <c r="X18" s="11">
        <f t="shared" si="11"/>
        <v>0.00159950502</v>
      </c>
      <c r="Y18" s="15">
        <v>1396.0</v>
      </c>
      <c r="Z18" s="11">
        <f t="shared" si="12"/>
        <v>0.002298165583</v>
      </c>
      <c r="AA18" s="19">
        <v>3075.0</v>
      </c>
      <c r="AB18" s="15">
        <v>2092.0</v>
      </c>
      <c r="AC18" s="15">
        <v>2537.0</v>
      </c>
      <c r="AD18" s="15">
        <v>1853.0</v>
      </c>
    </row>
    <row r="19" ht="15.75" customHeight="1">
      <c r="A19" s="6">
        <v>111.0</v>
      </c>
      <c r="C19" s="6" t="s">
        <v>78</v>
      </c>
      <c r="D19" s="6" t="s">
        <v>33</v>
      </c>
      <c r="E19" s="6" t="s">
        <v>62</v>
      </c>
      <c r="F19" s="4" t="s">
        <v>202</v>
      </c>
      <c r="G19" s="19"/>
      <c r="H19" s="11">
        <f t="shared" si="3"/>
        <v>0.001709092203</v>
      </c>
      <c r="I19" s="15"/>
      <c r="J19" s="11">
        <f t="shared" si="4"/>
        <v>0.001717790341</v>
      </c>
      <c r="K19" s="15">
        <f t="shared" ref="K19:L19" si="24">AVERAGE(O19,Q19,W19,Y19)</f>
        <v>1521</v>
      </c>
      <c r="L19" s="20">
        <f t="shared" si="24"/>
        <v>0.0017025686</v>
      </c>
      <c r="M19" s="19">
        <v>1011.0</v>
      </c>
      <c r="N19" s="11">
        <f t="shared" si="6"/>
        <v>0.001716623058</v>
      </c>
      <c r="O19" s="15">
        <v>2004.0</v>
      </c>
      <c r="P19" s="11">
        <f t="shared" si="7"/>
        <v>0.001700286351</v>
      </c>
      <c r="Q19" s="15">
        <v>2022.0</v>
      </c>
      <c r="R19" s="11">
        <f t="shared" si="8"/>
        <v>0.001678367651</v>
      </c>
      <c r="S19" s="15">
        <v>1680.0</v>
      </c>
      <c r="T19" s="11">
        <f t="shared" si="9"/>
        <v>0.001773364072</v>
      </c>
      <c r="U19" s="15">
        <v>1651.0</v>
      </c>
      <c r="V19" s="11">
        <f t="shared" si="10"/>
        <v>0.001663383893</v>
      </c>
      <c r="W19" s="15">
        <v>815.0</v>
      </c>
      <c r="X19" s="11">
        <f t="shared" si="11"/>
        <v>0.001385331128</v>
      </c>
      <c r="Y19" s="15">
        <v>1243.0</v>
      </c>
      <c r="Z19" s="11">
        <f t="shared" si="12"/>
        <v>0.002046289269</v>
      </c>
      <c r="AA19" s="19">
        <v>1946.0</v>
      </c>
      <c r="AB19" s="15">
        <v>1311.0</v>
      </c>
      <c r="AC19" s="15">
        <v>1601.0</v>
      </c>
      <c r="AD19" s="15">
        <v>1136.0</v>
      </c>
    </row>
    <row r="20" ht="15.75" customHeight="1">
      <c r="A20" s="6">
        <v>56.0</v>
      </c>
      <c r="C20" s="6" t="s">
        <v>70</v>
      </c>
      <c r="D20" s="6" t="s">
        <v>33</v>
      </c>
      <c r="E20" s="6" t="s">
        <v>61</v>
      </c>
      <c r="F20" s="4" t="s">
        <v>147</v>
      </c>
      <c r="G20" s="19"/>
      <c r="H20" s="11">
        <f t="shared" si="3"/>
        <v>0.004867129518</v>
      </c>
      <c r="I20" s="15"/>
      <c r="J20" s="11">
        <f t="shared" si="4"/>
        <v>0.005536118792</v>
      </c>
      <c r="K20" s="15">
        <f t="shared" ref="K20:L20" si="25">AVERAGE(O20,Q20,W20,Y20)</f>
        <v>4135</v>
      </c>
      <c r="L20" s="20">
        <f t="shared" si="25"/>
        <v>0.004365387563</v>
      </c>
      <c r="M20" s="19">
        <v>2896.0</v>
      </c>
      <c r="N20" s="11">
        <f t="shared" si="6"/>
        <v>0.004917250618</v>
      </c>
      <c r="O20" s="15">
        <v>6045.0</v>
      </c>
      <c r="P20" s="11">
        <f t="shared" si="7"/>
        <v>0.005128857779</v>
      </c>
      <c r="Q20" s="15">
        <v>6195.0</v>
      </c>
      <c r="R20" s="11">
        <f t="shared" si="8"/>
        <v>0.005142179819</v>
      </c>
      <c r="S20" s="15">
        <v>5639.0</v>
      </c>
      <c r="T20" s="11">
        <f t="shared" si="9"/>
        <v>0.005952380952</v>
      </c>
      <c r="U20" s="15">
        <v>5696.0</v>
      </c>
      <c r="V20" s="11">
        <f t="shared" si="10"/>
        <v>0.005738724806</v>
      </c>
      <c r="W20" s="15">
        <v>2085.0</v>
      </c>
      <c r="X20" s="11">
        <f t="shared" si="11"/>
        <v>0.003544067978</v>
      </c>
      <c r="Y20" s="15">
        <v>2215.0</v>
      </c>
      <c r="Z20" s="11">
        <f t="shared" si="12"/>
        <v>0.003646444675</v>
      </c>
      <c r="AA20" s="19">
        <v>5730.0</v>
      </c>
      <c r="AB20" s="15">
        <v>3817.0</v>
      </c>
      <c r="AC20" s="15">
        <v>4808.0</v>
      </c>
      <c r="AD20" s="15">
        <v>3898.0</v>
      </c>
    </row>
    <row r="21" ht="15.75" customHeight="1">
      <c r="A21" s="6">
        <v>34.0</v>
      </c>
      <c r="B21" s="6">
        <v>10.0</v>
      </c>
      <c r="C21" s="6" t="s">
        <v>78</v>
      </c>
      <c r="D21" s="6" t="s">
        <v>32</v>
      </c>
      <c r="E21" s="6" t="s">
        <v>61</v>
      </c>
      <c r="F21" s="4" t="s">
        <v>125</v>
      </c>
      <c r="G21" s="19"/>
      <c r="H21" s="11">
        <f t="shared" si="3"/>
        <v>0.007781411251</v>
      </c>
      <c r="I21" s="15"/>
      <c r="J21" s="11">
        <f t="shared" si="4"/>
        <v>0.008327609414</v>
      </c>
      <c r="K21" s="15">
        <f t="shared" ref="K21:L21" si="26">AVERAGE(O21,Q21,W21,Y21)</f>
        <v>6663.5</v>
      </c>
      <c r="L21" s="20">
        <f t="shared" si="26"/>
        <v>0.007371762629</v>
      </c>
      <c r="M21" s="19">
        <v>3903.0</v>
      </c>
      <c r="N21" s="11">
        <f t="shared" si="6"/>
        <v>0.006627081894</v>
      </c>
      <c r="O21" s="15">
        <v>8985.0</v>
      </c>
      <c r="P21" s="11">
        <f t="shared" si="7"/>
        <v>0.00762328985</v>
      </c>
      <c r="Q21" s="15">
        <v>9105.0</v>
      </c>
      <c r="R21" s="11">
        <f t="shared" si="8"/>
        <v>0.007557634747</v>
      </c>
      <c r="S21" s="15">
        <v>8846.0</v>
      </c>
      <c r="T21" s="11">
        <f t="shared" si="9"/>
        <v>0.009337606296</v>
      </c>
      <c r="U21" s="15">
        <v>8951.0</v>
      </c>
      <c r="V21" s="11">
        <f t="shared" si="10"/>
        <v>0.009018140053</v>
      </c>
      <c r="W21" s="15">
        <v>3878.0</v>
      </c>
      <c r="X21" s="11">
        <f t="shared" si="11"/>
        <v>0.00659179646</v>
      </c>
      <c r="Y21" s="15">
        <v>4686.0</v>
      </c>
      <c r="Z21" s="11">
        <f t="shared" si="12"/>
        <v>0.007714329458</v>
      </c>
      <c r="AA21" s="19">
        <v>8888.0</v>
      </c>
      <c r="AB21" s="15">
        <v>6007.0</v>
      </c>
      <c r="AC21" s="15">
        <v>7755.0</v>
      </c>
      <c r="AD21" s="15">
        <v>6066.0</v>
      </c>
    </row>
    <row r="22" ht="15.75" customHeight="1">
      <c r="A22" s="6">
        <v>104.0</v>
      </c>
      <c r="C22" s="6" t="s">
        <v>75</v>
      </c>
      <c r="D22" s="6" t="s">
        <v>33</v>
      </c>
      <c r="E22" s="6" t="s">
        <v>54</v>
      </c>
      <c r="F22" s="4" t="s">
        <v>197</v>
      </c>
      <c r="G22" s="19"/>
      <c r="H22" s="11">
        <f t="shared" si="3"/>
        <v>0.001905944706</v>
      </c>
      <c r="I22" s="15"/>
      <c r="J22" s="11">
        <f t="shared" si="4"/>
        <v>0.001809682477</v>
      </c>
      <c r="K22" s="15">
        <f t="shared" ref="K22:L22" si="27">AVERAGE(O22,Q22,W22,Y22)</f>
        <v>1822.25</v>
      </c>
      <c r="L22" s="20">
        <f t="shared" si="27"/>
        <v>0.001978141378</v>
      </c>
      <c r="M22" s="19">
        <v>1275.0</v>
      </c>
      <c r="N22" s="11">
        <f t="shared" si="6"/>
        <v>0.002164880711</v>
      </c>
      <c r="O22" s="15">
        <v>2550.0</v>
      </c>
      <c r="P22" s="11">
        <f t="shared" si="7"/>
        <v>0.002163538021</v>
      </c>
      <c r="Q22" s="15">
        <v>2583.0</v>
      </c>
      <c r="R22" s="11">
        <f t="shared" si="8"/>
        <v>0.002144027518</v>
      </c>
      <c r="S22" s="15">
        <v>1569.0</v>
      </c>
      <c r="T22" s="11">
        <f t="shared" si="9"/>
        <v>0.001656195374</v>
      </c>
      <c r="U22" s="15">
        <v>1596.0</v>
      </c>
      <c r="V22" s="11">
        <f t="shared" si="10"/>
        <v>0.001607971347</v>
      </c>
      <c r="W22" s="15">
        <v>1040.0</v>
      </c>
      <c r="X22" s="11">
        <f t="shared" si="11"/>
        <v>0.001767784507</v>
      </c>
      <c r="Y22" s="15">
        <v>1116.0</v>
      </c>
      <c r="Z22" s="11">
        <f t="shared" si="12"/>
        <v>0.001837215466</v>
      </c>
      <c r="AA22" s="19">
        <v>2488.0</v>
      </c>
      <c r="AB22" s="15">
        <v>1700.0</v>
      </c>
      <c r="AC22" s="15">
        <v>2042.0</v>
      </c>
      <c r="AD22" s="15">
        <v>1525.0</v>
      </c>
    </row>
    <row r="23" ht="15.75" customHeight="1">
      <c r="A23" s="6">
        <v>75.0</v>
      </c>
      <c r="C23" s="6" t="s">
        <v>73</v>
      </c>
      <c r="D23" s="6" t="s">
        <v>33</v>
      </c>
      <c r="E23" s="6" t="s">
        <v>53</v>
      </c>
      <c r="F23" s="4" t="s">
        <v>166</v>
      </c>
      <c r="G23" s="19"/>
      <c r="H23" s="11">
        <f t="shared" si="3"/>
        <v>0.003608204436</v>
      </c>
      <c r="I23" s="15"/>
      <c r="J23" s="11">
        <f t="shared" si="4"/>
        <v>0.003820414568</v>
      </c>
      <c r="K23" s="15">
        <f t="shared" ref="K23:L23" si="28">AVERAGE(O23,Q23,W23,Y23)</f>
        <v>3128.5</v>
      </c>
      <c r="L23" s="20">
        <f t="shared" si="28"/>
        <v>0.003449046836</v>
      </c>
      <c r="M23" s="19">
        <v>2495.0</v>
      </c>
      <c r="N23" s="11">
        <f t="shared" si="6"/>
        <v>0.004236374411</v>
      </c>
      <c r="O23" s="15">
        <v>4239.0</v>
      </c>
      <c r="P23" s="11">
        <f t="shared" si="7"/>
        <v>0.003596563793</v>
      </c>
      <c r="Q23" s="15">
        <v>4335.0</v>
      </c>
      <c r="R23" s="11">
        <f t="shared" si="8"/>
        <v>0.003598280794</v>
      </c>
      <c r="S23" s="15">
        <v>3313.0</v>
      </c>
      <c r="T23" s="11">
        <f t="shared" si="9"/>
        <v>0.003497116172</v>
      </c>
      <c r="U23" s="15">
        <v>3700.0</v>
      </c>
      <c r="V23" s="11">
        <f t="shared" si="10"/>
        <v>0.003727753122</v>
      </c>
      <c r="W23" s="15">
        <v>2150.0</v>
      </c>
      <c r="X23" s="11">
        <f t="shared" si="11"/>
        <v>0.00365455451</v>
      </c>
      <c r="Y23" s="15">
        <v>1790.0</v>
      </c>
      <c r="Z23" s="11">
        <f t="shared" si="12"/>
        <v>0.002946788248</v>
      </c>
      <c r="AA23" s="19">
        <v>4169.0</v>
      </c>
      <c r="AB23" s="15">
        <v>2735.0</v>
      </c>
      <c r="AC23" s="15">
        <v>3619.0</v>
      </c>
      <c r="AD23" s="15">
        <v>2816.0</v>
      </c>
    </row>
    <row r="24" ht="15.75" customHeight="1">
      <c r="A24" s="6">
        <v>153.0</v>
      </c>
      <c r="C24" s="6" t="s">
        <v>78</v>
      </c>
      <c r="D24" s="6" t="s">
        <v>34</v>
      </c>
      <c r="E24" s="6" t="s">
        <v>52</v>
      </c>
      <c r="F24" s="4" t="s">
        <v>242</v>
      </c>
      <c r="G24" s="19"/>
      <c r="H24" s="11">
        <f t="shared" si="3"/>
        <v>0.000304012193</v>
      </c>
      <c r="I24" s="15"/>
      <c r="J24" s="11">
        <f t="shared" si="4"/>
        <v>0.0002298582657</v>
      </c>
      <c r="K24" s="15">
        <f t="shared" ref="K24:L24" si="29">AVERAGE(O24,Q24,W24,Y24)</f>
        <v>327.5</v>
      </c>
      <c r="L24" s="20">
        <f t="shared" si="29"/>
        <v>0.0003596276386</v>
      </c>
      <c r="M24" s="19">
        <v>217.0</v>
      </c>
      <c r="N24" s="11">
        <f t="shared" si="6"/>
        <v>0.0003684542073</v>
      </c>
      <c r="O24" s="15">
        <v>448.0</v>
      </c>
      <c r="P24" s="11">
        <f t="shared" si="7"/>
        <v>0.0003801039347</v>
      </c>
      <c r="Q24" s="15">
        <v>455.0</v>
      </c>
      <c r="R24" s="11">
        <f t="shared" si="8"/>
        <v>0.000377674224</v>
      </c>
      <c r="S24" s="15">
        <v>162.0</v>
      </c>
      <c r="T24" s="11">
        <f t="shared" si="9"/>
        <v>0.0001710029641</v>
      </c>
      <c r="U24" s="15">
        <v>149.0</v>
      </c>
      <c r="V24" s="11">
        <f t="shared" si="10"/>
        <v>0.0001501176257</v>
      </c>
      <c r="W24" s="15">
        <v>200.0</v>
      </c>
      <c r="X24" s="11">
        <f t="shared" si="11"/>
        <v>0.0003399585591</v>
      </c>
      <c r="Y24" s="15">
        <v>207.0</v>
      </c>
      <c r="Z24" s="11">
        <f t="shared" si="12"/>
        <v>0.0003407738365</v>
      </c>
      <c r="AA24" s="19">
        <v>387.0</v>
      </c>
      <c r="AB24" s="15">
        <v>271.0</v>
      </c>
      <c r="AC24" s="15">
        <v>306.0</v>
      </c>
      <c r="AD24" s="15">
        <v>191.0</v>
      </c>
    </row>
    <row r="25" ht="15.75" customHeight="1">
      <c r="A25" s="6">
        <v>48.0</v>
      </c>
      <c r="B25" s="6">
        <v>15.0</v>
      </c>
      <c r="C25" s="6" t="s">
        <v>70</v>
      </c>
      <c r="D25" s="6" t="s">
        <v>32</v>
      </c>
      <c r="E25" s="6" t="s">
        <v>59</v>
      </c>
      <c r="F25" s="4" t="s">
        <v>145</v>
      </c>
      <c r="G25" s="19"/>
      <c r="H25" s="11">
        <f t="shared" si="3"/>
        <v>0.005365170216</v>
      </c>
      <c r="I25" s="15"/>
      <c r="J25" s="11">
        <f t="shared" si="4"/>
        <v>0.005538744351</v>
      </c>
      <c r="K25" s="15">
        <f t="shared" ref="K25:L25" si="30">AVERAGE(O25,Q25,W25,Y25)</f>
        <v>4783.5</v>
      </c>
      <c r="L25" s="20">
        <f t="shared" si="30"/>
        <v>0.005234989615</v>
      </c>
      <c r="M25" s="19">
        <v>4026.0</v>
      </c>
      <c r="N25" s="11">
        <f t="shared" si="6"/>
        <v>0.006835929209</v>
      </c>
      <c r="O25" s="15">
        <v>6548.0</v>
      </c>
      <c r="P25" s="11">
        <f t="shared" si="7"/>
        <v>0.005555626259</v>
      </c>
      <c r="Q25" s="15">
        <v>6697.0</v>
      </c>
      <c r="R25" s="11">
        <f t="shared" si="8"/>
        <v>0.005558866546</v>
      </c>
      <c r="S25" s="15">
        <v>4600.0</v>
      </c>
      <c r="T25" s="11">
        <f t="shared" si="9"/>
        <v>0.00485563972</v>
      </c>
      <c r="U25" s="15">
        <v>4888.0</v>
      </c>
      <c r="V25" s="11">
        <f t="shared" si="10"/>
        <v>0.004924664124</v>
      </c>
      <c r="W25" s="15">
        <v>2441.0</v>
      </c>
      <c r="X25" s="11">
        <f t="shared" si="11"/>
        <v>0.004149194213</v>
      </c>
      <c r="Y25" s="15">
        <v>3448.0</v>
      </c>
      <c r="Z25" s="11">
        <f t="shared" si="12"/>
        <v>0.00567627144</v>
      </c>
      <c r="AA25" s="19">
        <v>6534.0</v>
      </c>
      <c r="AB25" s="15">
        <v>4401.0</v>
      </c>
      <c r="AC25" s="15">
        <v>5686.0</v>
      </c>
      <c r="AD25" s="15">
        <v>4361.0</v>
      </c>
    </row>
    <row r="26" ht="15.75" customHeight="1">
      <c r="A26" s="6">
        <v>128.0</v>
      </c>
      <c r="C26" s="6" t="s">
        <v>78</v>
      </c>
      <c r="D26" s="6" t="s">
        <v>33</v>
      </c>
      <c r="E26" s="6" t="s">
        <v>61</v>
      </c>
      <c r="F26" s="4" t="s">
        <v>212</v>
      </c>
      <c r="G26" s="19"/>
      <c r="H26" s="11">
        <f t="shared" si="3"/>
        <v>0.001267162884</v>
      </c>
      <c r="I26" s="15"/>
      <c r="J26" s="11">
        <f t="shared" si="4"/>
        <v>0.001485159584</v>
      </c>
      <c r="K26" s="15">
        <f t="shared" ref="K26:L26" si="31">AVERAGE(O26,Q26,W26,Y26)</f>
        <v>995</v>
      </c>
      <c r="L26" s="20">
        <f t="shared" si="31"/>
        <v>0.001103665358</v>
      </c>
      <c r="M26" s="19">
        <v>765.0</v>
      </c>
      <c r="N26" s="11">
        <f t="shared" si="6"/>
        <v>0.001298928426</v>
      </c>
      <c r="O26" s="15">
        <v>1341.0</v>
      </c>
      <c r="P26" s="11">
        <f t="shared" si="7"/>
        <v>0.001137766465</v>
      </c>
      <c r="Q26" s="15">
        <v>1347.0</v>
      </c>
      <c r="R26" s="11">
        <f t="shared" si="8"/>
        <v>0.001118081714</v>
      </c>
      <c r="S26" s="15">
        <v>1510.0</v>
      </c>
      <c r="T26" s="11">
        <f t="shared" si="9"/>
        <v>0.001593916517</v>
      </c>
      <c r="U26" s="15">
        <v>1551.0</v>
      </c>
      <c r="V26" s="11">
        <f t="shared" si="10"/>
        <v>0.001562633809</v>
      </c>
      <c r="W26" s="15">
        <v>595.0</v>
      </c>
      <c r="X26" s="11">
        <f t="shared" si="11"/>
        <v>0.001011376713</v>
      </c>
      <c r="Y26" s="15">
        <v>697.0</v>
      </c>
      <c r="Z26" s="11">
        <f t="shared" si="12"/>
        <v>0.001147436541</v>
      </c>
      <c r="AA26" s="19">
        <v>1308.0</v>
      </c>
      <c r="AB26" s="15">
        <v>898.0</v>
      </c>
      <c r="AC26" s="15">
        <v>1125.0</v>
      </c>
      <c r="AD26" s="15">
        <v>807.0</v>
      </c>
    </row>
    <row r="27" ht="15.75" customHeight="1">
      <c r="A27" s="6">
        <v>15.0</v>
      </c>
      <c r="B27" s="6">
        <v>4.0</v>
      </c>
      <c r="C27" s="6" t="s">
        <v>72</v>
      </c>
      <c r="D27" s="6" t="s">
        <v>91</v>
      </c>
      <c r="E27" s="6" t="s">
        <v>53</v>
      </c>
      <c r="F27" s="4" t="s">
        <v>23</v>
      </c>
      <c r="G27" s="19"/>
      <c r="H27" s="11">
        <f t="shared" si="3"/>
        <v>0.01565096657</v>
      </c>
      <c r="I27" s="15"/>
      <c r="J27" s="11">
        <f t="shared" si="4"/>
        <v>0.0160580085</v>
      </c>
      <c r="K27" s="15">
        <f t="shared" ref="K27:L27" si="32">AVERAGE(O27,Q27,W27,Y27)</f>
        <v>13721.25</v>
      </c>
      <c r="L27" s="20">
        <f t="shared" si="32"/>
        <v>0.01534568512</v>
      </c>
      <c r="M27" s="19">
        <v>9397.0</v>
      </c>
      <c r="N27" s="11">
        <f t="shared" si="6"/>
        <v>0.01595559533</v>
      </c>
      <c r="O27" s="15">
        <v>18084.0</v>
      </c>
      <c r="P27" s="11">
        <f t="shared" si="7"/>
        <v>0.01534330258</v>
      </c>
      <c r="Q27" s="15">
        <v>18383.0</v>
      </c>
      <c r="R27" s="11">
        <f t="shared" si="8"/>
        <v>0.0152588687</v>
      </c>
      <c r="S27" s="15">
        <v>15290.0</v>
      </c>
      <c r="T27" s="11">
        <f t="shared" si="9"/>
        <v>0.0161397242</v>
      </c>
      <c r="U27" s="15">
        <v>15959.0</v>
      </c>
      <c r="V27" s="11">
        <f t="shared" si="10"/>
        <v>0.01607870597</v>
      </c>
      <c r="W27" s="15">
        <v>8590.0</v>
      </c>
      <c r="X27" s="11">
        <f t="shared" si="11"/>
        <v>0.01460122011</v>
      </c>
      <c r="Y27" s="15">
        <v>9828.0</v>
      </c>
      <c r="Z27" s="11">
        <f t="shared" si="12"/>
        <v>0.01617934911</v>
      </c>
      <c r="AA27" s="19">
        <v>18038.0</v>
      </c>
      <c r="AB27" s="15">
        <v>11833.0</v>
      </c>
      <c r="AC27" s="15">
        <v>15819.0</v>
      </c>
      <c r="AD27" s="15">
        <v>12706.0</v>
      </c>
    </row>
    <row r="28" ht="15.75" customHeight="1">
      <c r="A28" s="6">
        <v>30.0</v>
      </c>
      <c r="B28" s="6">
        <v>13.0</v>
      </c>
      <c r="C28" s="6" t="s">
        <v>77</v>
      </c>
      <c r="D28" s="6" t="s">
        <v>32</v>
      </c>
      <c r="E28" s="6" t="s">
        <v>55</v>
      </c>
      <c r="F28" s="4" t="s">
        <v>119</v>
      </c>
      <c r="G28" s="19"/>
      <c r="H28" s="11">
        <f t="shared" si="3"/>
        <v>0.009161850672</v>
      </c>
      <c r="I28" s="15"/>
      <c r="J28" s="11">
        <f t="shared" si="4"/>
        <v>0.01145084473</v>
      </c>
      <c r="K28" s="15">
        <f t="shared" ref="K28:L28" si="33">AVERAGE(O28,Q28,W28,Y28)</f>
        <v>7249.75</v>
      </c>
      <c r="L28" s="20">
        <f t="shared" si="33"/>
        <v>0.007445105126</v>
      </c>
      <c r="M28" s="19">
        <v>8273.0</v>
      </c>
      <c r="N28" s="11">
        <f t="shared" si="6"/>
        <v>0.01404710441</v>
      </c>
      <c r="O28" s="15">
        <v>11128.0</v>
      </c>
      <c r="P28" s="11">
        <f t="shared" si="7"/>
        <v>0.009441510234</v>
      </c>
      <c r="Q28" s="15">
        <v>11311.0</v>
      </c>
      <c r="R28" s="11">
        <f t="shared" si="8"/>
        <v>0.009388732193</v>
      </c>
      <c r="S28" s="15">
        <v>9604.0</v>
      </c>
      <c r="T28" s="11">
        <f t="shared" si="9"/>
        <v>0.01013773128</v>
      </c>
      <c r="U28" s="15">
        <v>10092.0</v>
      </c>
      <c r="V28" s="11">
        <f t="shared" si="10"/>
        <v>0.01016769852</v>
      </c>
      <c r="W28" s="15">
        <v>2816.0</v>
      </c>
      <c r="X28" s="11">
        <f t="shared" si="11"/>
        <v>0.004786616511</v>
      </c>
      <c r="Y28" s="15">
        <v>3744.0</v>
      </c>
      <c r="Z28" s="11">
        <f t="shared" si="12"/>
        <v>0.006163561564</v>
      </c>
      <c r="AA28" s="19">
        <v>8708.0</v>
      </c>
      <c r="AB28" s="15">
        <v>6144.0</v>
      </c>
      <c r="AC28" s="15">
        <v>7709.0</v>
      </c>
      <c r="AD28" s="15">
        <v>5908.0</v>
      </c>
    </row>
    <row r="29" ht="15.75" customHeight="1">
      <c r="A29" s="6">
        <v>127.0</v>
      </c>
      <c r="C29" s="6" t="s">
        <v>78</v>
      </c>
      <c r="D29" s="6" t="s">
        <v>33</v>
      </c>
      <c r="E29" s="6" t="s">
        <v>59</v>
      </c>
      <c r="F29" s="4" t="s">
        <v>210</v>
      </c>
      <c r="G29" s="19"/>
      <c r="H29" s="11">
        <f t="shared" si="3"/>
        <v>0.001380717138</v>
      </c>
      <c r="I29" s="15"/>
      <c r="J29" s="11">
        <f t="shared" si="4"/>
        <v>0.001802133119</v>
      </c>
      <c r="K29" s="15">
        <f t="shared" ref="K29:L29" si="34">AVERAGE(O29,Q29,W29,Y29)</f>
        <v>1008</v>
      </c>
      <c r="L29" s="20">
        <f t="shared" si="34"/>
        <v>0.001064655152</v>
      </c>
      <c r="M29" s="19">
        <v>831.0</v>
      </c>
      <c r="N29" s="11">
        <f t="shared" si="6"/>
        <v>0.00141099284</v>
      </c>
      <c r="O29" s="15">
        <v>1478.0</v>
      </c>
      <c r="P29" s="11">
        <f t="shared" si="7"/>
        <v>0.001254003606</v>
      </c>
      <c r="Q29" s="15">
        <v>1502.0</v>
      </c>
      <c r="R29" s="11">
        <f t="shared" si="8"/>
        <v>0.001246739966</v>
      </c>
      <c r="S29" s="15">
        <v>1921.0</v>
      </c>
      <c r="T29" s="11">
        <f t="shared" si="9"/>
        <v>0.00202775737</v>
      </c>
      <c r="U29" s="15">
        <v>1953.0</v>
      </c>
      <c r="V29" s="11">
        <f t="shared" si="10"/>
        <v>0.001967649148</v>
      </c>
      <c r="W29" s="15">
        <v>486.0</v>
      </c>
      <c r="X29" s="11">
        <f t="shared" si="11"/>
        <v>0.0008260992985</v>
      </c>
      <c r="Y29" s="15">
        <v>566.0</v>
      </c>
      <c r="Z29" s="11">
        <f t="shared" si="12"/>
        <v>0.0009317777364</v>
      </c>
      <c r="AA29" s="19">
        <v>1397.0</v>
      </c>
      <c r="AB29" s="15">
        <v>936.0</v>
      </c>
      <c r="AC29" s="15">
        <v>1132.0</v>
      </c>
      <c r="AD29" s="15">
        <v>813.0</v>
      </c>
    </row>
    <row r="30" ht="15.75" customHeight="1">
      <c r="A30" s="6">
        <v>9.0</v>
      </c>
      <c r="B30" s="6">
        <v>10.0</v>
      </c>
      <c r="C30" s="6" t="s">
        <v>70</v>
      </c>
      <c r="D30" s="6" t="s">
        <v>90</v>
      </c>
      <c r="E30" s="6" t="s">
        <v>61</v>
      </c>
      <c r="F30" s="4" t="s">
        <v>17</v>
      </c>
      <c r="G30" s="19"/>
      <c r="H30" s="11">
        <f t="shared" si="3"/>
        <v>0.0198197884</v>
      </c>
      <c r="I30" s="15"/>
      <c r="J30" s="11">
        <f t="shared" si="4"/>
        <v>0.01879931235</v>
      </c>
      <c r="K30" s="15">
        <f t="shared" ref="K30:L30" si="35">AVERAGE(O30,Q30,W30,Y30)</f>
        <v>18727.75</v>
      </c>
      <c r="L30" s="20">
        <f t="shared" si="35"/>
        <v>0.02058514544</v>
      </c>
      <c r="M30" s="19">
        <v>10055.0</v>
      </c>
      <c r="N30" s="11">
        <f t="shared" si="6"/>
        <v>0.01707284357</v>
      </c>
      <c r="O30" s="15">
        <v>25455.0</v>
      </c>
      <c r="P30" s="11">
        <f t="shared" si="7"/>
        <v>0.02159720013</v>
      </c>
      <c r="Q30" s="15">
        <v>26113.0</v>
      </c>
      <c r="R30" s="11">
        <f t="shared" si="8"/>
        <v>0.02167518025</v>
      </c>
      <c r="S30" s="15">
        <v>18680.0</v>
      </c>
      <c r="T30" s="11">
        <f t="shared" si="9"/>
        <v>0.01971811956</v>
      </c>
      <c r="U30" s="15">
        <v>19461.0</v>
      </c>
      <c r="V30" s="11">
        <f t="shared" si="10"/>
        <v>0.01960697392</v>
      </c>
      <c r="W30" s="15">
        <v>11949.0</v>
      </c>
      <c r="X30" s="11">
        <f t="shared" si="11"/>
        <v>0.02031082411</v>
      </c>
      <c r="Y30" s="15">
        <v>11394.0</v>
      </c>
      <c r="Z30" s="11">
        <f t="shared" si="12"/>
        <v>0.01875737726</v>
      </c>
      <c r="AA30" s="19">
        <v>24415.0</v>
      </c>
      <c r="AB30" s="15">
        <v>16957.0</v>
      </c>
      <c r="AC30" s="15">
        <v>20970.0</v>
      </c>
      <c r="AD30" s="15">
        <v>16663.0</v>
      </c>
    </row>
    <row r="31" ht="15.75" customHeight="1">
      <c r="A31" s="6">
        <v>158.0</v>
      </c>
      <c r="C31" s="6" t="s">
        <v>71</v>
      </c>
      <c r="D31" s="6" t="s">
        <v>34</v>
      </c>
      <c r="E31" s="6" t="s">
        <v>56</v>
      </c>
      <c r="F31" s="4" t="s">
        <v>246</v>
      </c>
      <c r="G31" s="19"/>
      <c r="H31" s="11">
        <f t="shared" si="3"/>
        <v>0.0002981247714</v>
      </c>
      <c r="I31" s="15"/>
      <c r="J31" s="11">
        <f t="shared" si="4"/>
        <v>0.0002986442428</v>
      </c>
      <c r="K31" s="15">
        <f t="shared" ref="K31:L31" si="36">AVERAGE(O31,Q31,W31,Y31)</f>
        <v>256.25</v>
      </c>
      <c r="L31" s="20">
        <f t="shared" si="36"/>
        <v>0.0002977351678</v>
      </c>
      <c r="M31" s="19">
        <v>230.0</v>
      </c>
      <c r="N31" s="11">
        <f t="shared" si="6"/>
        <v>0.0003905275008</v>
      </c>
      <c r="O31" s="15">
        <v>308.0</v>
      </c>
      <c r="P31" s="11">
        <f t="shared" si="7"/>
        <v>0.0002613214551</v>
      </c>
      <c r="Q31" s="15">
        <v>320.0</v>
      </c>
      <c r="R31" s="11">
        <f t="shared" si="8"/>
        <v>0.0002656170367</v>
      </c>
      <c r="S31" s="15">
        <v>244.0</v>
      </c>
      <c r="T31" s="11">
        <f t="shared" si="9"/>
        <v>0.0002575600199</v>
      </c>
      <c r="U31" s="15">
        <v>246.0</v>
      </c>
      <c r="V31" s="11">
        <f t="shared" si="10"/>
        <v>0.0002478452076</v>
      </c>
      <c r="W31" s="15">
        <v>195.0</v>
      </c>
      <c r="X31" s="11">
        <f t="shared" si="11"/>
        <v>0.0003314595951</v>
      </c>
      <c r="Y31" s="15">
        <v>202.0</v>
      </c>
      <c r="Z31" s="11">
        <f t="shared" si="12"/>
        <v>0.0003325425844</v>
      </c>
      <c r="AA31" s="19">
        <v>319.0</v>
      </c>
      <c r="AB31" s="15">
        <v>230.0</v>
      </c>
      <c r="AC31" s="15">
        <v>247.0</v>
      </c>
      <c r="AD31" s="15">
        <v>197.0</v>
      </c>
    </row>
    <row r="32" ht="15.75" customHeight="1">
      <c r="A32" s="6">
        <v>89.0</v>
      </c>
      <c r="C32" s="6" t="s">
        <v>77</v>
      </c>
      <c r="D32" s="6" t="s">
        <v>33</v>
      </c>
      <c r="E32" s="6" t="s">
        <v>53</v>
      </c>
      <c r="F32" s="4" t="s">
        <v>173</v>
      </c>
      <c r="G32" s="19"/>
      <c r="H32" s="11">
        <f t="shared" si="3"/>
        <v>0.00328065255</v>
      </c>
      <c r="I32" s="15"/>
      <c r="J32" s="11">
        <f t="shared" si="4"/>
        <v>0.004223166005</v>
      </c>
      <c r="K32" s="15">
        <f t="shared" ref="K32:L32" si="37">AVERAGE(O32,Q32,W32,Y32)</f>
        <v>2413.25</v>
      </c>
      <c r="L32" s="20">
        <f t="shared" si="37"/>
        <v>0.002573767459</v>
      </c>
      <c r="M32" s="19">
        <v>2356.0</v>
      </c>
      <c r="N32" s="11">
        <f t="shared" si="6"/>
        <v>0.004000359964</v>
      </c>
      <c r="O32" s="15">
        <v>3467.0</v>
      </c>
      <c r="P32" s="11">
        <f t="shared" si="7"/>
        <v>0.002941563262</v>
      </c>
      <c r="Q32" s="15">
        <v>3546.0</v>
      </c>
      <c r="R32" s="11">
        <f t="shared" si="8"/>
        <v>0.002943368788</v>
      </c>
      <c r="S32" s="15">
        <v>4225.0</v>
      </c>
      <c r="T32" s="11">
        <f t="shared" si="9"/>
        <v>0.004459799525</v>
      </c>
      <c r="U32" s="15">
        <v>4178.0</v>
      </c>
      <c r="V32" s="11">
        <f t="shared" si="10"/>
        <v>0.004209338525</v>
      </c>
      <c r="W32" s="15">
        <v>1196.0</v>
      </c>
      <c r="X32" s="11">
        <f t="shared" si="11"/>
        <v>0.002032952183</v>
      </c>
      <c r="Y32" s="15">
        <v>1444.0</v>
      </c>
      <c r="Z32" s="11">
        <f t="shared" si="12"/>
        <v>0.002377185603</v>
      </c>
      <c r="AA32" s="19">
        <v>3406.0</v>
      </c>
      <c r="AB32" s="15">
        <v>2363.0</v>
      </c>
      <c r="AC32" s="15">
        <v>2853.0</v>
      </c>
      <c r="AD32" s="15">
        <v>2029.0</v>
      </c>
    </row>
    <row r="33" ht="15.75" customHeight="1">
      <c r="A33" s="6">
        <v>4.0</v>
      </c>
      <c r="B33" s="6">
        <v>1.0</v>
      </c>
      <c r="C33" s="6" t="s">
        <v>72</v>
      </c>
      <c r="D33" s="6" t="s">
        <v>89</v>
      </c>
      <c r="E33" s="6" t="s">
        <v>53</v>
      </c>
      <c r="F33" s="4" t="s">
        <v>12</v>
      </c>
      <c r="G33" s="19"/>
      <c r="H33" s="11">
        <f t="shared" si="3"/>
        <v>0.03940468941</v>
      </c>
      <c r="I33" s="15"/>
      <c r="J33" s="11">
        <f t="shared" si="4"/>
        <v>0.0399477415</v>
      </c>
      <c r="K33" s="15">
        <f t="shared" ref="K33:L33" si="38">AVERAGE(O33,Q33,W33,Y33)</f>
        <v>36133.25</v>
      </c>
      <c r="L33" s="20">
        <f t="shared" si="38"/>
        <v>0.03899740035</v>
      </c>
      <c r="M33" s="19">
        <v>26317.0</v>
      </c>
      <c r="N33" s="11">
        <f t="shared" si="6"/>
        <v>0.04468483582</v>
      </c>
      <c r="O33" s="15">
        <v>50700.0</v>
      </c>
      <c r="P33" s="11">
        <f t="shared" si="7"/>
        <v>0.04301622654</v>
      </c>
      <c r="Q33" s="15">
        <v>52199.0</v>
      </c>
      <c r="R33" s="11">
        <f t="shared" si="8"/>
        <v>0.04332794905</v>
      </c>
      <c r="S33" s="15">
        <v>35457.0</v>
      </c>
      <c r="T33" s="11">
        <f t="shared" si="9"/>
        <v>0.03742748208</v>
      </c>
      <c r="U33" s="15">
        <v>37450.0</v>
      </c>
      <c r="V33" s="11">
        <f t="shared" si="10"/>
        <v>0.0377309066</v>
      </c>
      <c r="W33" s="15">
        <v>20646.0</v>
      </c>
      <c r="X33" s="11">
        <f t="shared" si="11"/>
        <v>0.03509392205</v>
      </c>
      <c r="Y33" s="15">
        <v>20988.0</v>
      </c>
      <c r="Z33" s="11">
        <f t="shared" si="12"/>
        <v>0.03455150377</v>
      </c>
      <c r="AA33" s="19">
        <v>51300.0</v>
      </c>
      <c r="AB33" s="15">
        <v>33370.0</v>
      </c>
      <c r="AC33" s="15">
        <v>45812.0</v>
      </c>
      <c r="AD33" s="15">
        <v>39190.0</v>
      </c>
    </row>
    <row r="34" ht="15.75" customHeight="1">
      <c r="A34" s="6">
        <v>32.0</v>
      </c>
      <c r="B34" s="6">
        <v>14.0</v>
      </c>
      <c r="C34" s="6" t="s">
        <v>68</v>
      </c>
      <c r="D34" s="6" t="s">
        <v>32</v>
      </c>
      <c r="E34" s="6" t="s">
        <v>53</v>
      </c>
      <c r="F34" s="4" t="s">
        <v>129</v>
      </c>
      <c r="G34" s="19"/>
      <c r="H34" s="11">
        <f t="shared" si="3"/>
        <v>0.006754111475</v>
      </c>
      <c r="I34" s="15"/>
      <c r="J34" s="11">
        <f t="shared" si="4"/>
        <v>0.005437244235</v>
      </c>
      <c r="K34" s="15">
        <f t="shared" ref="K34:L34" si="39">AVERAGE(O34,Q34,W34,Y34)</f>
        <v>6923.5</v>
      </c>
      <c r="L34" s="20">
        <f t="shared" si="39"/>
        <v>0.007741761905</v>
      </c>
      <c r="M34" s="19">
        <v>3319.0</v>
      </c>
      <c r="N34" s="11">
        <f t="shared" si="6"/>
        <v>0.005635481631</v>
      </c>
      <c r="O34" s="15">
        <v>9101.0</v>
      </c>
      <c r="P34" s="11">
        <f t="shared" si="7"/>
        <v>0.007721709619</v>
      </c>
      <c r="Q34" s="15">
        <v>9312.0</v>
      </c>
      <c r="R34" s="11">
        <f t="shared" si="8"/>
        <v>0.007729455767</v>
      </c>
      <c r="S34" s="15">
        <v>5004.0</v>
      </c>
      <c r="T34" s="11">
        <f t="shared" si="9"/>
        <v>0.005282091556</v>
      </c>
      <c r="U34" s="15">
        <v>5354.0</v>
      </c>
      <c r="V34" s="11">
        <f t="shared" si="10"/>
        <v>0.005394159518</v>
      </c>
      <c r="W34" s="15">
        <v>4427.0</v>
      </c>
      <c r="X34" s="11">
        <f t="shared" si="11"/>
        <v>0.007524982705</v>
      </c>
      <c r="Y34" s="15">
        <v>4854.0</v>
      </c>
      <c r="Z34" s="11">
        <f t="shared" si="12"/>
        <v>0.007990899528</v>
      </c>
      <c r="AA34" s="19">
        <v>8825.0</v>
      </c>
      <c r="AB34" s="15">
        <v>6212.0</v>
      </c>
      <c r="AC34" s="15">
        <v>7754.0</v>
      </c>
      <c r="AD34" s="15">
        <v>6113.0</v>
      </c>
    </row>
    <row r="35" ht="15.75" customHeight="1">
      <c r="A35" s="6">
        <v>155.0</v>
      </c>
      <c r="C35" s="6" t="s">
        <v>78</v>
      </c>
      <c r="D35" s="6" t="s">
        <v>34</v>
      </c>
      <c r="E35" s="6" t="s">
        <v>56</v>
      </c>
      <c r="F35" s="4" t="s">
        <v>244</v>
      </c>
      <c r="G35" s="19"/>
      <c r="H35" s="11">
        <f t="shared" si="3"/>
        <v>0.0003007278735</v>
      </c>
      <c r="I35" s="15"/>
      <c r="J35" s="11">
        <f t="shared" si="4"/>
        <v>0.0002821956533</v>
      </c>
      <c r="K35" s="15">
        <f t="shared" ref="K35:L35" si="40">AVERAGE(O35,Q35,W35,Y35)</f>
        <v>271.25</v>
      </c>
      <c r="L35" s="20">
        <f t="shared" si="40"/>
        <v>0.0003146270386</v>
      </c>
      <c r="M35" s="19">
        <v>162.0</v>
      </c>
      <c r="N35" s="11">
        <f t="shared" si="6"/>
        <v>0.0002750671962</v>
      </c>
      <c r="O35" s="15">
        <v>331.0</v>
      </c>
      <c r="P35" s="11">
        <f t="shared" si="7"/>
        <v>0.0002808357196</v>
      </c>
      <c r="Q35" s="15">
        <v>337.0</v>
      </c>
      <c r="R35" s="11">
        <f t="shared" si="8"/>
        <v>0.0002797279418</v>
      </c>
      <c r="S35" s="15">
        <v>278.0</v>
      </c>
      <c r="T35" s="11">
        <f t="shared" si="9"/>
        <v>0.0002934495309</v>
      </c>
      <c r="U35" s="15">
        <v>276.0</v>
      </c>
      <c r="V35" s="11">
        <f t="shared" si="10"/>
        <v>0.0002780702329</v>
      </c>
      <c r="W35" s="15">
        <v>214.0</v>
      </c>
      <c r="X35" s="11">
        <f t="shared" si="11"/>
        <v>0.0003637556582</v>
      </c>
      <c r="Y35" s="15">
        <v>203.0</v>
      </c>
      <c r="Z35" s="11">
        <f t="shared" si="12"/>
        <v>0.0003341888348</v>
      </c>
      <c r="AA35" s="19">
        <v>324.0</v>
      </c>
      <c r="AB35" s="15">
        <v>234.0</v>
      </c>
      <c r="AC35" s="15">
        <v>237.0</v>
      </c>
      <c r="AD35" s="15">
        <v>159.0</v>
      </c>
    </row>
    <row r="36" ht="15.75" customHeight="1">
      <c r="A36" s="6">
        <v>57.0</v>
      </c>
      <c r="B36" s="6">
        <v>16.0</v>
      </c>
      <c r="C36" s="6" t="s">
        <v>74</v>
      </c>
      <c r="D36" s="6" t="s">
        <v>33</v>
      </c>
      <c r="E36" s="6" t="s">
        <v>53</v>
      </c>
      <c r="F36" s="4" t="s">
        <v>150</v>
      </c>
      <c r="G36" s="19"/>
      <c r="H36" s="11">
        <f t="shared" si="3"/>
        <v>0.004740374912</v>
      </c>
      <c r="I36" s="15"/>
      <c r="J36" s="11">
        <f t="shared" si="4"/>
        <v>0.004786201526</v>
      </c>
      <c r="K36" s="15">
        <f t="shared" ref="K36:L36" si="41">AVERAGE(O36,Q36,W36,Y36)</f>
        <v>4066.5</v>
      </c>
      <c r="L36" s="20">
        <f t="shared" si="41"/>
        <v>0.004706004952</v>
      </c>
      <c r="M36" s="19">
        <v>2733.0</v>
      </c>
      <c r="N36" s="11">
        <f t="shared" si="6"/>
        <v>0.004640485477</v>
      </c>
      <c r="O36" s="15">
        <v>4960.0</v>
      </c>
      <c r="P36" s="11">
        <f t="shared" si="7"/>
        <v>0.004208293562</v>
      </c>
      <c r="Q36" s="15">
        <v>5112.0</v>
      </c>
      <c r="R36" s="11">
        <f t="shared" si="8"/>
        <v>0.004243232161</v>
      </c>
      <c r="S36" s="15">
        <v>4522.0</v>
      </c>
      <c r="T36" s="11">
        <f t="shared" si="9"/>
        <v>0.00477330496</v>
      </c>
      <c r="U36" s="15">
        <v>4908.0</v>
      </c>
      <c r="V36" s="11">
        <f t="shared" si="10"/>
        <v>0.004944814141</v>
      </c>
      <c r="W36" s="15">
        <v>3280.0</v>
      </c>
      <c r="X36" s="11">
        <f t="shared" si="11"/>
        <v>0.005575320368</v>
      </c>
      <c r="Y36" s="15">
        <v>2914.0</v>
      </c>
      <c r="Z36" s="11">
        <f t="shared" si="12"/>
        <v>0.004797173717</v>
      </c>
      <c r="AA36" s="19">
        <v>4475.0</v>
      </c>
      <c r="AB36" s="15">
        <v>3289.0</v>
      </c>
      <c r="AC36" s="15">
        <v>4024.0</v>
      </c>
      <c r="AD36" s="15">
        <v>3072.0</v>
      </c>
    </row>
    <row r="37" ht="15.75" customHeight="1">
      <c r="A37" s="6">
        <v>146.0</v>
      </c>
      <c r="C37" s="6" t="s">
        <v>78</v>
      </c>
      <c r="D37" s="6" t="s">
        <v>34</v>
      </c>
      <c r="E37" s="6" t="s">
        <v>62</v>
      </c>
      <c r="F37" s="4" t="s">
        <v>226</v>
      </c>
      <c r="G37" s="19"/>
      <c r="H37" s="11">
        <f t="shared" si="3"/>
        <v>0.0008925918119</v>
      </c>
      <c r="I37" s="15"/>
      <c r="J37" s="11">
        <f t="shared" si="4"/>
        <v>0.00129617658</v>
      </c>
      <c r="K37" s="15">
        <f t="shared" ref="K37:L37" si="42">AVERAGE(O37,Q37,W37,Y37)</f>
        <v>564.75</v>
      </c>
      <c r="L37" s="20">
        <f t="shared" si="42"/>
        <v>0.0005899032355</v>
      </c>
      <c r="M37" s="19">
        <v>478.0</v>
      </c>
      <c r="N37" s="11">
        <f t="shared" si="6"/>
        <v>0.0008116180234</v>
      </c>
      <c r="O37" s="15">
        <v>847.0</v>
      </c>
      <c r="P37" s="11">
        <f t="shared" si="7"/>
        <v>0.0007186340015</v>
      </c>
      <c r="Q37" s="15">
        <v>853.0</v>
      </c>
      <c r="R37" s="11">
        <f t="shared" si="8"/>
        <v>0.0007080354134</v>
      </c>
      <c r="S37" s="15">
        <v>1530.0</v>
      </c>
      <c r="T37" s="11">
        <f t="shared" si="9"/>
        <v>0.001615027994</v>
      </c>
      <c r="U37" s="15">
        <v>1451.0</v>
      </c>
      <c r="V37" s="11">
        <f t="shared" si="10"/>
        <v>0.001461883724</v>
      </c>
      <c r="W37" s="15">
        <v>237.0</v>
      </c>
      <c r="X37" s="11">
        <f t="shared" si="11"/>
        <v>0.0004028508925</v>
      </c>
      <c r="Y37" s="15">
        <v>322.0</v>
      </c>
      <c r="Z37" s="11">
        <f t="shared" si="12"/>
        <v>0.0005300926345</v>
      </c>
      <c r="AA37" s="19">
        <v>790.0</v>
      </c>
      <c r="AB37" s="15">
        <v>552.0</v>
      </c>
      <c r="AC37" s="15">
        <v>636.0</v>
      </c>
      <c r="AD37" s="15">
        <v>448.0</v>
      </c>
    </row>
    <row r="38" ht="15.75" customHeight="1">
      <c r="A38" s="6">
        <v>1.0</v>
      </c>
      <c r="B38" s="6">
        <v>3.0</v>
      </c>
      <c r="C38" s="6" t="s">
        <v>74</v>
      </c>
      <c r="D38" s="6" t="s">
        <v>88</v>
      </c>
      <c r="E38" s="6" t="s">
        <v>53</v>
      </c>
      <c r="F38" s="4" t="s">
        <v>9</v>
      </c>
      <c r="G38" s="19"/>
      <c r="H38" s="11">
        <f t="shared" si="3"/>
        <v>0.07274173536</v>
      </c>
      <c r="I38" s="15"/>
      <c r="J38" s="11">
        <f t="shared" si="4"/>
        <v>0.06760670465</v>
      </c>
      <c r="K38" s="15">
        <f t="shared" ref="K38:L38" si="43">AVERAGE(O38,Q38,W38,Y38)</f>
        <v>68546.75</v>
      </c>
      <c r="L38" s="20">
        <f t="shared" si="43"/>
        <v>0.0765930084</v>
      </c>
      <c r="M38" s="19">
        <v>39947.0</v>
      </c>
      <c r="N38" s="11">
        <f t="shared" si="6"/>
        <v>0.0678278351</v>
      </c>
      <c r="O38" s="15">
        <v>90018.0</v>
      </c>
      <c r="P38" s="11">
        <f t="shared" si="7"/>
        <v>0.07637543748</v>
      </c>
      <c r="Q38" s="15">
        <v>92923.0</v>
      </c>
      <c r="R38" s="11">
        <f t="shared" si="8"/>
        <v>0.07713103718</v>
      </c>
      <c r="S38" s="15">
        <v>63696.0</v>
      </c>
      <c r="T38" s="11">
        <f t="shared" si="9"/>
        <v>0.06723583209</v>
      </c>
      <c r="U38" s="15">
        <v>67252.0</v>
      </c>
      <c r="V38" s="11">
        <f t="shared" si="10"/>
        <v>0.06775644675</v>
      </c>
      <c r="W38" s="15">
        <v>49527.0</v>
      </c>
      <c r="X38" s="11">
        <f t="shared" si="11"/>
        <v>0.08418563777</v>
      </c>
      <c r="Y38" s="15">
        <v>41719.0</v>
      </c>
      <c r="Z38" s="11">
        <f t="shared" si="12"/>
        <v>0.06867992118</v>
      </c>
      <c r="AA38" s="19">
        <v>83977.0</v>
      </c>
      <c r="AB38" s="15">
        <v>54927.0</v>
      </c>
      <c r="AC38" s="15">
        <v>76807.0</v>
      </c>
      <c r="AD38" s="15">
        <v>64497.0</v>
      </c>
    </row>
    <row r="39" ht="15.75" customHeight="1">
      <c r="A39" s="6">
        <v>76.0</v>
      </c>
      <c r="C39" s="6" t="s">
        <v>78</v>
      </c>
      <c r="D39" s="6" t="s">
        <v>33</v>
      </c>
      <c r="E39" s="6" t="s">
        <v>52</v>
      </c>
      <c r="F39" s="4" t="s">
        <v>163</v>
      </c>
      <c r="G39" s="19"/>
      <c r="H39" s="11">
        <f t="shared" si="3"/>
        <v>0.003865932444</v>
      </c>
      <c r="I39" s="15"/>
      <c r="J39" s="11">
        <f t="shared" si="4"/>
        <v>0.00449466913</v>
      </c>
      <c r="K39" s="15">
        <f t="shared" ref="K39:L39" si="44">AVERAGE(O39,Q39,W39,Y39)</f>
        <v>3096.25</v>
      </c>
      <c r="L39" s="20">
        <f t="shared" si="44"/>
        <v>0.003394379929</v>
      </c>
      <c r="M39" s="19">
        <v>2039.0</v>
      </c>
      <c r="N39" s="11">
        <f t="shared" si="6"/>
        <v>0.003462111192</v>
      </c>
      <c r="O39" s="15">
        <v>4248.0</v>
      </c>
      <c r="P39" s="11">
        <f t="shared" si="7"/>
        <v>0.003604199809</v>
      </c>
      <c r="Q39" s="15">
        <v>4321.0</v>
      </c>
      <c r="R39" s="11">
        <f t="shared" si="8"/>
        <v>0.003586660048</v>
      </c>
      <c r="S39" s="15">
        <v>4931.0</v>
      </c>
      <c r="T39" s="11">
        <f t="shared" si="9"/>
        <v>0.005205034665</v>
      </c>
      <c r="U39" s="15">
        <v>4781.0</v>
      </c>
      <c r="V39" s="11">
        <f t="shared" si="10"/>
        <v>0.004816861534</v>
      </c>
      <c r="W39" s="15">
        <v>1953.0</v>
      </c>
      <c r="X39" s="11">
        <f t="shared" si="11"/>
        <v>0.003319695329</v>
      </c>
      <c r="Y39" s="15">
        <v>1863.0</v>
      </c>
      <c r="Z39" s="11">
        <f t="shared" si="12"/>
        <v>0.003066964528</v>
      </c>
      <c r="AA39" s="19">
        <v>4141.0</v>
      </c>
      <c r="AB39" s="15">
        <v>2868.0</v>
      </c>
      <c r="AC39" s="15">
        <v>3336.0</v>
      </c>
      <c r="AD39" s="15">
        <v>1988.0</v>
      </c>
    </row>
    <row r="40" ht="15.75" customHeight="1">
      <c r="A40" s="6">
        <v>53.0</v>
      </c>
      <c r="B40" s="6">
        <v>17.0</v>
      </c>
      <c r="C40" s="6" t="s">
        <v>78</v>
      </c>
      <c r="D40" s="6" t="s">
        <v>33</v>
      </c>
      <c r="E40" s="6" t="s">
        <v>52</v>
      </c>
      <c r="F40" s="4" t="s">
        <v>146</v>
      </c>
      <c r="G40" s="19"/>
      <c r="H40" s="11">
        <f t="shared" si="3"/>
        <v>0.00510363322</v>
      </c>
      <c r="I40" s="15"/>
      <c r="J40" s="11">
        <f t="shared" si="4"/>
        <v>0.005281538292</v>
      </c>
      <c r="K40" s="15">
        <f t="shared" ref="K40:L40" si="45">AVERAGE(O40,Q40,W40,Y40)</f>
        <v>4406</v>
      </c>
      <c r="L40" s="20">
        <f t="shared" si="45"/>
        <v>0.004970204415</v>
      </c>
      <c r="M40" s="19">
        <v>3100.0</v>
      </c>
      <c r="N40" s="11">
        <f t="shared" si="6"/>
        <v>0.005263631532</v>
      </c>
      <c r="O40" s="15">
        <v>5722.0</v>
      </c>
      <c r="P40" s="11">
        <f t="shared" si="7"/>
        <v>0.00485480963</v>
      </c>
      <c r="Q40" s="15">
        <v>5769.0</v>
      </c>
      <c r="R40" s="11">
        <f t="shared" si="8"/>
        <v>0.004788577139</v>
      </c>
      <c r="S40" s="15">
        <v>5139.0</v>
      </c>
      <c r="T40" s="11">
        <f t="shared" si="9"/>
        <v>0.005424594026</v>
      </c>
      <c r="U40" s="15">
        <v>5118.0</v>
      </c>
      <c r="V40" s="11">
        <f t="shared" si="10"/>
        <v>0.005156389318</v>
      </c>
      <c r="W40" s="15">
        <v>2633.0</v>
      </c>
      <c r="X40" s="11">
        <f t="shared" si="11"/>
        <v>0.00447555443</v>
      </c>
      <c r="Y40" s="15">
        <v>3500.0</v>
      </c>
      <c r="Z40" s="11">
        <f t="shared" si="12"/>
        <v>0.005761876462</v>
      </c>
      <c r="AA40" s="19">
        <v>5501.0</v>
      </c>
      <c r="AB40" s="15">
        <v>3729.0</v>
      </c>
      <c r="AC40" s="15">
        <v>4584.0</v>
      </c>
      <c r="AD40" s="15">
        <v>3001.0</v>
      </c>
    </row>
    <row r="41" ht="15.75" customHeight="1">
      <c r="A41" s="6">
        <v>8.0</v>
      </c>
      <c r="B41" s="6">
        <v>9.0</v>
      </c>
      <c r="C41" s="6" t="s">
        <v>69</v>
      </c>
      <c r="D41" s="6" t="s">
        <v>89</v>
      </c>
      <c r="E41" s="6" t="s">
        <v>54</v>
      </c>
      <c r="F41" s="4" t="s">
        <v>16</v>
      </c>
      <c r="G41" s="19"/>
      <c r="H41" s="11">
        <f t="shared" si="3"/>
        <v>0.02157091148</v>
      </c>
      <c r="I41" s="15"/>
      <c r="J41" s="11">
        <f t="shared" si="4"/>
        <v>0.01992859327</v>
      </c>
      <c r="K41" s="15">
        <f t="shared" ref="K41:L41" si="46">AVERAGE(O41,Q41,W41,Y41)</f>
        <v>19559.75</v>
      </c>
      <c r="L41" s="20">
        <f t="shared" si="46"/>
        <v>0.02280265014</v>
      </c>
      <c r="M41" s="19">
        <v>13437.0</v>
      </c>
      <c r="N41" s="11">
        <f t="shared" si="6"/>
        <v>0.02281529577</v>
      </c>
      <c r="O41" s="15">
        <v>23595.0</v>
      </c>
      <c r="P41" s="11">
        <f t="shared" si="7"/>
        <v>0.02001909004</v>
      </c>
      <c r="Q41" s="15">
        <v>24011.0</v>
      </c>
      <c r="R41" s="11">
        <f t="shared" si="8"/>
        <v>0.01993040834</v>
      </c>
      <c r="S41" s="15">
        <v>17358.0</v>
      </c>
      <c r="T41" s="11">
        <f t="shared" si="9"/>
        <v>0.01832265093</v>
      </c>
      <c r="U41" s="15">
        <v>18509.0</v>
      </c>
      <c r="V41" s="11">
        <f t="shared" si="10"/>
        <v>0.01864783312</v>
      </c>
      <c r="W41" s="15">
        <v>15530.0</v>
      </c>
      <c r="X41" s="11">
        <f t="shared" si="11"/>
        <v>0.02639778211</v>
      </c>
      <c r="Y41" s="15">
        <v>15103.0</v>
      </c>
      <c r="Z41" s="11">
        <f t="shared" si="12"/>
        <v>0.02486332006</v>
      </c>
      <c r="AA41" s="19">
        <v>22892.0</v>
      </c>
      <c r="AB41" s="15">
        <v>14874.0</v>
      </c>
      <c r="AC41" s="15">
        <v>19440.0</v>
      </c>
      <c r="AD41" s="15">
        <v>15287.0</v>
      </c>
    </row>
    <row r="42" ht="15.75" customHeight="1">
      <c r="A42" s="6">
        <v>106.0</v>
      </c>
      <c r="C42" s="6" t="s">
        <v>78</v>
      </c>
      <c r="D42" s="6" t="s">
        <v>33</v>
      </c>
      <c r="E42" s="6" t="s">
        <v>52</v>
      </c>
      <c r="F42" s="4" t="s">
        <v>199</v>
      </c>
      <c r="G42" s="19"/>
      <c r="H42" s="11">
        <f t="shared" si="3"/>
        <v>0.001945356731</v>
      </c>
      <c r="I42" s="15"/>
      <c r="J42" s="11">
        <f t="shared" si="4"/>
        <v>0.002000588208</v>
      </c>
      <c r="K42" s="15">
        <f t="shared" ref="K42:L42" si="47">AVERAGE(O42,Q42,W42,Y42)</f>
        <v>1753</v>
      </c>
      <c r="L42" s="20">
        <f t="shared" si="47"/>
        <v>0.001903933124</v>
      </c>
      <c r="M42" s="19">
        <v>1142.0</v>
      </c>
      <c r="N42" s="11">
        <f t="shared" si="6"/>
        <v>0.001939053939</v>
      </c>
      <c r="O42" s="15">
        <v>2458.0</v>
      </c>
      <c r="P42" s="11">
        <f t="shared" si="7"/>
        <v>0.002085480963</v>
      </c>
      <c r="Q42" s="15">
        <v>2476.0</v>
      </c>
      <c r="R42" s="11">
        <f t="shared" si="8"/>
        <v>0.002055211821</v>
      </c>
      <c r="S42" s="15">
        <v>1854.0</v>
      </c>
      <c r="T42" s="11">
        <f t="shared" si="9"/>
        <v>0.001957033922</v>
      </c>
      <c r="U42" s="15">
        <v>2090.0</v>
      </c>
      <c r="V42" s="11">
        <f t="shared" si="10"/>
        <v>0.002105676764</v>
      </c>
      <c r="W42" s="15">
        <v>1011.0</v>
      </c>
      <c r="X42" s="11">
        <f t="shared" si="11"/>
        <v>0.001718490516</v>
      </c>
      <c r="Y42" s="15">
        <v>1067.0</v>
      </c>
      <c r="Z42" s="11">
        <f t="shared" si="12"/>
        <v>0.001756549196</v>
      </c>
      <c r="AA42" s="19">
        <v>2349.0</v>
      </c>
      <c r="AB42" s="15">
        <v>1571.0</v>
      </c>
      <c r="AC42" s="15">
        <v>1899.0</v>
      </c>
      <c r="AD42" s="15">
        <v>1311.0</v>
      </c>
    </row>
    <row r="43" ht="15.75" customHeight="1">
      <c r="A43" s="6">
        <v>10.0</v>
      </c>
      <c r="B43" s="6">
        <v>6.0</v>
      </c>
      <c r="C43" s="6" t="s">
        <v>72</v>
      </c>
      <c r="D43" s="6" t="s">
        <v>90</v>
      </c>
      <c r="E43" s="6" t="s">
        <v>53</v>
      </c>
      <c r="F43" s="4" t="s">
        <v>18</v>
      </c>
      <c r="G43" s="19"/>
      <c r="H43" s="11">
        <f t="shared" si="3"/>
        <v>0.01914205758</v>
      </c>
      <c r="I43" s="15"/>
      <c r="J43" s="11">
        <f t="shared" si="4"/>
        <v>0.01862363542</v>
      </c>
      <c r="K43" s="15">
        <f t="shared" ref="K43:L43" si="48">AVERAGE(O43,Q43,W43,Y43)</f>
        <v>18070.75</v>
      </c>
      <c r="L43" s="20">
        <f t="shared" si="48"/>
        <v>0.0195308742</v>
      </c>
      <c r="M43" s="19">
        <v>11288.0</v>
      </c>
      <c r="N43" s="11">
        <f t="shared" si="6"/>
        <v>0.01916641056</v>
      </c>
      <c r="O43" s="15">
        <v>25362.0</v>
      </c>
      <c r="P43" s="11">
        <f t="shared" si="7"/>
        <v>0.02151829462</v>
      </c>
      <c r="Q43" s="15">
        <v>25974.0</v>
      </c>
      <c r="R43" s="11">
        <f t="shared" si="8"/>
        <v>0.02155980285</v>
      </c>
      <c r="S43" s="15">
        <v>17274.0</v>
      </c>
      <c r="T43" s="11">
        <f t="shared" si="9"/>
        <v>0.01823398272</v>
      </c>
      <c r="U43" s="15">
        <v>18333.0</v>
      </c>
      <c r="V43" s="11">
        <f t="shared" si="10"/>
        <v>0.01847051297</v>
      </c>
      <c r="W43" s="15">
        <v>10485.0</v>
      </c>
      <c r="X43" s="11">
        <f t="shared" si="11"/>
        <v>0.01782232746</v>
      </c>
      <c r="Y43" s="15">
        <v>10462.0</v>
      </c>
      <c r="Z43" s="11">
        <f t="shared" si="12"/>
        <v>0.01722307187</v>
      </c>
      <c r="AA43" s="19">
        <v>25132.0</v>
      </c>
      <c r="AB43" s="15">
        <v>15981.0</v>
      </c>
      <c r="AC43" s="15">
        <v>21805.0</v>
      </c>
      <c r="AD43" s="15">
        <v>17476.0</v>
      </c>
    </row>
    <row r="44" ht="15.75" customHeight="1">
      <c r="A44" s="6">
        <v>109.0</v>
      </c>
      <c r="C44" s="6" t="s">
        <v>73</v>
      </c>
      <c r="D44" s="6" t="s">
        <v>33</v>
      </c>
      <c r="E44" s="6" t="s">
        <v>60</v>
      </c>
      <c r="F44" s="4" t="s">
        <v>201</v>
      </c>
      <c r="G44" s="19"/>
      <c r="H44" s="11">
        <f t="shared" si="3"/>
        <v>0.001735762782</v>
      </c>
      <c r="I44" s="15"/>
      <c r="J44" s="11">
        <f t="shared" si="4"/>
        <v>0.001760880807</v>
      </c>
      <c r="K44" s="15">
        <f t="shared" ref="K44:L44" si="49">AVERAGE(O44,Q44,W44,Y44)</f>
        <v>1541</v>
      </c>
      <c r="L44" s="20">
        <f t="shared" si="49"/>
        <v>0.001716924263</v>
      </c>
      <c r="M44" s="19">
        <v>1143.0</v>
      </c>
      <c r="N44" s="11">
        <f t="shared" si="6"/>
        <v>0.001940751884</v>
      </c>
      <c r="O44" s="15">
        <v>2056.0</v>
      </c>
      <c r="P44" s="11">
        <f t="shared" si="7"/>
        <v>0.001744405557</v>
      </c>
      <c r="Q44" s="15">
        <v>2073.0</v>
      </c>
      <c r="R44" s="11">
        <f t="shared" si="8"/>
        <v>0.001720700366</v>
      </c>
      <c r="S44" s="15">
        <v>1593.0</v>
      </c>
      <c r="T44" s="11">
        <f t="shared" si="9"/>
        <v>0.001681529147</v>
      </c>
      <c r="U44" s="15">
        <v>1648.0</v>
      </c>
      <c r="V44" s="11">
        <f t="shared" si="10"/>
        <v>0.001660361391</v>
      </c>
      <c r="W44" s="15">
        <v>980.0</v>
      </c>
      <c r="X44" s="11">
        <f t="shared" si="11"/>
        <v>0.001665796939</v>
      </c>
      <c r="Y44" s="15">
        <v>1055.0</v>
      </c>
      <c r="Z44" s="11">
        <f t="shared" si="12"/>
        <v>0.001736794191</v>
      </c>
      <c r="AA44" s="19">
        <v>1978.0</v>
      </c>
      <c r="AB44" s="15">
        <v>1312.0</v>
      </c>
      <c r="AC44" s="15">
        <v>1636.0</v>
      </c>
      <c r="AD44" s="15">
        <v>1231.0</v>
      </c>
    </row>
    <row r="45" ht="15.75" customHeight="1">
      <c r="A45" s="6">
        <v>102.0</v>
      </c>
      <c r="C45" s="6" t="s">
        <v>78</v>
      </c>
      <c r="D45" s="6" t="s">
        <v>33</v>
      </c>
      <c r="E45" s="6" t="s">
        <v>52</v>
      </c>
      <c r="F45" s="4" t="s">
        <v>190</v>
      </c>
      <c r="G45" s="19"/>
      <c r="H45" s="11">
        <f t="shared" si="3"/>
        <v>0.002318884831</v>
      </c>
      <c r="I45" s="15"/>
      <c r="J45" s="11">
        <f t="shared" si="4"/>
        <v>0.002564605592</v>
      </c>
      <c r="K45" s="15">
        <f t="shared" ref="K45:L45" si="50">AVERAGE(O45,Q45,W45,Y45)</f>
        <v>1956.75</v>
      </c>
      <c r="L45" s="20">
        <f t="shared" si="50"/>
        <v>0.002134594261</v>
      </c>
      <c r="M45" s="19">
        <v>1203.0</v>
      </c>
      <c r="N45" s="11">
        <f t="shared" si="6"/>
        <v>0.002042628624</v>
      </c>
      <c r="O45" s="15">
        <v>2723.0</v>
      </c>
      <c r="P45" s="11">
        <f t="shared" si="7"/>
        <v>0.002310319228</v>
      </c>
      <c r="Q45" s="15">
        <v>2742.0</v>
      </c>
      <c r="R45" s="11">
        <f t="shared" si="8"/>
        <v>0.002276005983</v>
      </c>
      <c r="S45" s="15">
        <v>2685.0</v>
      </c>
      <c r="T45" s="11">
        <f t="shared" si="9"/>
        <v>0.002834215793</v>
      </c>
      <c r="U45" s="15">
        <v>2796.0</v>
      </c>
      <c r="V45" s="11">
        <f t="shared" si="10"/>
        <v>0.002816972359</v>
      </c>
      <c r="W45" s="15">
        <v>1188.0</v>
      </c>
      <c r="X45" s="11">
        <f t="shared" si="11"/>
        <v>0.002019353841</v>
      </c>
      <c r="Y45" s="15">
        <v>1174.0</v>
      </c>
      <c r="Z45" s="11">
        <f t="shared" si="12"/>
        <v>0.00193269799</v>
      </c>
      <c r="AA45" s="19">
        <v>2565.0</v>
      </c>
      <c r="AB45" s="15">
        <v>1757.0</v>
      </c>
      <c r="AC45" s="15">
        <v>2286.0</v>
      </c>
      <c r="AD45" s="15">
        <v>1717.0</v>
      </c>
    </row>
    <row r="46" ht="15.75" customHeight="1">
      <c r="A46" s="6">
        <v>92.0</v>
      </c>
      <c r="C46" s="6" t="s">
        <v>77</v>
      </c>
      <c r="D46" s="6" t="s">
        <v>33</v>
      </c>
      <c r="E46" s="6" t="s">
        <v>55</v>
      </c>
      <c r="F46" s="4" t="s">
        <v>184</v>
      </c>
      <c r="G46" s="19"/>
      <c r="H46" s="11">
        <f t="shared" si="3"/>
        <v>0.002777918734</v>
      </c>
      <c r="I46" s="15"/>
      <c r="J46" s="11">
        <f t="shared" si="4"/>
        <v>0.003053072438</v>
      </c>
      <c r="K46" s="15">
        <f t="shared" ref="K46:L46" si="51">AVERAGE(O46,Q46,W46,Y46)</f>
        <v>2318.25</v>
      </c>
      <c r="L46" s="20">
        <f t="shared" si="51"/>
        <v>0.002571553455</v>
      </c>
      <c r="M46" s="19">
        <v>1746.0</v>
      </c>
      <c r="N46" s="11">
        <f t="shared" si="6"/>
        <v>0.002964613115</v>
      </c>
      <c r="O46" s="15">
        <v>3069.0</v>
      </c>
      <c r="P46" s="11">
        <f t="shared" si="7"/>
        <v>0.002603881642</v>
      </c>
      <c r="Q46" s="15">
        <v>3169.0</v>
      </c>
      <c r="R46" s="11">
        <f t="shared" si="8"/>
        <v>0.002630438716</v>
      </c>
      <c r="S46" s="15">
        <v>3070.0</v>
      </c>
      <c r="T46" s="11">
        <f t="shared" si="9"/>
        <v>0.003240611726</v>
      </c>
      <c r="U46" s="15">
        <v>2932.0</v>
      </c>
      <c r="V46" s="11">
        <f t="shared" si="10"/>
        <v>0.002953992474</v>
      </c>
      <c r="W46" s="15">
        <v>1037.0</v>
      </c>
      <c r="X46" s="11">
        <f t="shared" si="11"/>
        <v>0.001762685129</v>
      </c>
      <c r="Y46" s="15">
        <v>1998.0</v>
      </c>
      <c r="Z46" s="11">
        <f t="shared" si="12"/>
        <v>0.003289208335</v>
      </c>
      <c r="AA46" s="19">
        <v>3056.0</v>
      </c>
      <c r="AB46" s="15">
        <v>2050.0</v>
      </c>
      <c r="AC46" s="15">
        <v>2416.0</v>
      </c>
      <c r="AD46" s="15">
        <v>1904.0</v>
      </c>
    </row>
    <row r="47" ht="15.75" customHeight="1">
      <c r="A47" s="6">
        <v>49.0</v>
      </c>
      <c r="B47" s="6">
        <v>1.0</v>
      </c>
      <c r="C47" s="6" t="s">
        <v>76</v>
      </c>
      <c r="D47" s="6" t="s">
        <v>32</v>
      </c>
      <c r="E47" s="6" t="s">
        <v>53</v>
      </c>
      <c r="F47" s="4" t="s">
        <v>137</v>
      </c>
      <c r="G47" s="19"/>
      <c r="H47" s="11">
        <f t="shared" si="3"/>
        <v>0.00572922609</v>
      </c>
      <c r="I47" s="15"/>
      <c r="J47" s="11">
        <f t="shared" si="4"/>
        <v>0.006345139437</v>
      </c>
      <c r="K47" s="15">
        <f t="shared" ref="K47:L47" si="52">AVERAGE(O47,Q47,W47,Y47)</f>
        <v>4775.75</v>
      </c>
      <c r="L47" s="20">
        <f t="shared" si="52"/>
        <v>0.00526729108</v>
      </c>
      <c r="M47" s="19">
        <v>3691.0</v>
      </c>
      <c r="N47" s="11">
        <f t="shared" si="6"/>
        <v>0.006267117415</v>
      </c>
      <c r="O47" s="15">
        <v>6464.0</v>
      </c>
      <c r="P47" s="11">
        <f t="shared" si="7"/>
        <v>0.005484356772</v>
      </c>
      <c r="Q47" s="15">
        <v>6600.0</v>
      </c>
      <c r="R47" s="11">
        <f t="shared" si="8"/>
        <v>0.005478351381</v>
      </c>
      <c r="S47" s="15">
        <v>5978.0</v>
      </c>
      <c r="T47" s="11">
        <f t="shared" si="9"/>
        <v>0.006310220488</v>
      </c>
      <c r="U47" s="15">
        <v>6410.0</v>
      </c>
      <c r="V47" s="11">
        <f t="shared" si="10"/>
        <v>0.006458080409</v>
      </c>
      <c r="W47" s="15">
        <v>3077.0</v>
      </c>
      <c r="X47" s="11">
        <f t="shared" si="11"/>
        <v>0.005230262431</v>
      </c>
      <c r="Y47" s="15">
        <v>2962.0</v>
      </c>
      <c r="Z47" s="11">
        <f t="shared" si="12"/>
        <v>0.004876193737</v>
      </c>
      <c r="AA47" s="19">
        <v>6638.0</v>
      </c>
      <c r="AB47" s="15">
        <v>4300.0</v>
      </c>
      <c r="AC47" s="15">
        <v>5960.0</v>
      </c>
      <c r="AD47" s="15">
        <v>4902.0</v>
      </c>
    </row>
    <row r="48" ht="15.75" customHeight="1">
      <c r="A48" s="6">
        <v>99.0</v>
      </c>
      <c r="C48" s="6" t="s">
        <v>78</v>
      </c>
      <c r="D48" s="6" t="s">
        <v>33</v>
      </c>
      <c r="E48" s="6" t="s">
        <v>62</v>
      </c>
      <c r="F48" s="4" t="s">
        <v>191</v>
      </c>
      <c r="G48" s="19"/>
      <c r="H48" s="11">
        <f t="shared" si="3"/>
        <v>0.002160936014</v>
      </c>
      <c r="I48" s="15"/>
      <c r="J48" s="11">
        <f t="shared" si="4"/>
        <v>0.001896744134</v>
      </c>
      <c r="K48" s="15">
        <f t="shared" ref="K48:L48" si="53">AVERAGE(O48,Q48,W48,Y48)</f>
        <v>2172.75</v>
      </c>
      <c r="L48" s="20">
        <f t="shared" si="53"/>
        <v>0.002359079924</v>
      </c>
      <c r="M48" s="19">
        <v>1508.0</v>
      </c>
      <c r="N48" s="11">
        <f t="shared" si="6"/>
        <v>0.002560502049</v>
      </c>
      <c r="O48" s="15">
        <v>3044.0</v>
      </c>
      <c r="P48" s="11">
        <f t="shared" si="7"/>
        <v>0.002582670485</v>
      </c>
      <c r="Q48" s="15">
        <v>3088.0</v>
      </c>
      <c r="R48" s="11">
        <f t="shared" si="8"/>
        <v>0.002563204404</v>
      </c>
      <c r="S48" s="15">
        <v>1497.0</v>
      </c>
      <c r="T48" s="11">
        <f t="shared" si="9"/>
        <v>0.001580194057</v>
      </c>
      <c r="U48" s="15">
        <v>1538.0</v>
      </c>
      <c r="V48" s="11">
        <f t="shared" si="10"/>
        <v>0.001549536298</v>
      </c>
      <c r="W48" s="15">
        <v>1451.0</v>
      </c>
      <c r="X48" s="11">
        <f t="shared" si="11"/>
        <v>0.002466399346</v>
      </c>
      <c r="Y48" s="15">
        <v>1108.0</v>
      </c>
      <c r="Z48" s="11">
        <f t="shared" si="12"/>
        <v>0.001824045463</v>
      </c>
      <c r="AA48" s="19">
        <v>2939.0</v>
      </c>
      <c r="AB48" s="15">
        <v>2005.0</v>
      </c>
      <c r="AC48" s="15">
        <v>2551.0</v>
      </c>
      <c r="AD48" s="15">
        <v>1850.0</v>
      </c>
    </row>
    <row r="49" ht="15.75" customHeight="1">
      <c r="A49" s="6">
        <v>7.0</v>
      </c>
      <c r="B49" s="6">
        <v>2.0</v>
      </c>
      <c r="C49" s="6" t="s">
        <v>74</v>
      </c>
      <c r="D49" s="6" t="s">
        <v>89</v>
      </c>
      <c r="E49" s="6" t="s">
        <v>53</v>
      </c>
      <c r="F49" s="4" t="s">
        <v>15</v>
      </c>
      <c r="G49" s="19"/>
      <c r="H49" s="11">
        <f t="shared" si="3"/>
        <v>0.02316158137</v>
      </c>
      <c r="I49" s="15"/>
      <c r="J49" s="11">
        <f t="shared" si="4"/>
        <v>0.01961464612</v>
      </c>
      <c r="K49" s="15">
        <f t="shared" ref="K49:L49" si="54">AVERAGE(O49,Q49,W49,Y49)</f>
        <v>22915.75</v>
      </c>
      <c r="L49" s="20">
        <f t="shared" si="54"/>
        <v>0.02582178281</v>
      </c>
      <c r="M49" s="19">
        <v>12595.0</v>
      </c>
      <c r="N49" s="11">
        <f t="shared" si="6"/>
        <v>0.02138562553</v>
      </c>
      <c r="O49" s="15">
        <v>29395.0</v>
      </c>
      <c r="P49" s="11">
        <f t="shared" si="7"/>
        <v>0.02494007848</v>
      </c>
      <c r="Q49" s="15">
        <v>30685.0</v>
      </c>
      <c r="R49" s="11">
        <f t="shared" si="8"/>
        <v>0.02547018366</v>
      </c>
      <c r="S49" s="15">
        <v>17425.0</v>
      </c>
      <c r="T49" s="11">
        <f t="shared" si="9"/>
        <v>0.01839337437</v>
      </c>
      <c r="U49" s="15">
        <v>18923.0</v>
      </c>
      <c r="V49" s="11">
        <f t="shared" si="10"/>
        <v>0.01906493847</v>
      </c>
      <c r="W49" s="15">
        <v>16498.0</v>
      </c>
      <c r="X49" s="11">
        <f t="shared" si="11"/>
        <v>0.02804318154</v>
      </c>
      <c r="Y49" s="15">
        <v>15085.0</v>
      </c>
      <c r="Z49" s="11">
        <f t="shared" si="12"/>
        <v>0.02483368755</v>
      </c>
      <c r="AA49" s="19">
        <v>28258.0</v>
      </c>
      <c r="AB49" s="15">
        <v>20438.0</v>
      </c>
      <c r="AC49" s="15">
        <v>26134.0</v>
      </c>
      <c r="AD49" s="15">
        <v>21407.0</v>
      </c>
    </row>
    <row r="50" ht="15.75" customHeight="1">
      <c r="A50" s="6">
        <v>83.0</v>
      </c>
      <c r="C50" s="6" t="s">
        <v>78</v>
      </c>
      <c r="D50" s="6" t="s">
        <v>33</v>
      </c>
      <c r="E50" s="6" t="s">
        <v>60</v>
      </c>
      <c r="F50" s="4" t="s">
        <v>176</v>
      </c>
      <c r="G50" s="19"/>
      <c r="H50" s="11">
        <f t="shared" si="3"/>
        <v>0.003096718193</v>
      </c>
      <c r="I50" s="15"/>
      <c r="J50" s="11">
        <f t="shared" si="4"/>
        <v>0.003526544668</v>
      </c>
      <c r="K50" s="15">
        <f t="shared" ref="K50:L50" si="55">AVERAGE(O50,Q50,W50,Y50)</f>
        <v>2507</v>
      </c>
      <c r="L50" s="20">
        <f t="shared" si="55"/>
        <v>0.002774348336</v>
      </c>
      <c r="M50" s="19">
        <v>1606.0</v>
      </c>
      <c r="N50" s="11">
        <f t="shared" si="6"/>
        <v>0.002726900723</v>
      </c>
      <c r="O50" s="15">
        <v>3390.0</v>
      </c>
      <c r="P50" s="11">
        <f t="shared" si="7"/>
        <v>0.002876232899</v>
      </c>
      <c r="Q50" s="15">
        <v>3421.0</v>
      </c>
      <c r="R50" s="11">
        <f t="shared" si="8"/>
        <v>0.002839612133</v>
      </c>
      <c r="S50" s="15">
        <v>3799.0</v>
      </c>
      <c r="T50" s="11">
        <f t="shared" si="9"/>
        <v>0.004010125064</v>
      </c>
      <c r="U50" s="15">
        <v>3814.0</v>
      </c>
      <c r="V50" s="11">
        <f t="shared" si="10"/>
        <v>0.003842608218</v>
      </c>
      <c r="W50" s="15">
        <v>1598.0</v>
      </c>
      <c r="X50" s="11">
        <f t="shared" si="11"/>
        <v>0.002716268887</v>
      </c>
      <c r="Y50" s="15">
        <v>1619.0</v>
      </c>
      <c r="Z50" s="11">
        <f t="shared" si="12"/>
        <v>0.002665279426</v>
      </c>
      <c r="AA50" s="19">
        <v>3139.0</v>
      </c>
      <c r="AB50" s="15">
        <v>2140.0</v>
      </c>
      <c r="AC50" s="15">
        <v>2646.0</v>
      </c>
      <c r="AD50" s="15">
        <v>1871.0</v>
      </c>
    </row>
    <row r="51" ht="15.75" customHeight="1">
      <c r="A51" s="6">
        <v>137.0</v>
      </c>
      <c r="C51" s="6" t="s">
        <v>78</v>
      </c>
      <c r="D51" s="6" t="s">
        <v>34</v>
      </c>
      <c r="E51" s="6" t="s">
        <v>60</v>
      </c>
      <c r="F51" s="4" t="s">
        <v>232</v>
      </c>
      <c r="G51" s="19"/>
      <c r="H51" s="11">
        <f t="shared" si="3"/>
        <v>0.0008483857208</v>
      </c>
      <c r="I51" s="15"/>
      <c r="J51" s="11">
        <f t="shared" si="4"/>
        <v>0.0007289180257</v>
      </c>
      <c r="K51" s="15">
        <f t="shared" ref="K51:L51" si="56">AVERAGE(O51,Q51,W51,Y51)</f>
        <v>839</v>
      </c>
      <c r="L51" s="20">
        <f t="shared" si="56"/>
        <v>0.0009379864921</v>
      </c>
      <c r="M51" s="19">
        <v>600.0</v>
      </c>
      <c r="N51" s="11">
        <f t="shared" si="6"/>
        <v>0.001018767393</v>
      </c>
      <c r="O51" s="15">
        <v>1114.0</v>
      </c>
      <c r="P51" s="11">
        <f t="shared" si="7"/>
        <v>0.000945169159</v>
      </c>
      <c r="Q51" s="15">
        <v>1121.0</v>
      </c>
      <c r="R51" s="11">
        <f t="shared" si="8"/>
        <v>0.0009304896816</v>
      </c>
      <c r="S51" s="15">
        <v>551.0</v>
      </c>
      <c r="T51" s="11">
        <f t="shared" si="9"/>
        <v>0.0005816211925</v>
      </c>
      <c r="U51" s="15">
        <v>582.0</v>
      </c>
      <c r="V51" s="11">
        <f t="shared" si="10"/>
        <v>0.0005863654911</v>
      </c>
      <c r="W51" s="15">
        <v>576.0</v>
      </c>
      <c r="X51" s="11">
        <f t="shared" si="11"/>
        <v>0.0009790806501</v>
      </c>
      <c r="Y51" s="15">
        <v>545.0</v>
      </c>
      <c r="Z51" s="11">
        <f t="shared" si="12"/>
        <v>0.0008972064777</v>
      </c>
      <c r="AA51" s="19">
        <v>1082.0</v>
      </c>
      <c r="AB51" s="15">
        <v>750.0</v>
      </c>
      <c r="AC51" s="15">
        <v>900.0</v>
      </c>
      <c r="AD51" s="15">
        <v>603.0</v>
      </c>
    </row>
    <row r="52" ht="15.75" customHeight="1">
      <c r="A52" s="6">
        <v>66.0</v>
      </c>
      <c r="B52" s="6">
        <v>17.0</v>
      </c>
      <c r="C52" s="6" t="s">
        <v>78</v>
      </c>
      <c r="D52" s="6" t="s">
        <v>33</v>
      </c>
      <c r="E52" s="6" t="s">
        <v>52</v>
      </c>
      <c r="F52" s="4" t="s">
        <v>165</v>
      </c>
      <c r="G52" s="19"/>
      <c r="H52" s="11">
        <f t="shared" si="3"/>
        <v>0.003842224344</v>
      </c>
      <c r="I52" s="15"/>
      <c r="J52" s="11">
        <f t="shared" si="4"/>
        <v>0.003658601326</v>
      </c>
      <c r="K52" s="15">
        <f t="shared" ref="K52:L52" si="57">AVERAGE(O52,Q52,W52,Y52)</f>
        <v>3424</v>
      </c>
      <c r="L52" s="20">
        <f t="shared" si="57"/>
        <v>0.003979941608</v>
      </c>
      <c r="M52" s="19">
        <v>2130.0</v>
      </c>
      <c r="N52" s="11">
        <f t="shared" si="6"/>
        <v>0.003616624246</v>
      </c>
      <c r="O52" s="15">
        <v>4164.0</v>
      </c>
      <c r="P52" s="11">
        <f t="shared" si="7"/>
        <v>0.003532930321</v>
      </c>
      <c r="Q52" s="15">
        <v>4218.0</v>
      </c>
      <c r="R52" s="11">
        <f t="shared" si="8"/>
        <v>0.003501164565</v>
      </c>
      <c r="S52" s="15">
        <v>3571.0</v>
      </c>
      <c r="T52" s="11">
        <f t="shared" si="9"/>
        <v>0.003769454226</v>
      </c>
      <c r="U52" s="15">
        <v>3563.0</v>
      </c>
      <c r="V52" s="11">
        <f t="shared" si="10"/>
        <v>0.003589725506</v>
      </c>
      <c r="W52" s="15">
        <v>2568.0</v>
      </c>
      <c r="X52" s="11">
        <f t="shared" si="11"/>
        <v>0.004365067898</v>
      </c>
      <c r="Y52" s="15">
        <v>2746.0</v>
      </c>
      <c r="Z52" s="11">
        <f t="shared" si="12"/>
        <v>0.004520603647</v>
      </c>
      <c r="AA52" s="19">
        <v>3889.0</v>
      </c>
      <c r="AB52" s="15">
        <v>2830.0</v>
      </c>
      <c r="AC52" s="15">
        <v>3486.0</v>
      </c>
      <c r="AD52" s="15">
        <v>2435.0</v>
      </c>
    </row>
    <row r="53" ht="15.75" customHeight="1">
      <c r="A53" s="6">
        <v>24.0</v>
      </c>
      <c r="B53" s="6">
        <v>3.0</v>
      </c>
      <c r="C53" s="6" t="s">
        <v>72</v>
      </c>
      <c r="D53" s="6" t="s">
        <v>32</v>
      </c>
      <c r="E53" s="6" t="s">
        <v>53</v>
      </c>
      <c r="F53" s="4" t="s">
        <v>116</v>
      </c>
      <c r="G53" s="19"/>
      <c r="H53" s="11">
        <f t="shared" si="3"/>
        <v>0.009384462375</v>
      </c>
      <c r="I53" s="15"/>
      <c r="J53" s="11">
        <f t="shared" si="4"/>
        <v>0.008714154887</v>
      </c>
      <c r="K53" s="15">
        <f t="shared" ref="K53:L53" si="58">AVERAGE(O53,Q53,W53,Y53)</f>
        <v>8645.5</v>
      </c>
      <c r="L53" s="20">
        <f t="shared" si="58"/>
        <v>0.009887192991</v>
      </c>
      <c r="M53" s="19">
        <v>5366.0</v>
      </c>
      <c r="N53" s="11">
        <f t="shared" si="6"/>
        <v>0.009111176388</v>
      </c>
      <c r="O53" s="15">
        <v>10878.0</v>
      </c>
      <c r="P53" s="11">
        <f t="shared" si="7"/>
        <v>0.009229398664</v>
      </c>
      <c r="Q53" s="15">
        <v>11091.0</v>
      </c>
      <c r="R53" s="11">
        <f t="shared" si="8"/>
        <v>0.009206120481</v>
      </c>
      <c r="S53" s="15">
        <v>8079.0</v>
      </c>
      <c r="T53" s="11">
        <f t="shared" si="9"/>
        <v>0.008527981152</v>
      </c>
      <c r="U53" s="15">
        <v>8440.0</v>
      </c>
      <c r="V53" s="11">
        <f t="shared" si="10"/>
        <v>0.008503307122</v>
      </c>
      <c r="W53" s="15">
        <v>6520.0</v>
      </c>
      <c r="X53" s="11">
        <f t="shared" si="11"/>
        <v>0.01108264903</v>
      </c>
      <c r="Y53" s="15">
        <v>6093.0</v>
      </c>
      <c r="Z53" s="11">
        <f t="shared" si="12"/>
        <v>0.0100306038</v>
      </c>
      <c r="AA53" s="19">
        <v>9758.0</v>
      </c>
      <c r="AB53" s="15">
        <v>6464.0</v>
      </c>
      <c r="AC53" s="15">
        <v>8828.0</v>
      </c>
      <c r="AD53" s="15">
        <v>7097.0</v>
      </c>
    </row>
    <row r="54" ht="15.75" customHeight="1">
      <c r="A54" s="6">
        <v>120.0</v>
      </c>
      <c r="C54" s="6" t="s">
        <v>78</v>
      </c>
      <c r="D54" s="6" t="s">
        <v>33</v>
      </c>
      <c r="E54" s="6" t="s">
        <v>57</v>
      </c>
      <c r="F54" s="4" t="s">
        <v>213</v>
      </c>
      <c r="G54" s="19"/>
      <c r="H54" s="11">
        <f t="shared" si="3"/>
        <v>0.001329179017</v>
      </c>
      <c r="I54" s="15"/>
      <c r="J54" s="11">
        <f t="shared" si="4"/>
        <v>0.001320038906</v>
      </c>
      <c r="K54" s="15">
        <f t="shared" ref="K54:L54" si="59">AVERAGE(O54,Q54,W54,Y54)</f>
        <v>1154.5</v>
      </c>
      <c r="L54" s="20">
        <f t="shared" si="59"/>
        <v>0.0013360341</v>
      </c>
      <c r="M54" s="19">
        <v>720.0</v>
      </c>
      <c r="N54" s="11">
        <f t="shared" si="6"/>
        <v>0.001222520872</v>
      </c>
      <c r="O54" s="15">
        <v>1421.0</v>
      </c>
      <c r="P54" s="11">
        <f t="shared" si="7"/>
        <v>0.001205642168</v>
      </c>
      <c r="Q54" s="15">
        <v>1432.0</v>
      </c>
      <c r="R54" s="11">
        <f t="shared" si="8"/>
        <v>0.001188636239</v>
      </c>
      <c r="S54" s="15">
        <v>1241.0</v>
      </c>
      <c r="T54" s="11">
        <f t="shared" si="9"/>
        <v>0.001309967151</v>
      </c>
      <c r="U54" s="15">
        <v>1417.0</v>
      </c>
      <c r="V54" s="11">
        <f t="shared" si="10"/>
        <v>0.001427628696</v>
      </c>
      <c r="W54" s="15">
        <v>826.0</v>
      </c>
      <c r="X54" s="11">
        <f t="shared" si="11"/>
        <v>0.001404028849</v>
      </c>
      <c r="Y54" s="15">
        <v>939.0</v>
      </c>
      <c r="Z54" s="11">
        <f t="shared" si="12"/>
        <v>0.001545829142</v>
      </c>
      <c r="AA54" s="19">
        <v>1348.0</v>
      </c>
      <c r="AB54" s="15">
        <v>914.0</v>
      </c>
      <c r="AC54" s="15">
        <v>1082.0</v>
      </c>
      <c r="AD54" s="15">
        <v>665.0</v>
      </c>
    </row>
    <row r="55" ht="15.75" customHeight="1">
      <c r="A55" s="6">
        <v>150.0</v>
      </c>
      <c r="C55" s="6" t="s">
        <v>78</v>
      </c>
      <c r="D55" s="6" t="s">
        <v>34</v>
      </c>
      <c r="E55" s="6" t="s">
        <v>62</v>
      </c>
      <c r="F55" s="4" t="s">
        <v>237</v>
      </c>
      <c r="G55" s="19"/>
      <c r="H55" s="11">
        <f t="shared" si="3"/>
        <v>0.0005985538197</v>
      </c>
      <c r="I55" s="15"/>
      <c r="J55" s="11">
        <f t="shared" si="4"/>
        <v>0.0007380284808</v>
      </c>
      <c r="K55" s="15">
        <f t="shared" ref="K55:L55" si="60">AVERAGE(O55,Q55,W55,Y55)</f>
        <v>436.5</v>
      </c>
      <c r="L55" s="20">
        <f t="shared" si="60"/>
        <v>0.0004939478239</v>
      </c>
      <c r="M55" s="19">
        <v>363.0</v>
      </c>
      <c r="N55" s="11">
        <f t="shared" si="6"/>
        <v>0.000616354273</v>
      </c>
      <c r="O55" s="15">
        <v>563.0</v>
      </c>
      <c r="P55" s="11">
        <f t="shared" si="7"/>
        <v>0.0004776752572</v>
      </c>
      <c r="Q55" s="15">
        <v>567.0</v>
      </c>
      <c r="R55" s="11">
        <f t="shared" si="8"/>
        <v>0.0004706401869</v>
      </c>
      <c r="S55" s="15">
        <v>772.0</v>
      </c>
      <c r="T55" s="11">
        <f t="shared" si="9"/>
        <v>0.0008149030139</v>
      </c>
      <c r="U55" s="15">
        <v>777.0</v>
      </c>
      <c r="V55" s="11">
        <f t="shared" si="10"/>
        <v>0.0007828281556</v>
      </c>
      <c r="W55" s="15">
        <v>250.0</v>
      </c>
      <c r="X55" s="11">
        <f t="shared" si="11"/>
        <v>0.0004249481988</v>
      </c>
      <c r="Y55" s="15">
        <v>366.0</v>
      </c>
      <c r="Z55" s="11">
        <f t="shared" si="12"/>
        <v>0.0006025276529</v>
      </c>
      <c r="AA55" s="19">
        <v>526.0</v>
      </c>
      <c r="AB55" s="15">
        <v>353.0</v>
      </c>
      <c r="AC55" s="15">
        <v>432.0</v>
      </c>
      <c r="AD55" s="15">
        <v>312.0</v>
      </c>
    </row>
    <row r="56" ht="15.75" customHeight="1">
      <c r="A56" s="6">
        <v>35.0</v>
      </c>
      <c r="B56" s="6">
        <v>10.0</v>
      </c>
      <c r="C56" s="6" t="s">
        <v>70</v>
      </c>
      <c r="D56" s="6" t="s">
        <v>32</v>
      </c>
      <c r="E56" s="6" t="s">
        <v>61</v>
      </c>
      <c r="F56" s="4" t="s">
        <v>126</v>
      </c>
      <c r="G56" s="19"/>
      <c r="H56" s="11">
        <f t="shared" si="3"/>
        <v>0.007731201001</v>
      </c>
      <c r="I56" s="15"/>
      <c r="J56" s="11">
        <f t="shared" si="4"/>
        <v>0.008579699364</v>
      </c>
      <c r="K56" s="15">
        <f t="shared" ref="K56:L56" si="61">AVERAGE(O56,Q56,W56,Y56)</f>
        <v>6611.5</v>
      </c>
      <c r="L56" s="20">
        <f t="shared" si="61"/>
        <v>0.007094827229</v>
      </c>
      <c r="M56" s="19">
        <v>4890.0</v>
      </c>
      <c r="N56" s="11">
        <f t="shared" si="6"/>
        <v>0.008302954256</v>
      </c>
      <c r="O56" s="15">
        <v>9433.0</v>
      </c>
      <c r="P56" s="11">
        <f t="shared" si="7"/>
        <v>0.008003393785</v>
      </c>
      <c r="Q56" s="15">
        <v>9582.0</v>
      </c>
      <c r="R56" s="11">
        <f t="shared" si="8"/>
        <v>0.007953570142</v>
      </c>
      <c r="S56" s="15">
        <v>8411.0</v>
      </c>
      <c r="T56" s="11">
        <f t="shared" si="9"/>
        <v>0.008878431671</v>
      </c>
      <c r="U56" s="15">
        <v>8494.0</v>
      </c>
      <c r="V56" s="11">
        <f t="shared" si="10"/>
        <v>0.008557712167</v>
      </c>
      <c r="W56" s="15">
        <v>3531.0</v>
      </c>
      <c r="X56" s="11">
        <f t="shared" si="11"/>
        <v>0.00600196836</v>
      </c>
      <c r="Y56" s="15">
        <v>3900.0</v>
      </c>
      <c r="Z56" s="11">
        <f t="shared" si="12"/>
        <v>0.006420376629</v>
      </c>
      <c r="AA56" s="19">
        <v>9172.0</v>
      </c>
      <c r="AB56" s="15">
        <v>6076.0</v>
      </c>
      <c r="AC56" s="15">
        <v>7794.0</v>
      </c>
      <c r="AD56" s="15">
        <v>6208.0</v>
      </c>
    </row>
    <row r="57" ht="15.75" customHeight="1">
      <c r="A57" s="6">
        <v>88.0</v>
      </c>
      <c r="C57" s="6" t="s">
        <v>75</v>
      </c>
      <c r="D57" s="6" t="s">
        <v>33</v>
      </c>
      <c r="E57" s="6" t="s">
        <v>58</v>
      </c>
      <c r="F57" s="4" t="s">
        <v>180</v>
      </c>
      <c r="G57" s="19"/>
      <c r="H57" s="11">
        <f t="shared" si="3"/>
        <v>0.00279562182</v>
      </c>
      <c r="I57" s="15"/>
      <c r="J57" s="11">
        <f t="shared" si="4"/>
        <v>0.002901305268</v>
      </c>
      <c r="K57" s="15">
        <f t="shared" ref="K57:L57" si="62">AVERAGE(O57,Q57,W57,Y57)</f>
        <v>2413.75</v>
      </c>
      <c r="L57" s="20">
        <f t="shared" si="62"/>
        <v>0.002716359234</v>
      </c>
      <c r="M57" s="19">
        <v>1891.0</v>
      </c>
      <c r="N57" s="11">
        <f t="shared" si="6"/>
        <v>0.003210815235</v>
      </c>
      <c r="O57" s="15">
        <v>3139.0</v>
      </c>
      <c r="P57" s="11">
        <f t="shared" si="7"/>
        <v>0.002663272882</v>
      </c>
      <c r="Q57" s="15">
        <v>3182.0</v>
      </c>
      <c r="R57" s="11">
        <f t="shared" si="8"/>
        <v>0.002641229408</v>
      </c>
      <c r="S57" s="15">
        <v>2624.0</v>
      </c>
      <c r="T57" s="11">
        <f t="shared" si="9"/>
        <v>0.002769825788</v>
      </c>
      <c r="U57" s="15">
        <v>2703.0</v>
      </c>
      <c r="V57" s="11">
        <f t="shared" si="10"/>
        <v>0.002723274781</v>
      </c>
      <c r="W57" s="15">
        <v>1351.0</v>
      </c>
      <c r="X57" s="11">
        <f t="shared" si="11"/>
        <v>0.002296420066</v>
      </c>
      <c r="Y57" s="15">
        <v>1983.0</v>
      </c>
      <c r="Z57" s="11">
        <f t="shared" si="12"/>
        <v>0.003264514578</v>
      </c>
      <c r="AA57" s="19">
        <v>3106.0</v>
      </c>
      <c r="AB57" s="15">
        <v>2053.0</v>
      </c>
      <c r="AC57" s="15">
        <v>2702.0</v>
      </c>
      <c r="AD57" s="15">
        <v>1984.0</v>
      </c>
    </row>
    <row r="58" ht="15.75" customHeight="1">
      <c r="A58" s="6">
        <v>82.0</v>
      </c>
      <c r="C58" s="6" t="s">
        <v>75</v>
      </c>
      <c r="D58" s="6" t="s">
        <v>33</v>
      </c>
      <c r="E58" s="6" t="s">
        <v>54</v>
      </c>
      <c r="F58" s="4" t="s">
        <v>174</v>
      </c>
      <c r="G58" s="19"/>
      <c r="H58" s="11">
        <f t="shared" si="3"/>
        <v>0.00334521765</v>
      </c>
      <c r="I58" s="15"/>
      <c r="J58" s="11">
        <f t="shared" si="4"/>
        <v>0.004034092656</v>
      </c>
      <c r="K58" s="15">
        <f t="shared" ref="K58:L58" si="63">AVERAGE(O58,Q58,W58,Y58)</f>
        <v>2513.25</v>
      </c>
      <c r="L58" s="20">
        <f t="shared" si="63"/>
        <v>0.002828561396</v>
      </c>
      <c r="M58" s="19">
        <v>1793.0</v>
      </c>
      <c r="N58" s="11">
        <f t="shared" si="6"/>
        <v>0.00304441656</v>
      </c>
      <c r="O58" s="15">
        <v>3278.0</v>
      </c>
      <c r="P58" s="11">
        <f t="shared" si="7"/>
        <v>0.002781206915</v>
      </c>
      <c r="Q58" s="15">
        <v>3312.0</v>
      </c>
      <c r="R58" s="11">
        <f t="shared" si="8"/>
        <v>0.00274913633</v>
      </c>
      <c r="S58" s="15">
        <v>4431.0</v>
      </c>
      <c r="T58" s="11">
        <f t="shared" si="9"/>
        <v>0.004677247739</v>
      </c>
      <c r="U58" s="15">
        <v>4348.0</v>
      </c>
      <c r="V58" s="11">
        <f t="shared" si="10"/>
        <v>0.004380613669</v>
      </c>
      <c r="W58" s="15">
        <v>1549.0</v>
      </c>
      <c r="X58" s="11">
        <f t="shared" si="11"/>
        <v>0.00263297904</v>
      </c>
      <c r="Y58" s="15">
        <v>1914.0</v>
      </c>
      <c r="Z58" s="11">
        <f t="shared" si="12"/>
        <v>0.0031509233</v>
      </c>
      <c r="AA58" s="19">
        <v>3141.0</v>
      </c>
      <c r="AB58" s="15">
        <v>2173.0</v>
      </c>
      <c r="AC58" s="15">
        <v>2683.0</v>
      </c>
      <c r="AD58" s="15">
        <v>1976.0</v>
      </c>
    </row>
    <row r="59" ht="15.75" customHeight="1">
      <c r="A59" s="6">
        <v>121.0</v>
      </c>
      <c r="C59" s="6" t="s">
        <v>78</v>
      </c>
      <c r="D59" s="6" t="s">
        <v>33</v>
      </c>
      <c r="E59" s="6" t="s">
        <v>61</v>
      </c>
      <c r="F59" s="4" t="s">
        <v>215</v>
      </c>
      <c r="G59" s="19"/>
      <c r="H59" s="11">
        <f t="shared" si="3"/>
        <v>0.001300850275</v>
      </c>
      <c r="I59" s="15"/>
      <c r="J59" s="11">
        <f t="shared" si="4"/>
        <v>0.001273391964</v>
      </c>
      <c r="K59" s="15">
        <f t="shared" ref="K59:L59" si="64">AVERAGE(O59,Q59,W59,Y59)</f>
        <v>1146</v>
      </c>
      <c r="L59" s="20">
        <f t="shared" si="64"/>
        <v>0.001321444008</v>
      </c>
      <c r="M59" s="19">
        <v>700.0</v>
      </c>
      <c r="N59" s="11">
        <f t="shared" si="6"/>
        <v>0.001188561959</v>
      </c>
      <c r="O59" s="15">
        <v>1415.0</v>
      </c>
      <c r="P59" s="11">
        <f t="shared" si="7"/>
        <v>0.00120055149</v>
      </c>
      <c r="Q59" s="15">
        <v>1432.0</v>
      </c>
      <c r="R59" s="11">
        <f t="shared" si="8"/>
        <v>0.001188636239</v>
      </c>
      <c r="S59" s="15">
        <v>1216.0</v>
      </c>
      <c r="T59" s="11">
        <f t="shared" si="9"/>
        <v>0.001283577804</v>
      </c>
      <c r="U59" s="15">
        <v>1338.0</v>
      </c>
      <c r="V59" s="11">
        <f t="shared" si="10"/>
        <v>0.001348036129</v>
      </c>
      <c r="W59" s="15">
        <v>692.0</v>
      </c>
      <c r="X59" s="11">
        <f t="shared" si="11"/>
        <v>0.001176256614</v>
      </c>
      <c r="Y59" s="15">
        <v>1045.0</v>
      </c>
      <c r="Z59" s="11">
        <f t="shared" si="12"/>
        <v>0.001720331687</v>
      </c>
      <c r="AA59" s="19">
        <v>1338.0</v>
      </c>
      <c r="AB59" s="15">
        <v>915.0</v>
      </c>
      <c r="AC59" s="15">
        <v>1168.0</v>
      </c>
      <c r="AD59" s="15">
        <v>857.0</v>
      </c>
    </row>
    <row r="60" ht="15.75" customHeight="1">
      <c r="A60" s="6">
        <v>47.0</v>
      </c>
      <c r="B60" s="6">
        <v>11.0</v>
      </c>
      <c r="C60" s="6" t="s">
        <v>76</v>
      </c>
      <c r="D60" s="6" t="s">
        <v>32</v>
      </c>
      <c r="E60" s="6" t="s">
        <v>53</v>
      </c>
      <c r="F60" s="4" t="s">
        <v>136</v>
      </c>
      <c r="G60" s="19"/>
      <c r="H60" s="11">
        <f t="shared" si="3"/>
        <v>0.005784053292</v>
      </c>
      <c r="I60" s="15"/>
      <c r="J60" s="11">
        <f t="shared" si="4"/>
        <v>0.006209445151</v>
      </c>
      <c r="K60" s="15">
        <f t="shared" ref="K60:L60" si="65">AVERAGE(O60,Q60,W60,Y60)</f>
        <v>4824.5</v>
      </c>
      <c r="L60" s="20">
        <f t="shared" si="65"/>
        <v>0.005465009398</v>
      </c>
      <c r="M60" s="19">
        <v>3753.0</v>
      </c>
      <c r="N60" s="11">
        <f t="shared" si="6"/>
        <v>0.006372390045</v>
      </c>
      <c r="O60" s="15">
        <v>6160.0</v>
      </c>
      <c r="P60" s="11">
        <f t="shared" si="7"/>
        <v>0.005226429102</v>
      </c>
      <c r="Q60" s="15">
        <v>6335.0</v>
      </c>
      <c r="R60" s="11">
        <f t="shared" si="8"/>
        <v>0.005258387273</v>
      </c>
      <c r="S60" s="15">
        <v>5799.0</v>
      </c>
      <c r="T60" s="11">
        <f t="shared" si="9"/>
        <v>0.006121272769</v>
      </c>
      <c r="U60" s="15">
        <v>6089.0</v>
      </c>
      <c r="V60" s="11">
        <f t="shared" si="10"/>
        <v>0.006134672638</v>
      </c>
      <c r="W60" s="15">
        <v>3283.0</v>
      </c>
      <c r="X60" s="11">
        <f t="shared" si="11"/>
        <v>0.005580419747</v>
      </c>
      <c r="Y60" s="15">
        <v>3520.0</v>
      </c>
      <c r="Z60" s="11">
        <f t="shared" si="12"/>
        <v>0.00579480147</v>
      </c>
      <c r="AA60" s="19">
        <v>5937.0</v>
      </c>
      <c r="AB60" s="15">
        <v>4057.0</v>
      </c>
      <c r="AC60" s="15">
        <v>5224.0</v>
      </c>
      <c r="AD60" s="15">
        <v>3904.0</v>
      </c>
    </row>
    <row r="61" ht="15.75" customHeight="1">
      <c r="A61" s="6">
        <v>13.0</v>
      </c>
      <c r="B61" s="6">
        <v>6.0</v>
      </c>
      <c r="C61" s="6" t="s">
        <v>72</v>
      </c>
      <c r="D61" s="6" t="s">
        <v>90</v>
      </c>
      <c r="E61" s="6" t="s">
        <v>53</v>
      </c>
      <c r="F61" s="4" t="s">
        <v>21</v>
      </c>
      <c r="G61" s="19"/>
      <c r="H61" s="11">
        <f t="shared" si="3"/>
        <v>0.01698393565</v>
      </c>
      <c r="I61" s="15"/>
      <c r="J61" s="11">
        <f t="shared" si="4"/>
        <v>0.01609451596</v>
      </c>
      <c r="K61" s="15">
        <f t="shared" ref="K61:L61" si="66">AVERAGE(O61,Q61,W61,Y61)</f>
        <v>15728</v>
      </c>
      <c r="L61" s="20">
        <f t="shared" si="66"/>
        <v>0.01765100042</v>
      </c>
      <c r="M61" s="19">
        <v>9880.0</v>
      </c>
      <c r="N61" s="11">
        <f t="shared" si="6"/>
        <v>0.01677570308</v>
      </c>
      <c r="O61" s="15">
        <v>20500.0</v>
      </c>
      <c r="P61" s="11">
        <f t="shared" si="7"/>
        <v>0.0173931488</v>
      </c>
      <c r="Q61" s="15">
        <v>21054.0</v>
      </c>
      <c r="R61" s="11">
        <f t="shared" si="8"/>
        <v>0.01747594091</v>
      </c>
      <c r="S61" s="15">
        <v>14697.0</v>
      </c>
      <c r="T61" s="11">
        <f t="shared" si="9"/>
        <v>0.01551376891</v>
      </c>
      <c r="U61" s="15">
        <v>15875.0</v>
      </c>
      <c r="V61" s="11">
        <f t="shared" si="10"/>
        <v>0.0159940759</v>
      </c>
      <c r="W61" s="15">
        <v>10726.0</v>
      </c>
      <c r="X61" s="11">
        <f t="shared" si="11"/>
        <v>0.01823197752</v>
      </c>
      <c r="Y61" s="15">
        <v>10632.0</v>
      </c>
      <c r="Z61" s="11">
        <f t="shared" si="12"/>
        <v>0.01750293444</v>
      </c>
      <c r="AA61" s="19">
        <v>19504.0</v>
      </c>
      <c r="AB61" s="15">
        <v>12454.0</v>
      </c>
      <c r="AC61" s="15">
        <v>17407.0</v>
      </c>
      <c r="AD61" s="15">
        <v>13695.0</v>
      </c>
    </row>
    <row r="62" ht="15.75" customHeight="1">
      <c r="A62" s="6">
        <v>21.0</v>
      </c>
      <c r="B62" s="6">
        <v>4.0</v>
      </c>
      <c r="C62" s="6" t="s">
        <v>77</v>
      </c>
      <c r="D62" s="6" t="s">
        <v>91</v>
      </c>
      <c r="E62" s="6" t="s">
        <v>53</v>
      </c>
      <c r="F62" s="4" t="s">
        <v>26</v>
      </c>
      <c r="G62" s="19"/>
      <c r="H62" s="11">
        <f t="shared" si="3"/>
        <v>0.01214104767</v>
      </c>
      <c r="I62" s="15"/>
      <c r="J62" s="11">
        <f t="shared" si="4"/>
        <v>0.01360850887</v>
      </c>
      <c r="K62" s="15">
        <f t="shared" ref="K62:L62" si="67">AVERAGE(O62,Q62,W62,Y62)</f>
        <v>10021.25</v>
      </c>
      <c r="L62" s="20">
        <f t="shared" si="67"/>
        <v>0.01104045176</v>
      </c>
      <c r="M62" s="19">
        <v>7679.0</v>
      </c>
      <c r="N62" s="11">
        <f t="shared" si="6"/>
        <v>0.01303852469</v>
      </c>
      <c r="O62" s="15">
        <v>13538.0</v>
      </c>
      <c r="P62" s="11">
        <f t="shared" si="7"/>
        <v>0.01148626578</v>
      </c>
      <c r="Q62" s="15">
        <v>13875.0</v>
      </c>
      <c r="R62" s="11">
        <f t="shared" si="8"/>
        <v>0.0115169887</v>
      </c>
      <c r="S62" s="15">
        <v>13227.0</v>
      </c>
      <c r="T62" s="11">
        <f t="shared" si="9"/>
        <v>0.01396207534</v>
      </c>
      <c r="U62" s="15">
        <v>13722.0</v>
      </c>
      <c r="V62" s="11">
        <f t="shared" si="10"/>
        <v>0.01382492658</v>
      </c>
      <c r="W62" s="15">
        <v>5552.0</v>
      </c>
      <c r="X62" s="11">
        <f t="shared" si="11"/>
        <v>0.009437249599</v>
      </c>
      <c r="Y62" s="15">
        <v>7120.0</v>
      </c>
      <c r="Z62" s="11">
        <f t="shared" si="12"/>
        <v>0.01172130297</v>
      </c>
      <c r="AA62" s="19">
        <v>13450.0</v>
      </c>
      <c r="AB62" s="15">
        <v>9165.0</v>
      </c>
      <c r="AC62" s="15">
        <v>12085.0</v>
      </c>
      <c r="AD62" s="15">
        <v>9692.0</v>
      </c>
    </row>
    <row r="63" ht="15.75" customHeight="1">
      <c r="A63" s="6">
        <v>5.0</v>
      </c>
      <c r="B63" s="6">
        <v>1.0</v>
      </c>
      <c r="C63" s="6" t="s">
        <v>72</v>
      </c>
      <c r="D63" s="6" t="s">
        <v>89</v>
      </c>
      <c r="E63" s="6" t="s">
        <v>53</v>
      </c>
      <c r="F63" s="4" t="s">
        <v>13</v>
      </c>
      <c r="G63" s="19"/>
      <c r="H63" s="11">
        <f t="shared" si="3"/>
        <v>0.03391783524</v>
      </c>
      <c r="I63" s="15"/>
      <c r="J63" s="11">
        <f t="shared" si="4"/>
        <v>0.031692502</v>
      </c>
      <c r="K63" s="15">
        <f t="shared" ref="K63:L63" si="68">AVERAGE(O63,Q63,W63,Y63)</f>
        <v>31258.75</v>
      </c>
      <c r="L63" s="20">
        <f t="shared" si="68"/>
        <v>0.03558683517</v>
      </c>
      <c r="M63" s="19">
        <v>19736.0</v>
      </c>
      <c r="N63" s="11">
        <f t="shared" si="6"/>
        <v>0.03351065546</v>
      </c>
      <c r="O63" s="15">
        <v>39491.0</v>
      </c>
      <c r="P63" s="11">
        <f t="shared" si="7"/>
        <v>0.03350599215</v>
      </c>
      <c r="Q63" s="15">
        <v>40466.0</v>
      </c>
      <c r="R63" s="11">
        <f t="shared" si="8"/>
        <v>0.03358893439</v>
      </c>
      <c r="S63" s="15">
        <v>28848.0</v>
      </c>
      <c r="T63" s="11">
        <f t="shared" si="9"/>
        <v>0.03045119449</v>
      </c>
      <c r="U63" s="15">
        <v>30884.0</v>
      </c>
      <c r="V63" s="11">
        <f t="shared" si="10"/>
        <v>0.03111565606</v>
      </c>
      <c r="W63" s="15">
        <v>19475.0</v>
      </c>
      <c r="X63" s="11">
        <f t="shared" si="11"/>
        <v>0.03310346469</v>
      </c>
      <c r="Y63" s="15">
        <v>25603.0</v>
      </c>
      <c r="Z63" s="11">
        <f t="shared" si="12"/>
        <v>0.04214894945</v>
      </c>
      <c r="AA63" s="19">
        <v>37710.0</v>
      </c>
      <c r="AB63" s="15">
        <v>24264.0</v>
      </c>
      <c r="AC63" s="15">
        <v>33866.0</v>
      </c>
      <c r="AD63" s="15">
        <v>29071.0</v>
      </c>
    </row>
    <row r="64" ht="15.75" customHeight="1">
      <c r="A64" s="6">
        <v>69.0</v>
      </c>
      <c r="C64" s="6" t="s">
        <v>76</v>
      </c>
      <c r="D64" s="6" t="s">
        <v>33</v>
      </c>
      <c r="E64" s="6" t="s">
        <v>58</v>
      </c>
      <c r="F64" s="4" t="s">
        <v>154</v>
      </c>
      <c r="G64" s="19"/>
      <c r="H64" s="11">
        <f t="shared" si="3"/>
        <v>0.004283870923</v>
      </c>
      <c r="I64" s="15"/>
      <c r="J64" s="11">
        <f t="shared" si="4"/>
        <v>0.005086865739</v>
      </c>
      <c r="K64" s="15">
        <f t="shared" ref="K64:L64" si="69">AVERAGE(O64,Q64,W64,Y64)</f>
        <v>3370.25</v>
      </c>
      <c r="L64" s="20">
        <f t="shared" si="69"/>
        <v>0.00368162481</v>
      </c>
      <c r="M64" s="19">
        <v>2596.0</v>
      </c>
      <c r="N64" s="11">
        <f t="shared" si="6"/>
        <v>0.004407866922</v>
      </c>
      <c r="O64" s="15">
        <v>4663.0</v>
      </c>
      <c r="P64" s="11">
        <f t="shared" si="7"/>
        <v>0.003956305016</v>
      </c>
      <c r="Q64" s="15">
        <v>4704.0</v>
      </c>
      <c r="R64" s="11">
        <f t="shared" si="8"/>
        <v>0.003904570439</v>
      </c>
      <c r="S64" s="15">
        <v>5238.0</v>
      </c>
      <c r="T64" s="11">
        <f t="shared" si="9"/>
        <v>0.005529095838</v>
      </c>
      <c r="U64" s="15">
        <v>5284.0</v>
      </c>
      <c r="V64" s="11">
        <f t="shared" si="10"/>
        <v>0.005323634459</v>
      </c>
      <c r="W64" s="15">
        <v>1736.0</v>
      </c>
      <c r="X64" s="11">
        <f t="shared" si="11"/>
        <v>0.002950840293</v>
      </c>
      <c r="Y64" s="15">
        <v>2378.0</v>
      </c>
      <c r="Z64" s="11">
        <f t="shared" si="12"/>
        <v>0.003914783493</v>
      </c>
      <c r="AA64" s="19">
        <v>4621.0</v>
      </c>
      <c r="AB64" s="15">
        <v>2981.0</v>
      </c>
      <c r="AC64" s="15">
        <v>4083.0</v>
      </c>
      <c r="AD64" s="15">
        <v>3297.0</v>
      </c>
    </row>
    <row r="65" ht="15.75" customHeight="1">
      <c r="A65" s="6">
        <v>3.0</v>
      </c>
      <c r="B65" s="6">
        <v>2.0</v>
      </c>
      <c r="C65" s="6" t="s">
        <v>74</v>
      </c>
      <c r="D65" s="6" t="s">
        <v>88</v>
      </c>
      <c r="E65" s="6" t="s">
        <v>53</v>
      </c>
      <c r="F65" s="4" t="s">
        <v>11</v>
      </c>
      <c r="G65" s="19"/>
      <c r="H65" s="11">
        <f t="shared" si="3"/>
        <v>0.0503536666</v>
      </c>
      <c r="I65" s="15"/>
      <c r="J65" s="11">
        <f t="shared" si="4"/>
        <v>0.04004245713</v>
      </c>
      <c r="K65" s="15">
        <f t="shared" ref="K65:L65" si="70">AVERAGE(O65,Q65,W65,Y65)</f>
        <v>51776.75</v>
      </c>
      <c r="L65" s="20">
        <f t="shared" si="70"/>
        <v>0.0580870737</v>
      </c>
      <c r="M65" s="19">
        <v>27400.0</v>
      </c>
      <c r="N65" s="11">
        <f t="shared" si="6"/>
        <v>0.04652371096</v>
      </c>
      <c r="O65" s="15">
        <v>67075.0</v>
      </c>
      <c r="P65" s="11">
        <f t="shared" si="7"/>
        <v>0.05690953442</v>
      </c>
      <c r="Q65" s="15">
        <v>69796.0</v>
      </c>
      <c r="R65" s="11">
        <f t="shared" si="8"/>
        <v>0.05793439591</v>
      </c>
      <c r="S65" s="15">
        <v>33861.0</v>
      </c>
      <c r="T65" s="11">
        <f t="shared" si="9"/>
        <v>0.03574278621</v>
      </c>
      <c r="U65" s="15">
        <v>37579.0</v>
      </c>
      <c r="V65" s="11">
        <f t="shared" si="10"/>
        <v>0.03786087421</v>
      </c>
      <c r="W65" s="15">
        <v>35081.0</v>
      </c>
      <c r="X65" s="11">
        <f t="shared" si="11"/>
        <v>0.05963043105</v>
      </c>
      <c r="Y65" s="15">
        <v>35155.0</v>
      </c>
      <c r="Z65" s="11">
        <f t="shared" si="12"/>
        <v>0.05787393344</v>
      </c>
      <c r="AA65" s="19">
        <v>64451.0</v>
      </c>
      <c r="AB65" s="15">
        <v>44613.0</v>
      </c>
      <c r="AC65" s="15">
        <v>58931.0</v>
      </c>
      <c r="AD65" s="15">
        <v>50016.0</v>
      </c>
    </row>
    <row r="66" ht="15.75" customHeight="1">
      <c r="A66" s="6">
        <v>41.0</v>
      </c>
      <c r="B66" s="6">
        <v>1.0</v>
      </c>
      <c r="C66" s="6" t="s">
        <v>76</v>
      </c>
      <c r="D66" s="6" t="s">
        <v>32</v>
      </c>
      <c r="E66" s="6" t="s">
        <v>53</v>
      </c>
      <c r="F66" s="4" t="s">
        <v>131</v>
      </c>
      <c r="G66" s="19"/>
      <c r="H66" s="11">
        <f t="shared" si="3"/>
        <v>0.006560767492</v>
      </c>
      <c r="I66" s="15"/>
      <c r="J66" s="11">
        <f t="shared" si="4"/>
        <v>0.007016779588</v>
      </c>
      <c r="K66" s="15">
        <f t="shared" ref="K66:L66" si="71">AVERAGE(O66,Q66,W66,Y66)</f>
        <v>5681</v>
      </c>
      <c r="L66" s="20">
        <f t="shared" si="71"/>
        <v>0.00621875842</v>
      </c>
      <c r="M66" s="19">
        <v>4369.0</v>
      </c>
      <c r="N66" s="11">
        <f t="shared" si="6"/>
        <v>0.007418324569</v>
      </c>
      <c r="O66" s="15">
        <v>7766.0</v>
      </c>
      <c r="P66" s="11">
        <f t="shared" si="7"/>
        <v>0.006589033832</v>
      </c>
      <c r="Q66" s="15">
        <v>7973.0</v>
      </c>
      <c r="R66" s="11">
        <f t="shared" si="8"/>
        <v>0.006618014479</v>
      </c>
      <c r="S66" s="15">
        <v>6445.0</v>
      </c>
      <c r="T66" s="11">
        <f t="shared" si="9"/>
        <v>0.006803173477</v>
      </c>
      <c r="U66" s="15">
        <v>6778.0</v>
      </c>
      <c r="V66" s="11">
        <f t="shared" si="10"/>
        <v>0.006828840719</v>
      </c>
      <c r="W66" s="15">
        <v>3155.0</v>
      </c>
      <c r="X66" s="11">
        <f t="shared" si="11"/>
        <v>0.005362846269</v>
      </c>
      <c r="Y66" s="15">
        <v>3830.0</v>
      </c>
      <c r="Z66" s="11">
        <f t="shared" si="12"/>
        <v>0.0063051391</v>
      </c>
      <c r="AA66" s="19">
        <v>7786.0</v>
      </c>
      <c r="AB66" s="15">
        <v>5198.0</v>
      </c>
      <c r="AC66" s="15">
        <v>6811.0</v>
      </c>
      <c r="AD66" s="15">
        <v>5419.0</v>
      </c>
    </row>
    <row r="67" ht="15.75" customHeight="1">
      <c r="A67" s="6">
        <v>143.0</v>
      </c>
      <c r="C67" s="6" t="s">
        <v>75</v>
      </c>
      <c r="D67" s="6" t="s">
        <v>34</v>
      </c>
      <c r="E67" s="6" t="s">
        <v>54</v>
      </c>
      <c r="F67" s="4" t="s">
        <v>235</v>
      </c>
      <c r="G67" s="19"/>
      <c r="H67" s="11">
        <f t="shared" si="3"/>
        <v>0.0007939514948</v>
      </c>
      <c r="I67" s="15"/>
      <c r="J67" s="11">
        <f t="shared" si="4"/>
        <v>0.0009330890062</v>
      </c>
      <c r="K67" s="15">
        <f t="shared" ref="K67:L67" si="72">AVERAGE(O67,Q67,W67,Y67)</f>
        <v>615.25</v>
      </c>
      <c r="L67" s="20">
        <f t="shared" si="72"/>
        <v>0.0006895983613</v>
      </c>
      <c r="M67" s="19">
        <v>470.0</v>
      </c>
      <c r="N67" s="11">
        <f t="shared" si="6"/>
        <v>0.0007980344581</v>
      </c>
      <c r="O67" s="15">
        <v>805.0</v>
      </c>
      <c r="P67" s="11">
        <f t="shared" si="7"/>
        <v>0.0006829992576</v>
      </c>
      <c r="Q67" s="15">
        <v>819.0</v>
      </c>
      <c r="R67" s="11">
        <f t="shared" si="8"/>
        <v>0.0006798136032</v>
      </c>
      <c r="S67" s="15">
        <v>992.0</v>
      </c>
      <c r="T67" s="11">
        <f t="shared" si="9"/>
        <v>0.001047129261</v>
      </c>
      <c r="U67" s="15">
        <v>947.0</v>
      </c>
      <c r="V67" s="11">
        <f t="shared" si="10"/>
        <v>0.0009541032991</v>
      </c>
      <c r="W67" s="15">
        <v>330.0</v>
      </c>
      <c r="X67" s="11">
        <f t="shared" si="11"/>
        <v>0.0005609316224</v>
      </c>
      <c r="Y67" s="15">
        <v>507.0</v>
      </c>
      <c r="Z67" s="11">
        <f t="shared" si="12"/>
        <v>0.0008346489618</v>
      </c>
      <c r="AA67" s="19">
        <v>770.0</v>
      </c>
      <c r="AB67" s="15">
        <v>510.0</v>
      </c>
      <c r="AC67" s="15">
        <v>615.0</v>
      </c>
      <c r="AD67" s="15">
        <v>448.0</v>
      </c>
    </row>
    <row r="68" ht="15.75" customHeight="1">
      <c r="A68" s="6">
        <v>23.0</v>
      </c>
      <c r="B68" s="6">
        <v>15.0</v>
      </c>
      <c r="C68" s="6" t="s">
        <v>70</v>
      </c>
      <c r="D68" s="6" t="s">
        <v>91</v>
      </c>
      <c r="E68" s="6" t="s">
        <v>59</v>
      </c>
      <c r="F68" s="4" t="s">
        <v>31</v>
      </c>
      <c r="G68" s="19"/>
      <c r="H68" s="11">
        <f t="shared" si="3"/>
        <v>0.01083939797</v>
      </c>
      <c r="I68" s="15"/>
      <c r="J68" s="11">
        <f t="shared" si="4"/>
        <v>0.01051130846</v>
      </c>
      <c r="K68" s="15">
        <f t="shared" ref="K68:L68" si="73">AVERAGE(O68,Q68,W68,Y68)</f>
        <v>9898.25</v>
      </c>
      <c r="L68" s="20">
        <f t="shared" si="73"/>
        <v>0.0110854651</v>
      </c>
      <c r="M68" s="19">
        <v>6310.0</v>
      </c>
      <c r="N68" s="11">
        <f t="shared" si="6"/>
        <v>0.01071403709</v>
      </c>
      <c r="O68" s="15">
        <v>13035.0</v>
      </c>
      <c r="P68" s="11">
        <f t="shared" si="7"/>
        <v>0.0110594973</v>
      </c>
      <c r="Q68" s="15">
        <v>13218.0</v>
      </c>
      <c r="R68" s="11">
        <f t="shared" si="8"/>
        <v>0.01097164372</v>
      </c>
      <c r="S68" s="15">
        <v>9701.0</v>
      </c>
      <c r="T68" s="11">
        <f t="shared" si="9"/>
        <v>0.01024012194</v>
      </c>
      <c r="U68" s="15">
        <v>10501.0</v>
      </c>
      <c r="V68" s="11">
        <f t="shared" si="10"/>
        <v>0.01057976636</v>
      </c>
      <c r="W68" s="15">
        <v>6532.0</v>
      </c>
      <c r="X68" s="11">
        <f t="shared" si="11"/>
        <v>0.01110304654</v>
      </c>
      <c r="Y68" s="15">
        <v>6808.0</v>
      </c>
      <c r="Z68" s="11">
        <f t="shared" si="12"/>
        <v>0.01120767284</v>
      </c>
      <c r="AA68" s="19">
        <v>12764.0</v>
      </c>
      <c r="AB68" s="15">
        <v>8644.0</v>
      </c>
      <c r="AC68" s="15">
        <v>11021.0</v>
      </c>
      <c r="AD68" s="15">
        <v>8568.0</v>
      </c>
    </row>
    <row r="69" ht="15.75" customHeight="1">
      <c r="A69" s="6">
        <v>37.0</v>
      </c>
      <c r="B69" s="6">
        <v>4.0</v>
      </c>
      <c r="C69" s="6" t="s">
        <v>77</v>
      </c>
      <c r="D69" s="6" t="s">
        <v>32</v>
      </c>
      <c r="E69" s="6" t="s">
        <v>53</v>
      </c>
      <c r="F69" s="4" t="s">
        <v>128</v>
      </c>
      <c r="G69" s="19"/>
      <c r="H69" s="11">
        <f t="shared" si="3"/>
        <v>0.00743756442</v>
      </c>
      <c r="I69" s="15"/>
      <c r="J69" s="11">
        <f t="shared" si="4"/>
        <v>0.008220017387</v>
      </c>
      <c r="K69" s="15">
        <f t="shared" ref="K69:L69" si="74">AVERAGE(O69,Q69,W69,Y69)</f>
        <v>6330.75</v>
      </c>
      <c r="L69" s="20">
        <f t="shared" si="74"/>
        <v>0.006850724695</v>
      </c>
      <c r="M69" s="19">
        <v>5064.0</v>
      </c>
      <c r="N69" s="11">
        <f t="shared" si="6"/>
        <v>0.0085983968</v>
      </c>
      <c r="O69" s="15">
        <v>8862.0</v>
      </c>
      <c r="P69" s="11">
        <f t="shared" si="7"/>
        <v>0.007518930958</v>
      </c>
      <c r="Q69" s="15">
        <v>9073.0</v>
      </c>
      <c r="R69" s="11">
        <f t="shared" si="8"/>
        <v>0.007531073043</v>
      </c>
      <c r="S69" s="15">
        <v>7735.0</v>
      </c>
      <c r="T69" s="11">
        <f t="shared" si="9"/>
        <v>0.008164863747</v>
      </c>
      <c r="U69" s="15">
        <v>7838.0</v>
      </c>
      <c r="V69" s="11">
        <f t="shared" si="10"/>
        <v>0.007896791614</v>
      </c>
      <c r="W69" s="15">
        <v>3556.0</v>
      </c>
      <c r="X69" s="11">
        <f t="shared" si="11"/>
        <v>0.00604446318</v>
      </c>
      <c r="Y69" s="15">
        <v>3832.0</v>
      </c>
      <c r="Z69" s="11">
        <f t="shared" si="12"/>
        <v>0.006308431601</v>
      </c>
      <c r="AA69" s="19">
        <v>8816.0</v>
      </c>
      <c r="AB69" s="15">
        <v>5887.0</v>
      </c>
      <c r="AC69" s="15">
        <v>7514.0</v>
      </c>
      <c r="AD69" s="15">
        <v>6115.0</v>
      </c>
    </row>
    <row r="70" ht="15.75" customHeight="1">
      <c r="A70" s="6">
        <v>90.0</v>
      </c>
      <c r="C70" s="6" t="s">
        <v>78</v>
      </c>
      <c r="D70" s="6" t="s">
        <v>33</v>
      </c>
      <c r="E70" s="6" t="s">
        <v>62</v>
      </c>
      <c r="F70" s="4" t="s">
        <v>178</v>
      </c>
      <c r="G70" s="19"/>
      <c r="H70" s="11">
        <f t="shared" si="3"/>
        <v>0.002956008965</v>
      </c>
      <c r="I70" s="15"/>
      <c r="J70" s="11">
        <f t="shared" si="4"/>
        <v>0.00344558869</v>
      </c>
      <c r="K70" s="15">
        <f t="shared" ref="K70:L70" si="75">AVERAGE(O70,Q70,W70,Y70)</f>
        <v>2374</v>
      </c>
      <c r="L70" s="20">
        <f t="shared" si="75"/>
        <v>0.002588824171</v>
      </c>
      <c r="M70" s="19">
        <v>1647.0</v>
      </c>
      <c r="N70" s="11">
        <f t="shared" si="6"/>
        <v>0.002796516495</v>
      </c>
      <c r="O70" s="15">
        <v>3305.0</v>
      </c>
      <c r="P70" s="11">
        <f t="shared" si="7"/>
        <v>0.002804114964</v>
      </c>
      <c r="Q70" s="15">
        <v>3332.0</v>
      </c>
      <c r="R70" s="11">
        <f t="shared" si="8"/>
        <v>0.002765737394</v>
      </c>
      <c r="S70" s="15">
        <v>3649.0</v>
      </c>
      <c r="T70" s="11">
        <f t="shared" si="9"/>
        <v>0.003851788987</v>
      </c>
      <c r="U70" s="15">
        <v>3661.0</v>
      </c>
      <c r="V70" s="11">
        <f t="shared" si="10"/>
        <v>0.003688460589</v>
      </c>
      <c r="W70" s="15">
        <v>1472.0</v>
      </c>
      <c r="X70" s="11">
        <f t="shared" si="11"/>
        <v>0.002502094995</v>
      </c>
      <c r="Y70" s="15">
        <v>1387.0</v>
      </c>
      <c r="Z70" s="11">
        <f t="shared" si="12"/>
        <v>0.002283349329</v>
      </c>
      <c r="AA70" s="19">
        <v>3125.0</v>
      </c>
      <c r="AB70" s="15">
        <v>2122.0</v>
      </c>
      <c r="AC70" s="15">
        <v>2594.0</v>
      </c>
      <c r="AD70" s="15">
        <v>1704.0</v>
      </c>
    </row>
    <row r="71" ht="15.75" customHeight="1">
      <c r="A71" s="6">
        <v>73.0</v>
      </c>
      <c r="C71" s="6" t="s">
        <v>75</v>
      </c>
      <c r="D71" s="6" t="s">
        <v>33</v>
      </c>
      <c r="E71" s="6" t="s">
        <v>53</v>
      </c>
      <c r="F71" s="4" t="s">
        <v>167</v>
      </c>
      <c r="G71" s="19"/>
      <c r="H71" s="11">
        <f t="shared" si="3"/>
        <v>0.003514011107</v>
      </c>
      <c r="I71" s="15"/>
      <c r="J71" s="11">
        <f t="shared" si="4"/>
        <v>0.003462904041</v>
      </c>
      <c r="K71" s="15">
        <f t="shared" ref="K71:L71" si="76">AVERAGE(O71,Q71,W71,Y71)</f>
        <v>3294.75</v>
      </c>
      <c r="L71" s="20">
        <f t="shared" si="76"/>
        <v>0.003552341406</v>
      </c>
      <c r="M71" s="19">
        <v>2350.0</v>
      </c>
      <c r="N71" s="11">
        <f t="shared" si="6"/>
        <v>0.003990172291</v>
      </c>
      <c r="O71" s="15">
        <v>4653.0</v>
      </c>
      <c r="P71" s="11">
        <f t="shared" si="7"/>
        <v>0.003947820554</v>
      </c>
      <c r="Q71" s="15">
        <v>4761.0</v>
      </c>
      <c r="R71" s="11">
        <f t="shared" si="8"/>
        <v>0.003951883474</v>
      </c>
      <c r="S71" s="15">
        <v>2953.0</v>
      </c>
      <c r="T71" s="11">
        <f t="shared" si="9"/>
        <v>0.003117109585</v>
      </c>
      <c r="U71" s="15">
        <v>3257.0</v>
      </c>
      <c r="V71" s="11">
        <f t="shared" si="10"/>
        <v>0.003281430248</v>
      </c>
      <c r="W71" s="15">
        <v>2083.0</v>
      </c>
      <c r="X71" s="11">
        <f t="shared" si="11"/>
        <v>0.003540668393</v>
      </c>
      <c r="Y71" s="15">
        <v>1682.0</v>
      </c>
      <c r="Z71" s="11">
        <f t="shared" si="12"/>
        <v>0.002768993203</v>
      </c>
      <c r="AA71" s="19">
        <v>4815.0</v>
      </c>
      <c r="AB71" s="15">
        <v>2988.0</v>
      </c>
      <c r="AC71" s="15">
        <v>4261.0</v>
      </c>
      <c r="AD71" s="15">
        <v>3447.0</v>
      </c>
    </row>
    <row r="72" ht="15.75" customHeight="1">
      <c r="A72" s="6">
        <v>2.0</v>
      </c>
      <c r="B72" s="6">
        <v>7.0</v>
      </c>
      <c r="C72" s="6" t="s">
        <v>74</v>
      </c>
      <c r="D72" s="6" t="s">
        <v>88</v>
      </c>
      <c r="E72" s="6" t="s">
        <v>53</v>
      </c>
      <c r="F72" s="4" t="s">
        <v>10</v>
      </c>
      <c r="G72" s="19"/>
      <c r="H72" s="11">
        <f t="shared" si="3"/>
        <v>0.05947463816</v>
      </c>
      <c r="I72" s="15"/>
      <c r="J72" s="11">
        <f t="shared" si="4"/>
        <v>0.05724041768</v>
      </c>
      <c r="K72" s="15">
        <f t="shared" ref="K72:L72" si="77">AVERAGE(O72,Q72,W72,Y72)</f>
        <v>53821.5</v>
      </c>
      <c r="L72" s="20">
        <f t="shared" si="77"/>
        <v>0.06115030352</v>
      </c>
      <c r="M72" s="19">
        <v>29075.0</v>
      </c>
      <c r="N72" s="11">
        <f t="shared" si="6"/>
        <v>0.04936776994</v>
      </c>
      <c r="O72" s="15">
        <v>68504.0</v>
      </c>
      <c r="P72" s="11">
        <f t="shared" si="7"/>
        <v>0.05812196415</v>
      </c>
      <c r="Q72" s="15">
        <v>70227.0</v>
      </c>
      <c r="R72" s="11">
        <f t="shared" si="8"/>
        <v>0.05829214886</v>
      </c>
      <c r="S72" s="15">
        <v>57897.0</v>
      </c>
      <c r="T72" s="11">
        <f t="shared" si="9"/>
        <v>0.06111455932</v>
      </c>
      <c r="U72" s="15">
        <v>60783.0</v>
      </c>
      <c r="V72" s="11">
        <f t="shared" si="10"/>
        <v>0.06123892379</v>
      </c>
      <c r="W72" s="15">
        <v>40312.0</v>
      </c>
      <c r="X72" s="11">
        <f t="shared" si="11"/>
        <v>0.06852204716</v>
      </c>
      <c r="Y72" s="15">
        <v>36243.0</v>
      </c>
      <c r="Z72" s="11">
        <f t="shared" si="12"/>
        <v>0.05966505389</v>
      </c>
      <c r="AA72" s="19">
        <v>61667.0</v>
      </c>
      <c r="AB72" s="15">
        <v>41495.0</v>
      </c>
      <c r="AC72" s="15">
        <v>56484.0</v>
      </c>
      <c r="AD72" s="15">
        <v>47348.0</v>
      </c>
    </row>
    <row r="73" ht="15.75" customHeight="1">
      <c r="A73" s="6">
        <v>33.0</v>
      </c>
      <c r="B73" s="6">
        <v>11.0</v>
      </c>
      <c r="C73" s="6" t="s">
        <v>76</v>
      </c>
      <c r="D73" s="6" t="s">
        <v>32</v>
      </c>
      <c r="E73" s="6" t="s">
        <v>53</v>
      </c>
      <c r="F73" s="4" t="s">
        <v>123</v>
      </c>
      <c r="G73" s="19"/>
      <c r="H73" s="11">
        <f t="shared" si="3"/>
        <v>0.008297458469</v>
      </c>
      <c r="I73" s="15"/>
      <c r="J73" s="11">
        <f t="shared" si="4"/>
        <v>0.009061902056</v>
      </c>
      <c r="K73" s="15">
        <f t="shared" ref="K73:L73" si="78">AVERAGE(O73,Q73,W73,Y73)</f>
        <v>6874.25</v>
      </c>
      <c r="L73" s="20">
        <f t="shared" si="78"/>
        <v>0.007724125779</v>
      </c>
      <c r="M73" s="19">
        <v>4845.0</v>
      </c>
      <c r="N73" s="11">
        <f t="shared" si="6"/>
        <v>0.008226546701</v>
      </c>
      <c r="O73" s="15">
        <v>8995.0</v>
      </c>
      <c r="P73" s="11">
        <f t="shared" si="7"/>
        <v>0.007631774313</v>
      </c>
      <c r="Q73" s="15">
        <v>9123.0</v>
      </c>
      <c r="R73" s="11">
        <f t="shared" si="8"/>
        <v>0.007572575705</v>
      </c>
      <c r="S73" s="15">
        <v>9012.0</v>
      </c>
      <c r="T73" s="11">
        <f t="shared" si="9"/>
        <v>0.009512831556</v>
      </c>
      <c r="U73" s="15">
        <v>9376.0</v>
      </c>
      <c r="V73" s="11">
        <f t="shared" si="10"/>
        <v>0.009446327911</v>
      </c>
      <c r="W73" s="15">
        <v>4706.0</v>
      </c>
      <c r="X73" s="11">
        <f t="shared" si="11"/>
        <v>0.007999224894</v>
      </c>
      <c r="Y73" s="15">
        <v>4673.0</v>
      </c>
      <c r="Z73" s="11">
        <f t="shared" si="12"/>
        <v>0.007692928202</v>
      </c>
      <c r="AA73" s="19">
        <v>8963.0</v>
      </c>
      <c r="AB73" s="15">
        <v>5887.0</v>
      </c>
      <c r="AC73" s="15">
        <v>7716.0</v>
      </c>
      <c r="AD73" s="15">
        <v>6096.0</v>
      </c>
    </row>
    <row r="74" ht="15.75" customHeight="1">
      <c r="A74" s="6">
        <v>6.0</v>
      </c>
      <c r="B74" s="6">
        <v>5.0</v>
      </c>
      <c r="C74" s="6" t="s">
        <v>76</v>
      </c>
      <c r="D74" s="6" t="s">
        <v>89</v>
      </c>
      <c r="E74" s="6" t="s">
        <v>53</v>
      </c>
      <c r="F74" s="4" t="s">
        <v>14</v>
      </c>
      <c r="G74" s="19"/>
      <c r="H74" s="11">
        <f t="shared" si="3"/>
        <v>0.02800807455</v>
      </c>
      <c r="I74" s="15"/>
      <c r="J74" s="11">
        <f t="shared" si="4"/>
        <v>0.02806945777</v>
      </c>
      <c r="K74" s="15">
        <f t="shared" ref="K74:L74" si="79">AVERAGE(O74,Q74,W74,Y74)</f>
        <v>24768</v>
      </c>
      <c r="L74" s="20">
        <f t="shared" si="79"/>
        <v>0.02796203714</v>
      </c>
      <c r="M74" s="19">
        <v>16864.0</v>
      </c>
      <c r="N74" s="11">
        <f t="shared" si="6"/>
        <v>0.02863415554</v>
      </c>
      <c r="O74" s="15">
        <v>32129.0</v>
      </c>
      <c r="P74" s="11">
        <f t="shared" si="7"/>
        <v>0.02725973062</v>
      </c>
      <c r="Q74" s="15">
        <v>32620.0</v>
      </c>
      <c r="R74" s="11">
        <f t="shared" si="8"/>
        <v>0.02707633668</v>
      </c>
      <c r="S74" s="15">
        <v>26186.0</v>
      </c>
      <c r="T74" s="11">
        <f t="shared" si="9"/>
        <v>0.02764125689</v>
      </c>
      <c r="U74" s="15">
        <v>27725.0</v>
      </c>
      <c r="V74" s="11">
        <f t="shared" si="10"/>
        <v>0.02793296089</v>
      </c>
      <c r="W74" s="15">
        <v>18823.0</v>
      </c>
      <c r="X74" s="11">
        <f t="shared" si="11"/>
        <v>0.03199519979</v>
      </c>
      <c r="Y74" s="15">
        <v>15500.0</v>
      </c>
      <c r="Z74" s="11">
        <f t="shared" si="12"/>
        <v>0.02551688147</v>
      </c>
      <c r="AA74" s="19">
        <v>31654.0</v>
      </c>
      <c r="AB74" s="15">
        <v>20449.0</v>
      </c>
      <c r="AC74" s="15">
        <v>27985.0</v>
      </c>
      <c r="AD74" s="15">
        <v>23240.0</v>
      </c>
    </row>
    <row r="75" ht="15.75" customHeight="1">
      <c r="A75" s="6">
        <v>151.0</v>
      </c>
      <c r="C75" s="6" t="s">
        <v>75</v>
      </c>
      <c r="D75" s="6" t="s">
        <v>34</v>
      </c>
      <c r="E75" s="6" t="s">
        <v>60</v>
      </c>
      <c r="F75" s="4" t="s">
        <v>241</v>
      </c>
      <c r="G75" s="19"/>
      <c r="H75" s="11">
        <f t="shared" si="3"/>
        <v>0.0003964771213</v>
      </c>
      <c r="I75" s="15"/>
      <c r="J75" s="11">
        <f t="shared" si="4"/>
        <v>0.0004132396378</v>
      </c>
      <c r="K75" s="15">
        <f t="shared" ref="K75:L75" si="80">AVERAGE(O75,Q75,W75,Y75)</f>
        <v>373.5</v>
      </c>
      <c r="L75" s="20">
        <f t="shared" si="80"/>
        <v>0.0003839052339</v>
      </c>
      <c r="M75" s="19">
        <v>285.0</v>
      </c>
      <c r="N75" s="11">
        <f t="shared" si="6"/>
        <v>0.0004839145118</v>
      </c>
      <c r="O75" s="15">
        <v>574.0</v>
      </c>
      <c r="P75" s="11">
        <f t="shared" si="7"/>
        <v>0.0004870081663</v>
      </c>
      <c r="Q75" s="15">
        <v>583.0</v>
      </c>
      <c r="R75" s="11">
        <f t="shared" si="8"/>
        <v>0.0004839210387</v>
      </c>
      <c r="S75" s="15">
        <v>360.0</v>
      </c>
      <c r="T75" s="11">
        <f t="shared" si="9"/>
        <v>0.0003800065868</v>
      </c>
      <c r="U75" s="15">
        <v>373.0</v>
      </c>
      <c r="V75" s="11">
        <f t="shared" si="10"/>
        <v>0.0003757978147</v>
      </c>
      <c r="W75" s="15">
        <v>185.0</v>
      </c>
      <c r="X75" s="11">
        <f t="shared" si="11"/>
        <v>0.0003144616671</v>
      </c>
      <c r="Y75" s="15">
        <v>152.0</v>
      </c>
      <c r="Z75" s="11">
        <f t="shared" si="12"/>
        <v>0.0002502300635</v>
      </c>
      <c r="AA75" s="19">
        <v>604.0</v>
      </c>
      <c r="AB75" s="15">
        <v>411.0</v>
      </c>
      <c r="AC75" s="15">
        <v>508.0</v>
      </c>
      <c r="AD75" s="15">
        <v>367.0</v>
      </c>
    </row>
    <row r="76" ht="15.75" customHeight="1">
      <c r="A76" s="6">
        <v>55.0</v>
      </c>
      <c r="C76" s="6" t="s">
        <v>79</v>
      </c>
      <c r="D76" s="6" t="s">
        <v>33</v>
      </c>
      <c r="E76" s="6" t="s">
        <v>53</v>
      </c>
      <c r="F76" s="4" t="s">
        <v>142</v>
      </c>
      <c r="G76" s="19"/>
      <c r="H76" s="11">
        <f t="shared" si="3"/>
        <v>0.005464302107</v>
      </c>
      <c r="I76" s="15"/>
      <c r="J76" s="11">
        <f t="shared" si="4"/>
        <v>0.006492501909</v>
      </c>
      <c r="K76" s="15">
        <f t="shared" ref="K76:L76" si="81">AVERAGE(O76,Q76,W76,Y76)</f>
        <v>4241.75</v>
      </c>
      <c r="L76" s="20">
        <f t="shared" si="81"/>
        <v>0.004693152255</v>
      </c>
      <c r="M76" s="19">
        <v>3352.0</v>
      </c>
      <c r="N76" s="11">
        <f t="shared" si="6"/>
        <v>0.005691513837</v>
      </c>
      <c r="O76" s="15">
        <v>5701.0</v>
      </c>
      <c r="P76" s="11">
        <f t="shared" si="7"/>
        <v>0.004836992258</v>
      </c>
      <c r="Q76" s="15">
        <v>5831.0</v>
      </c>
      <c r="R76" s="11">
        <f t="shared" si="8"/>
        <v>0.00484004044</v>
      </c>
      <c r="S76" s="15">
        <v>6672.0</v>
      </c>
      <c r="T76" s="11">
        <f t="shared" si="9"/>
        <v>0.007042788742</v>
      </c>
      <c r="U76" s="15">
        <v>6693.0</v>
      </c>
      <c r="V76" s="11">
        <f t="shared" si="10"/>
        <v>0.006743203147</v>
      </c>
      <c r="W76" s="15">
        <v>2768.0</v>
      </c>
      <c r="X76" s="11">
        <f t="shared" si="11"/>
        <v>0.004705026457</v>
      </c>
      <c r="Y76" s="15">
        <v>2667.0</v>
      </c>
      <c r="Z76" s="11">
        <f t="shared" si="12"/>
        <v>0.004390549864</v>
      </c>
      <c r="AA76" s="19">
        <v>5700.0</v>
      </c>
      <c r="AB76" s="15">
        <v>3810.0</v>
      </c>
      <c r="AC76" s="15">
        <v>4898.0</v>
      </c>
      <c r="AD76" s="15">
        <v>3840.0</v>
      </c>
    </row>
    <row r="77" ht="15.75" customHeight="1">
      <c r="A77" s="6">
        <v>45.0</v>
      </c>
      <c r="B77" s="6">
        <v>12.0</v>
      </c>
      <c r="C77" s="6" t="s">
        <v>71</v>
      </c>
      <c r="D77" s="6" t="s">
        <v>32</v>
      </c>
      <c r="E77" s="6" t="s">
        <v>56</v>
      </c>
      <c r="F77" s="4" t="s">
        <v>140</v>
      </c>
      <c r="G77" s="19"/>
      <c r="H77" s="11">
        <f t="shared" si="3"/>
        <v>0.005450113766</v>
      </c>
      <c r="I77" s="15"/>
      <c r="J77" s="11">
        <f t="shared" si="4"/>
        <v>0.005424841526</v>
      </c>
      <c r="K77" s="15">
        <f t="shared" ref="K77:L77" si="82">AVERAGE(O77,Q77,W77,Y77)</f>
        <v>4922.25</v>
      </c>
      <c r="L77" s="20">
        <f t="shared" si="82"/>
        <v>0.005469067946</v>
      </c>
      <c r="M77" s="19">
        <v>3392.0</v>
      </c>
      <c r="N77" s="11">
        <f t="shared" si="6"/>
        <v>0.005759431664</v>
      </c>
      <c r="O77" s="15">
        <v>6546.0</v>
      </c>
      <c r="P77" s="11">
        <f t="shared" si="7"/>
        <v>0.005553929367</v>
      </c>
      <c r="Q77" s="15">
        <v>6676.0</v>
      </c>
      <c r="R77" s="11">
        <f t="shared" si="8"/>
        <v>0.005541435428</v>
      </c>
      <c r="S77" s="15">
        <v>4942.0</v>
      </c>
      <c r="T77" s="11">
        <f t="shared" si="9"/>
        <v>0.005216645977</v>
      </c>
      <c r="U77" s="15">
        <v>5259.0</v>
      </c>
      <c r="V77" s="11">
        <f t="shared" si="10"/>
        <v>0.005298446937</v>
      </c>
      <c r="W77" s="15">
        <v>2514.0</v>
      </c>
      <c r="X77" s="11">
        <f t="shared" si="11"/>
        <v>0.004273279087</v>
      </c>
      <c r="Y77" s="15">
        <v>3953.0</v>
      </c>
      <c r="Z77" s="11">
        <f t="shared" si="12"/>
        <v>0.006507627901</v>
      </c>
      <c r="AA77" s="19">
        <v>6572.0</v>
      </c>
      <c r="AB77" s="15">
        <v>4293.0</v>
      </c>
      <c r="AC77" s="15">
        <v>5616.0</v>
      </c>
      <c r="AD77" s="15">
        <v>4269.0</v>
      </c>
    </row>
    <row r="78" ht="15.75" customHeight="1">
      <c r="A78" s="6">
        <v>72.0</v>
      </c>
      <c r="C78" s="6" t="s">
        <v>76</v>
      </c>
      <c r="D78" s="6" t="s">
        <v>33</v>
      </c>
      <c r="E78" s="6" t="s">
        <v>58</v>
      </c>
      <c r="F78" s="4" t="s">
        <v>156</v>
      </c>
      <c r="G78" s="19"/>
      <c r="H78" s="11">
        <f t="shared" si="3"/>
        <v>0.004093447235</v>
      </c>
      <c r="I78" s="15"/>
      <c r="J78" s="11">
        <f t="shared" si="4"/>
        <v>0.004955254912</v>
      </c>
      <c r="K78" s="15">
        <f t="shared" ref="K78:L78" si="83">AVERAGE(O78,Q78,W78,Y78)</f>
        <v>3298.5</v>
      </c>
      <c r="L78" s="20">
        <f t="shared" si="83"/>
        <v>0.003447091477</v>
      </c>
      <c r="M78" s="19">
        <v>2842.0</v>
      </c>
      <c r="N78" s="11">
        <f t="shared" si="6"/>
        <v>0.004825561553</v>
      </c>
      <c r="O78" s="15">
        <v>4923.0</v>
      </c>
      <c r="P78" s="11">
        <f t="shared" si="7"/>
        <v>0.00417690105</v>
      </c>
      <c r="Q78" s="15">
        <v>5007.0</v>
      </c>
      <c r="R78" s="11">
        <f t="shared" si="8"/>
        <v>0.004156076571</v>
      </c>
      <c r="S78" s="15">
        <v>4725.0</v>
      </c>
      <c r="T78" s="11">
        <f t="shared" si="9"/>
        <v>0.004987586451</v>
      </c>
      <c r="U78" s="15">
        <v>5015.0</v>
      </c>
      <c r="V78" s="11">
        <f t="shared" si="10"/>
        <v>0.005052616732</v>
      </c>
      <c r="W78" s="15">
        <v>1532.0</v>
      </c>
      <c r="X78" s="11">
        <f t="shared" si="11"/>
        <v>0.002604082562</v>
      </c>
      <c r="Y78" s="15">
        <v>1732.0</v>
      </c>
      <c r="Z78" s="11">
        <f t="shared" si="12"/>
        <v>0.002851305724</v>
      </c>
      <c r="AA78" s="19">
        <v>5305.0</v>
      </c>
      <c r="AB78" s="15">
        <v>3320.0</v>
      </c>
      <c r="AC78" s="15">
        <v>4508.0</v>
      </c>
      <c r="AD78" s="15">
        <v>3682.0</v>
      </c>
    </row>
    <row r="79" ht="15.75" customHeight="1">
      <c r="A79" s="6">
        <v>107.0</v>
      </c>
      <c r="C79" s="6" t="s">
        <v>75</v>
      </c>
      <c r="D79" s="6" t="s">
        <v>33</v>
      </c>
      <c r="E79" s="6" t="s">
        <v>53</v>
      </c>
      <c r="F79" s="4" t="s">
        <v>200</v>
      </c>
      <c r="G79" s="19"/>
      <c r="H79" s="11">
        <f t="shared" si="3"/>
        <v>0.002010275728</v>
      </c>
      <c r="I79" s="15"/>
      <c r="J79" s="11">
        <f t="shared" si="4"/>
        <v>0.002349398372</v>
      </c>
      <c r="K79" s="15">
        <f t="shared" ref="K79:L79" si="84">AVERAGE(O79,Q79,W79,Y79)</f>
        <v>1574.5</v>
      </c>
      <c r="L79" s="20">
        <f t="shared" si="84"/>
        <v>0.001755933744</v>
      </c>
      <c r="M79" s="19">
        <v>1479.0</v>
      </c>
      <c r="N79" s="11">
        <f t="shared" si="6"/>
        <v>0.002511261625</v>
      </c>
      <c r="O79" s="15">
        <v>2088.0</v>
      </c>
      <c r="P79" s="11">
        <f t="shared" si="7"/>
        <v>0.001771555838</v>
      </c>
      <c r="Q79" s="15">
        <v>2122.0</v>
      </c>
      <c r="R79" s="11">
        <f t="shared" si="8"/>
        <v>0.001761372974</v>
      </c>
      <c r="S79" s="15">
        <v>2120.0</v>
      </c>
      <c r="T79" s="11">
        <f t="shared" si="9"/>
        <v>0.002237816567</v>
      </c>
      <c r="U79" s="15">
        <v>2282.0</v>
      </c>
      <c r="V79" s="11">
        <f t="shared" si="10"/>
        <v>0.002299116926</v>
      </c>
      <c r="W79" s="15">
        <v>998.0</v>
      </c>
      <c r="X79" s="11">
        <f t="shared" si="11"/>
        <v>0.00169639321</v>
      </c>
      <c r="Y79" s="15">
        <v>1090.0</v>
      </c>
      <c r="Z79" s="11">
        <f t="shared" si="12"/>
        <v>0.001794412955</v>
      </c>
      <c r="AA79" s="19">
        <v>2079.0</v>
      </c>
      <c r="AB79" s="15">
        <v>1351.0</v>
      </c>
      <c r="AC79" s="15">
        <v>1822.0</v>
      </c>
      <c r="AD79" s="15">
        <v>1435.0</v>
      </c>
    </row>
    <row r="80" ht="15.75" customHeight="1">
      <c r="A80" s="6">
        <v>11.0</v>
      </c>
      <c r="B80" s="6">
        <v>16.0</v>
      </c>
      <c r="C80" s="6" t="s">
        <v>72</v>
      </c>
      <c r="D80" s="6" t="s">
        <v>90</v>
      </c>
      <c r="E80" s="6" t="s">
        <v>53</v>
      </c>
      <c r="F80" s="4" t="s">
        <v>20</v>
      </c>
      <c r="G80" s="19"/>
      <c r="H80" s="11">
        <f t="shared" si="3"/>
        <v>0.01893514805</v>
      </c>
      <c r="I80" s="15"/>
      <c r="J80" s="11">
        <f t="shared" si="4"/>
        <v>0.01761719794</v>
      </c>
      <c r="K80" s="15">
        <f t="shared" ref="K80:L80" si="85">AVERAGE(O80,Q80,W80,Y80)</f>
        <v>16863.25</v>
      </c>
      <c r="L80" s="20">
        <f t="shared" si="85"/>
        <v>0.01992361063</v>
      </c>
      <c r="M80" s="19">
        <v>9196.0</v>
      </c>
      <c r="N80" s="11">
        <f t="shared" si="6"/>
        <v>0.01561430825</v>
      </c>
      <c r="O80" s="15">
        <v>19697.0</v>
      </c>
      <c r="P80" s="11">
        <f t="shared" si="7"/>
        <v>0.01671184643</v>
      </c>
      <c r="Q80" s="15">
        <v>20117.0</v>
      </c>
      <c r="R80" s="11">
        <f t="shared" si="8"/>
        <v>0.01669818102</v>
      </c>
      <c r="S80" s="15">
        <v>17417.0</v>
      </c>
      <c r="T80" s="11">
        <f t="shared" si="9"/>
        <v>0.01838492978</v>
      </c>
      <c r="U80" s="15">
        <v>18712.0</v>
      </c>
      <c r="V80" s="11">
        <f t="shared" si="10"/>
        <v>0.01885235579</v>
      </c>
      <c r="W80" s="15">
        <v>14637.0</v>
      </c>
      <c r="X80" s="11">
        <f t="shared" si="11"/>
        <v>0.02487986714</v>
      </c>
      <c r="Y80" s="15">
        <v>13002.0</v>
      </c>
      <c r="Z80" s="11">
        <f t="shared" si="12"/>
        <v>0.02140454793</v>
      </c>
      <c r="AA80" s="19">
        <v>17423.0</v>
      </c>
      <c r="AB80" s="15">
        <v>11560.0</v>
      </c>
      <c r="AC80" s="15">
        <v>15922.0</v>
      </c>
      <c r="AD80" s="15">
        <v>12865.0</v>
      </c>
    </row>
    <row r="81" ht="15.75" customHeight="1">
      <c r="A81" s="6">
        <v>16.0</v>
      </c>
      <c r="B81" s="6">
        <v>8.0</v>
      </c>
      <c r="C81" s="6" t="s">
        <v>73</v>
      </c>
      <c r="D81" s="6" t="s">
        <v>91</v>
      </c>
      <c r="E81" s="6" t="s">
        <v>60</v>
      </c>
      <c r="F81" s="4" t="s">
        <v>24</v>
      </c>
      <c r="G81" s="19"/>
      <c r="H81" s="11">
        <f t="shared" si="3"/>
        <v>0.01473818281</v>
      </c>
      <c r="I81" s="15"/>
      <c r="J81" s="11">
        <f t="shared" si="4"/>
        <v>0.01495132336</v>
      </c>
      <c r="K81" s="15">
        <f t="shared" ref="K81:L81" si="86">AVERAGE(O81,Q81,W81,Y81)</f>
        <v>13245.75</v>
      </c>
      <c r="L81" s="20">
        <f t="shared" si="86"/>
        <v>0.0145783274</v>
      </c>
      <c r="M81" s="19">
        <v>8705.0</v>
      </c>
      <c r="N81" s="11">
        <f t="shared" si="6"/>
        <v>0.01478061693</v>
      </c>
      <c r="O81" s="15">
        <v>18074.0</v>
      </c>
      <c r="P81" s="11">
        <f t="shared" si="7"/>
        <v>0.01533481811</v>
      </c>
      <c r="Q81" s="15">
        <v>18309.0</v>
      </c>
      <c r="R81" s="11">
        <f t="shared" si="8"/>
        <v>0.01519744476</v>
      </c>
      <c r="S81" s="15">
        <v>14177.0</v>
      </c>
      <c r="T81" s="11">
        <f t="shared" si="9"/>
        <v>0.0149648705</v>
      </c>
      <c r="U81" s="15">
        <v>14996.0</v>
      </c>
      <c r="V81" s="11">
        <f t="shared" si="10"/>
        <v>0.01510848265</v>
      </c>
      <c r="W81" s="15">
        <v>8466.0</v>
      </c>
      <c r="X81" s="11">
        <f t="shared" si="11"/>
        <v>0.0143904458</v>
      </c>
      <c r="Y81" s="15">
        <v>8134.0</v>
      </c>
      <c r="Z81" s="11">
        <f t="shared" si="12"/>
        <v>0.0133906009</v>
      </c>
      <c r="AA81" s="19">
        <v>17193.0</v>
      </c>
      <c r="AB81" s="15">
        <v>11529.0</v>
      </c>
      <c r="AC81" s="15">
        <v>15039.0</v>
      </c>
      <c r="AD81" s="15">
        <v>11879.0</v>
      </c>
    </row>
    <row r="82" ht="15.75" customHeight="1">
      <c r="A82" s="6">
        <v>119.0</v>
      </c>
      <c r="C82" s="6" t="s">
        <v>78</v>
      </c>
      <c r="D82" s="6" t="s">
        <v>33</v>
      </c>
      <c r="E82" s="6" t="s">
        <v>52</v>
      </c>
      <c r="F82" s="4" t="s">
        <v>208</v>
      </c>
      <c r="G82" s="19"/>
      <c r="H82" s="11">
        <f t="shared" si="3"/>
        <v>0.001462807423</v>
      </c>
      <c r="I82" s="15"/>
      <c r="J82" s="11">
        <f t="shared" si="4"/>
        <v>0.001747126236</v>
      </c>
      <c r="K82" s="15">
        <f t="shared" ref="K82:L82" si="87">AVERAGE(O82,Q82,W82,Y82)</f>
        <v>1167</v>
      </c>
      <c r="L82" s="20">
        <f t="shared" si="87"/>
        <v>0.001249568313</v>
      </c>
      <c r="M82" s="19">
        <v>822.0</v>
      </c>
      <c r="N82" s="11">
        <f t="shared" si="6"/>
        <v>0.001395711329</v>
      </c>
      <c r="O82" s="15">
        <v>1682.0</v>
      </c>
      <c r="P82" s="11">
        <f t="shared" si="7"/>
        <v>0.001427086648</v>
      </c>
      <c r="Q82" s="15">
        <v>1690.0</v>
      </c>
      <c r="R82" s="11">
        <f t="shared" si="8"/>
        <v>0.001402789975</v>
      </c>
      <c r="S82" s="15">
        <v>1866.0</v>
      </c>
      <c r="T82" s="11">
        <f t="shared" si="9"/>
        <v>0.001969700808</v>
      </c>
      <c r="U82" s="15">
        <v>1862.0</v>
      </c>
      <c r="V82" s="11">
        <f t="shared" si="10"/>
        <v>0.001875966571</v>
      </c>
      <c r="W82" s="15">
        <v>651.0</v>
      </c>
      <c r="X82" s="11">
        <f t="shared" si="11"/>
        <v>0.00110656511</v>
      </c>
      <c r="Y82" s="15">
        <v>645.0</v>
      </c>
      <c r="Z82" s="11">
        <f t="shared" si="12"/>
        <v>0.001061831519</v>
      </c>
      <c r="AA82" s="19">
        <v>1594.0</v>
      </c>
      <c r="AB82" s="15">
        <v>1080.0</v>
      </c>
      <c r="AC82" s="15">
        <v>1297.0</v>
      </c>
      <c r="AD82" s="15">
        <v>839.0</v>
      </c>
    </row>
    <row r="83" ht="15.75" customHeight="1">
      <c r="A83" s="6">
        <v>22.0</v>
      </c>
      <c r="B83" s="6">
        <v>5.0</v>
      </c>
      <c r="C83" s="6" t="s">
        <v>68</v>
      </c>
      <c r="D83" s="6" t="s">
        <v>91</v>
      </c>
      <c r="E83" s="6" t="s">
        <v>53</v>
      </c>
      <c r="F83" s="4" t="s">
        <v>28</v>
      </c>
      <c r="G83" s="19"/>
      <c r="H83" s="11">
        <f t="shared" si="3"/>
        <v>0.01146423912</v>
      </c>
      <c r="I83" s="15"/>
      <c r="J83" s="11">
        <f t="shared" si="4"/>
        <v>0.01221194111</v>
      </c>
      <c r="K83" s="15">
        <f t="shared" ref="K83:L83" si="88">AVERAGE(O83,Q83,W83,Y83)</f>
        <v>9995</v>
      </c>
      <c r="L83" s="20">
        <f t="shared" si="88"/>
        <v>0.01090346263</v>
      </c>
      <c r="M83" s="19">
        <v>7024.0</v>
      </c>
      <c r="N83" s="11">
        <f t="shared" si="6"/>
        <v>0.01192637028</v>
      </c>
      <c r="O83" s="15">
        <v>13875.0</v>
      </c>
      <c r="P83" s="11">
        <f t="shared" si="7"/>
        <v>0.01177219217</v>
      </c>
      <c r="Q83" s="15">
        <v>14044.0</v>
      </c>
      <c r="R83" s="11">
        <f t="shared" si="8"/>
        <v>0.0116572677</v>
      </c>
      <c r="S83" s="15">
        <v>11558.0</v>
      </c>
      <c r="T83" s="11">
        <f t="shared" si="9"/>
        <v>0.01220032258</v>
      </c>
      <c r="U83" s="15">
        <v>12416.0</v>
      </c>
      <c r="V83" s="11">
        <f t="shared" si="10"/>
        <v>0.01250913048</v>
      </c>
      <c r="W83" s="15">
        <v>6144.0</v>
      </c>
      <c r="X83" s="11">
        <f t="shared" si="11"/>
        <v>0.01044352693</v>
      </c>
      <c r="Y83" s="15">
        <v>5917.0</v>
      </c>
      <c r="Z83" s="11">
        <f t="shared" si="12"/>
        <v>0.009740863722</v>
      </c>
      <c r="AA83" s="19">
        <v>14335.0</v>
      </c>
      <c r="AB83" s="15">
        <v>9237.0</v>
      </c>
      <c r="AC83" s="15">
        <v>12892.0</v>
      </c>
      <c r="AD83" s="15">
        <v>10774.0</v>
      </c>
    </row>
    <row r="84" ht="15.75" customHeight="1">
      <c r="A84" s="6">
        <v>98.0</v>
      </c>
      <c r="C84" s="6" t="s">
        <v>75</v>
      </c>
      <c r="D84" s="6" t="s">
        <v>33</v>
      </c>
      <c r="E84" s="6" t="s">
        <v>53</v>
      </c>
      <c r="F84" s="4" t="s">
        <v>189</v>
      </c>
      <c r="G84" s="19"/>
      <c r="H84" s="11">
        <f t="shared" si="3"/>
        <v>0.002538104583</v>
      </c>
      <c r="I84" s="15"/>
      <c r="J84" s="11">
        <f t="shared" si="4"/>
        <v>0.002668862076</v>
      </c>
      <c r="K84" s="15">
        <f t="shared" ref="K84:L84" si="89">AVERAGE(O84,Q84,W84,Y84)</f>
        <v>2196.5</v>
      </c>
      <c r="L84" s="20">
        <f t="shared" si="89"/>
        <v>0.002440036464</v>
      </c>
      <c r="M84" s="19">
        <v>1847.0</v>
      </c>
      <c r="N84" s="11">
        <f t="shared" si="6"/>
        <v>0.003136105626</v>
      </c>
      <c r="O84" s="15">
        <v>2946.0</v>
      </c>
      <c r="P84" s="11">
        <f t="shared" si="7"/>
        <v>0.002499522749</v>
      </c>
      <c r="Q84" s="15">
        <v>2982.0</v>
      </c>
      <c r="R84" s="11">
        <f t="shared" si="8"/>
        <v>0.002475218761</v>
      </c>
      <c r="S84" s="15">
        <v>2289.0</v>
      </c>
      <c r="T84" s="11">
        <f t="shared" si="9"/>
        <v>0.002416208548</v>
      </c>
      <c r="U84" s="15">
        <v>2436.0</v>
      </c>
      <c r="V84" s="11">
        <f t="shared" si="10"/>
        <v>0.002454272055</v>
      </c>
      <c r="W84" s="15">
        <v>1502.0</v>
      </c>
      <c r="X84" s="11">
        <f t="shared" si="11"/>
        <v>0.002553088778</v>
      </c>
      <c r="Y84" s="15">
        <v>1356.0</v>
      </c>
      <c r="Z84" s="11">
        <f t="shared" si="12"/>
        <v>0.002232315566</v>
      </c>
      <c r="AA84" s="19">
        <v>3079.0</v>
      </c>
      <c r="AB84" s="15">
        <v>2020.0</v>
      </c>
      <c r="AC84" s="15">
        <v>2681.0</v>
      </c>
      <c r="AD84" s="15">
        <v>2149.0</v>
      </c>
    </row>
    <row r="85" ht="15.75" customHeight="1">
      <c r="A85" s="6">
        <v>110.0</v>
      </c>
      <c r="C85" s="6" t="s">
        <v>78</v>
      </c>
      <c r="D85" s="6" t="s">
        <v>33</v>
      </c>
      <c r="E85" s="6" t="s">
        <v>61</v>
      </c>
      <c r="F85" s="4" t="s">
        <v>196</v>
      </c>
      <c r="G85" s="19"/>
      <c r="H85" s="11">
        <f t="shared" si="3"/>
        <v>0.001960985916</v>
      </c>
      <c r="I85" s="15"/>
      <c r="J85" s="11">
        <f t="shared" si="4"/>
        <v>0.002333528328</v>
      </c>
      <c r="K85" s="15">
        <f t="shared" ref="K85:L85" si="90">AVERAGE(O85,Q85,W85,Y85)</f>
        <v>1534.75</v>
      </c>
      <c r="L85" s="20">
        <f t="shared" si="90"/>
        <v>0.001681579107</v>
      </c>
      <c r="M85" s="19">
        <v>1095.0</v>
      </c>
      <c r="N85" s="11">
        <f t="shared" si="6"/>
        <v>0.001859250493</v>
      </c>
      <c r="O85" s="15">
        <v>2098.0</v>
      </c>
      <c r="P85" s="11">
        <f t="shared" si="7"/>
        <v>0.001780040301</v>
      </c>
      <c r="Q85" s="15">
        <v>2147.0</v>
      </c>
      <c r="R85" s="11">
        <f t="shared" si="8"/>
        <v>0.001782124305</v>
      </c>
      <c r="S85" s="15">
        <v>2579.0</v>
      </c>
      <c r="T85" s="11">
        <f t="shared" si="9"/>
        <v>0.002722324965</v>
      </c>
      <c r="U85" s="15">
        <v>2401.0</v>
      </c>
      <c r="V85" s="11">
        <f t="shared" si="10"/>
        <v>0.002419009526</v>
      </c>
      <c r="W85" s="15">
        <v>862.0</v>
      </c>
      <c r="X85" s="11">
        <f t="shared" si="11"/>
        <v>0.00146522139</v>
      </c>
      <c r="Y85" s="15">
        <v>1032.0</v>
      </c>
      <c r="Z85" s="11">
        <f t="shared" si="12"/>
        <v>0.001698930431</v>
      </c>
      <c r="AA85" s="19">
        <v>2036.0</v>
      </c>
      <c r="AB85" s="15">
        <v>1390.0</v>
      </c>
      <c r="AC85" s="15">
        <v>1621.0</v>
      </c>
      <c r="AD85" s="15">
        <v>1080.0</v>
      </c>
    </row>
    <row r="86" ht="15.75" customHeight="1">
      <c r="A86" s="6">
        <v>114.0</v>
      </c>
      <c r="C86" s="6" t="s">
        <v>75</v>
      </c>
      <c r="D86" s="6" t="s">
        <v>33</v>
      </c>
      <c r="E86" s="6" t="s">
        <v>54</v>
      </c>
      <c r="F86" s="4" t="s">
        <v>214</v>
      </c>
      <c r="G86" s="19"/>
      <c r="H86" s="11">
        <f t="shared" si="3"/>
        <v>0.001316956698</v>
      </c>
      <c r="I86" s="15"/>
      <c r="J86" s="11">
        <f t="shared" si="4"/>
        <v>0.0009917490757</v>
      </c>
      <c r="K86" s="15">
        <f t="shared" ref="K86:L86" si="91">AVERAGE(O86,Q86,W86,Y86)</f>
        <v>1404</v>
      </c>
      <c r="L86" s="20">
        <f t="shared" si="91"/>
        <v>0.001560862414</v>
      </c>
      <c r="M86" s="19">
        <v>983.0</v>
      </c>
      <c r="N86" s="11">
        <f t="shared" si="6"/>
        <v>0.001669080579</v>
      </c>
      <c r="O86" s="15">
        <v>1881.0</v>
      </c>
      <c r="P86" s="11">
        <f t="shared" si="7"/>
        <v>0.001595927458</v>
      </c>
      <c r="Q86" s="15">
        <v>1894.0</v>
      </c>
      <c r="R86" s="11">
        <f t="shared" si="8"/>
        <v>0.001572120836</v>
      </c>
      <c r="S86" s="15">
        <v>638.0</v>
      </c>
      <c r="T86" s="11">
        <f t="shared" si="9"/>
        <v>0.0006734561177</v>
      </c>
      <c r="U86" s="15">
        <v>628.0</v>
      </c>
      <c r="V86" s="11">
        <f t="shared" si="10"/>
        <v>0.0006327105299</v>
      </c>
      <c r="W86" s="15">
        <v>834.0</v>
      </c>
      <c r="X86" s="11">
        <f t="shared" si="11"/>
        <v>0.001417627191</v>
      </c>
      <c r="Y86" s="15">
        <v>1007.0</v>
      </c>
      <c r="Z86" s="11">
        <f t="shared" si="12"/>
        <v>0.001657774171</v>
      </c>
      <c r="AA86" s="19">
        <v>1821.0</v>
      </c>
      <c r="AB86" s="15">
        <v>1250.0</v>
      </c>
      <c r="AC86" s="15">
        <v>1465.0</v>
      </c>
      <c r="AD86" s="15">
        <v>1063.0</v>
      </c>
    </row>
    <row r="87" ht="15.75" customHeight="1">
      <c r="A87" s="6">
        <v>139.0</v>
      </c>
      <c r="C87" s="6" t="s">
        <v>75</v>
      </c>
      <c r="D87" s="6" t="s">
        <v>34</v>
      </c>
      <c r="E87" s="6" t="s">
        <v>54</v>
      </c>
      <c r="F87" s="4" t="s">
        <v>234</v>
      </c>
      <c r="G87" s="19"/>
      <c r="H87" s="11">
        <f t="shared" si="3"/>
        <v>0.0006885089008</v>
      </c>
      <c r="I87" s="15"/>
      <c r="J87" s="11">
        <f t="shared" si="4"/>
        <v>0.000496731093</v>
      </c>
      <c r="K87" s="15">
        <f t="shared" ref="K87:L87" si="92">AVERAGE(O87,Q87,W87,Y87)</f>
        <v>759.75</v>
      </c>
      <c r="L87" s="20">
        <f t="shared" si="92"/>
        <v>0.0008323422567</v>
      </c>
      <c r="M87" s="19">
        <v>502.0</v>
      </c>
      <c r="N87" s="11">
        <f t="shared" si="6"/>
        <v>0.0008523687191</v>
      </c>
      <c r="O87" s="15">
        <v>1051.0</v>
      </c>
      <c r="P87" s="11">
        <f t="shared" si="7"/>
        <v>0.0008917170432</v>
      </c>
      <c r="Q87" s="15">
        <v>1053.0</v>
      </c>
      <c r="R87" s="11">
        <f t="shared" si="8"/>
        <v>0.0008740460613</v>
      </c>
      <c r="S87" s="15">
        <v>295.0</v>
      </c>
      <c r="T87" s="11">
        <f t="shared" si="9"/>
        <v>0.0003113942864</v>
      </c>
      <c r="U87" s="15">
        <v>324.0</v>
      </c>
      <c r="V87" s="11">
        <f t="shared" si="10"/>
        <v>0.0003264302734</v>
      </c>
      <c r="W87" s="15">
        <v>455.0</v>
      </c>
      <c r="X87" s="11">
        <f t="shared" si="11"/>
        <v>0.0007734057218</v>
      </c>
      <c r="Y87" s="15">
        <v>480.0</v>
      </c>
      <c r="Z87" s="11">
        <f t="shared" si="12"/>
        <v>0.0007902002005</v>
      </c>
      <c r="AA87" s="19">
        <v>996.0</v>
      </c>
      <c r="AB87" s="15">
        <v>671.0</v>
      </c>
      <c r="AC87" s="15">
        <v>887.0</v>
      </c>
      <c r="AD87" s="15">
        <v>656.0</v>
      </c>
    </row>
    <row r="88" ht="15.75" customHeight="1">
      <c r="A88" s="6">
        <v>118.0</v>
      </c>
      <c r="C88" s="6" t="s">
        <v>75</v>
      </c>
      <c r="D88" s="6" t="s">
        <v>33</v>
      </c>
      <c r="E88" s="6" t="s">
        <v>60</v>
      </c>
      <c r="F88" s="4" t="s">
        <v>209</v>
      </c>
      <c r="G88" s="19"/>
      <c r="H88" s="11">
        <f t="shared" si="3"/>
        <v>0.001569645274</v>
      </c>
      <c r="I88" s="15"/>
      <c r="J88" s="11">
        <f t="shared" si="4"/>
        <v>0.001633711999</v>
      </c>
      <c r="K88" s="15">
        <f t="shared" ref="K88:L88" si="93">AVERAGE(O88,Q88,W88,Y88)</f>
        <v>1337</v>
      </c>
      <c r="L88" s="20">
        <f t="shared" si="93"/>
        <v>0.001521595231</v>
      </c>
      <c r="M88" s="19">
        <v>859.0</v>
      </c>
      <c r="N88" s="11">
        <f t="shared" si="6"/>
        <v>0.001458535318</v>
      </c>
      <c r="O88" s="15">
        <v>1712.0</v>
      </c>
      <c r="P88" s="11">
        <f t="shared" si="7"/>
        <v>0.001452540036</v>
      </c>
      <c r="Q88" s="15">
        <v>1712.0</v>
      </c>
      <c r="R88" s="11">
        <f t="shared" si="8"/>
        <v>0.001421051146</v>
      </c>
      <c r="S88" s="15">
        <v>1676.0</v>
      </c>
      <c r="T88" s="11">
        <f t="shared" si="9"/>
        <v>0.001769141776</v>
      </c>
      <c r="U88" s="15">
        <v>1661.0</v>
      </c>
      <c r="V88" s="11">
        <f t="shared" si="10"/>
        <v>0.001673458902</v>
      </c>
      <c r="W88" s="15">
        <v>848.0</v>
      </c>
      <c r="X88" s="11">
        <f t="shared" si="11"/>
        <v>0.00144142429</v>
      </c>
      <c r="Y88" s="15">
        <v>1076.0</v>
      </c>
      <c r="Z88" s="11">
        <f t="shared" si="12"/>
        <v>0.001771365449</v>
      </c>
      <c r="AA88" s="19">
        <v>1643.0</v>
      </c>
      <c r="AB88" s="15">
        <v>1094.0</v>
      </c>
      <c r="AC88" s="15">
        <v>1238.0</v>
      </c>
      <c r="AD88" s="15">
        <v>817.0</v>
      </c>
    </row>
    <row r="89" ht="15.75" customHeight="1">
      <c r="A89" s="6">
        <v>64.0</v>
      </c>
      <c r="C89" s="6" t="s">
        <v>73</v>
      </c>
      <c r="D89" s="6" t="s">
        <v>33</v>
      </c>
      <c r="E89" s="6" t="s">
        <v>60</v>
      </c>
      <c r="F89" s="4" t="s">
        <v>157</v>
      </c>
      <c r="G89" s="19"/>
      <c r="H89" s="11">
        <f t="shared" si="3"/>
        <v>0.004053726723</v>
      </c>
      <c r="I89" s="15"/>
      <c r="J89" s="11">
        <f t="shared" si="4"/>
        <v>0.0041277326</v>
      </c>
      <c r="K89" s="15">
        <f t="shared" ref="K89:L89" si="94">AVERAGE(O89,Q89,W89,Y89)</f>
        <v>3534.25</v>
      </c>
      <c r="L89" s="20">
        <f t="shared" si="94"/>
        <v>0.003998222316</v>
      </c>
      <c r="M89" s="19">
        <v>2577.0</v>
      </c>
      <c r="N89" s="11">
        <f t="shared" si="6"/>
        <v>0.004375605954</v>
      </c>
      <c r="O89" s="15">
        <v>4560.0</v>
      </c>
      <c r="P89" s="11">
        <f t="shared" si="7"/>
        <v>0.003868915049</v>
      </c>
      <c r="Q89" s="15">
        <v>4628.0</v>
      </c>
      <c r="R89" s="11">
        <f t="shared" si="8"/>
        <v>0.003841486393</v>
      </c>
      <c r="S89" s="15">
        <v>3709.0</v>
      </c>
      <c r="T89" s="11">
        <f t="shared" si="9"/>
        <v>0.003915123418</v>
      </c>
      <c r="U89" s="15">
        <v>4062.0</v>
      </c>
      <c r="V89" s="11">
        <f t="shared" si="10"/>
        <v>0.004092468427</v>
      </c>
      <c r="W89" s="15">
        <v>2525.0</v>
      </c>
      <c r="X89" s="11">
        <f t="shared" si="11"/>
        <v>0.004291976808</v>
      </c>
      <c r="Y89" s="15">
        <v>2424.0</v>
      </c>
      <c r="Z89" s="11">
        <f t="shared" si="12"/>
        <v>0.003990511013</v>
      </c>
      <c r="AA89" s="19">
        <v>4408.0</v>
      </c>
      <c r="AB89" s="15">
        <v>2932.0</v>
      </c>
      <c r="AC89" s="15">
        <v>3810.0</v>
      </c>
      <c r="AD89" s="15">
        <v>2860.0</v>
      </c>
    </row>
    <row r="90" ht="15.75" customHeight="1">
      <c r="A90" s="6">
        <v>87.0</v>
      </c>
      <c r="C90" s="6" t="s">
        <v>75</v>
      </c>
      <c r="D90" s="6" t="s">
        <v>33</v>
      </c>
      <c r="E90" s="6" t="s">
        <v>53</v>
      </c>
      <c r="F90" s="4" t="s">
        <v>186</v>
      </c>
      <c r="G90" s="19"/>
      <c r="H90" s="11">
        <f t="shared" si="3"/>
        <v>0.002706582606</v>
      </c>
      <c r="I90" s="15"/>
      <c r="J90" s="11">
        <f t="shared" si="4"/>
        <v>0.002717519703</v>
      </c>
      <c r="K90" s="15">
        <f t="shared" ref="K90:L90" si="95">AVERAGE(O90,Q90,W90,Y90)</f>
        <v>2424.5</v>
      </c>
      <c r="L90" s="20">
        <f t="shared" si="95"/>
        <v>0.002698379784</v>
      </c>
      <c r="M90" s="19">
        <v>1684.0</v>
      </c>
      <c r="N90" s="11">
        <f t="shared" si="6"/>
        <v>0.002859340484</v>
      </c>
      <c r="O90" s="15">
        <v>3222.0</v>
      </c>
      <c r="P90" s="11">
        <f t="shared" si="7"/>
        <v>0.002733693923</v>
      </c>
      <c r="Q90" s="15">
        <v>3295.0</v>
      </c>
      <c r="R90" s="11">
        <f t="shared" si="8"/>
        <v>0.002735025425</v>
      </c>
      <c r="S90" s="15">
        <v>2490.0</v>
      </c>
      <c r="T90" s="11">
        <f t="shared" si="9"/>
        <v>0.002628378892</v>
      </c>
      <c r="U90" s="15">
        <v>2645.0</v>
      </c>
      <c r="V90" s="11">
        <f t="shared" si="10"/>
        <v>0.002664839732</v>
      </c>
      <c r="W90" s="15">
        <v>1645.0</v>
      </c>
      <c r="X90" s="11">
        <f t="shared" si="11"/>
        <v>0.002796159148</v>
      </c>
      <c r="Y90" s="15">
        <v>1536.0</v>
      </c>
      <c r="Z90" s="11">
        <f t="shared" si="12"/>
        <v>0.002528640642</v>
      </c>
      <c r="AA90" s="19">
        <v>3272.0</v>
      </c>
      <c r="AB90" s="15">
        <v>2136.0</v>
      </c>
      <c r="AC90" s="15">
        <v>2829.0</v>
      </c>
      <c r="AD90" s="15">
        <v>2188.0</v>
      </c>
    </row>
    <row r="91" ht="15.75" customHeight="1">
      <c r="A91" s="6">
        <v>131.0</v>
      </c>
      <c r="C91" s="6" t="s">
        <v>78</v>
      </c>
      <c r="D91" s="6" t="s">
        <v>34</v>
      </c>
      <c r="E91" s="6" t="s">
        <v>62</v>
      </c>
      <c r="F91" s="4" t="s">
        <v>225</v>
      </c>
      <c r="G91" s="19"/>
      <c r="H91" s="11">
        <f t="shared" si="3"/>
        <v>0.001048639816</v>
      </c>
      <c r="I91" s="15"/>
      <c r="J91" s="11">
        <f t="shared" si="4"/>
        <v>0.0009898614701</v>
      </c>
      <c r="K91" s="15">
        <f t="shared" ref="K91:L91" si="96">AVERAGE(O91,Q91,W91,Y91)</f>
        <v>950</v>
      </c>
      <c r="L91" s="20">
        <f t="shared" si="96"/>
        <v>0.001092723576</v>
      </c>
      <c r="M91" s="19">
        <v>457.0</v>
      </c>
      <c r="N91" s="11">
        <f t="shared" si="6"/>
        <v>0.0007759611646</v>
      </c>
      <c r="O91" s="15">
        <v>1179.0</v>
      </c>
      <c r="P91" s="11">
        <f t="shared" si="7"/>
        <v>0.001000318167</v>
      </c>
      <c r="Q91" s="15">
        <v>1199.0</v>
      </c>
      <c r="R91" s="11">
        <f t="shared" si="8"/>
        <v>0.0009952338343</v>
      </c>
      <c r="S91" s="15">
        <v>1054.0</v>
      </c>
      <c r="T91" s="11">
        <f t="shared" si="9"/>
        <v>0.00111257484</v>
      </c>
      <c r="U91" s="15">
        <v>1073.0</v>
      </c>
      <c r="V91" s="11">
        <f t="shared" si="10"/>
        <v>0.001081048405</v>
      </c>
      <c r="W91" s="15">
        <v>642.0</v>
      </c>
      <c r="X91" s="11">
        <f t="shared" si="11"/>
        <v>0.001091266975</v>
      </c>
      <c r="Y91" s="15">
        <v>780.0</v>
      </c>
      <c r="Z91" s="11">
        <f t="shared" si="12"/>
        <v>0.001284075326</v>
      </c>
      <c r="AA91" s="19">
        <v>828.0</v>
      </c>
      <c r="AB91" s="15">
        <v>628.0</v>
      </c>
      <c r="AC91" s="15">
        <v>660.0</v>
      </c>
      <c r="AD91" s="15">
        <v>481.0</v>
      </c>
    </row>
    <row r="92" ht="15.75" customHeight="1">
      <c r="A92" s="6">
        <v>42.0</v>
      </c>
      <c r="B92" s="6">
        <v>8.0</v>
      </c>
      <c r="C92" s="6" t="s">
        <v>75</v>
      </c>
      <c r="D92" s="6" t="s">
        <v>32</v>
      </c>
      <c r="E92" s="6" t="s">
        <v>60</v>
      </c>
      <c r="F92" s="4" t="s">
        <v>133</v>
      </c>
      <c r="G92" s="19"/>
      <c r="H92" s="11">
        <f t="shared" si="3"/>
        <v>0.00593730218</v>
      </c>
      <c r="I92" s="15"/>
      <c r="J92" s="11">
        <f t="shared" si="4"/>
        <v>0.005434802419</v>
      </c>
      <c r="K92" s="15">
        <f t="shared" ref="K92:L92" si="97">AVERAGE(O92,Q92,W92,Y92)</f>
        <v>5578.25</v>
      </c>
      <c r="L92" s="20">
        <f t="shared" si="97"/>
        <v>0.006314177</v>
      </c>
      <c r="M92" s="19">
        <v>3488.0</v>
      </c>
      <c r="N92" s="11">
        <f t="shared" si="6"/>
        <v>0.005922434447</v>
      </c>
      <c r="O92" s="15">
        <v>7216.0</v>
      </c>
      <c r="P92" s="11">
        <f t="shared" si="7"/>
        <v>0.006122388376</v>
      </c>
      <c r="Q92" s="15">
        <v>7247.0</v>
      </c>
      <c r="R92" s="11">
        <f t="shared" si="8"/>
        <v>0.006015395827</v>
      </c>
      <c r="S92" s="15">
        <v>5086.0</v>
      </c>
      <c r="T92" s="11">
        <f t="shared" si="9"/>
        <v>0.005368648612</v>
      </c>
      <c r="U92" s="15">
        <v>4976.0</v>
      </c>
      <c r="V92" s="11">
        <f t="shared" si="10"/>
        <v>0.005013324199</v>
      </c>
      <c r="W92" s="15">
        <v>3658.0</v>
      </c>
      <c r="X92" s="11">
        <f t="shared" si="11"/>
        <v>0.006217842045</v>
      </c>
      <c r="Y92" s="15">
        <v>4192.0</v>
      </c>
      <c r="Z92" s="11">
        <f t="shared" si="12"/>
        <v>0.006901081751</v>
      </c>
      <c r="AA92" s="19">
        <v>6916.0</v>
      </c>
      <c r="AB92" s="15">
        <v>4575.0</v>
      </c>
      <c r="AC92" s="15">
        <v>6118.0</v>
      </c>
      <c r="AD92" s="15">
        <v>4224.0</v>
      </c>
    </row>
    <row r="93" ht="15.75" customHeight="1">
      <c r="A93" s="6">
        <v>60.0</v>
      </c>
      <c r="B93" s="6">
        <v>17.0</v>
      </c>
      <c r="C93" s="6" t="s">
        <v>78</v>
      </c>
      <c r="D93" s="6" t="s">
        <v>33</v>
      </c>
      <c r="E93" s="6" t="s">
        <v>52</v>
      </c>
      <c r="F93" s="4" t="s">
        <v>148</v>
      </c>
      <c r="G93" s="19"/>
      <c r="H93" s="11">
        <f t="shared" si="3"/>
        <v>0.004588857761</v>
      </c>
      <c r="I93" s="15"/>
      <c r="J93" s="11">
        <f t="shared" si="4"/>
        <v>0.005002057225</v>
      </c>
      <c r="K93" s="15">
        <f t="shared" ref="K93:L93" si="98">AVERAGE(O93,Q93,W93,Y93)</f>
        <v>3940</v>
      </c>
      <c r="L93" s="20">
        <f t="shared" si="98"/>
        <v>0.004278958164</v>
      </c>
      <c r="M93" s="19">
        <v>2853.0</v>
      </c>
      <c r="N93" s="11">
        <f t="shared" si="6"/>
        <v>0.004844238955</v>
      </c>
      <c r="O93" s="15">
        <v>5500.0</v>
      </c>
      <c r="P93" s="11">
        <f t="shared" si="7"/>
        <v>0.004666454555</v>
      </c>
      <c r="Q93" s="15">
        <v>5581.0</v>
      </c>
      <c r="R93" s="11">
        <f t="shared" si="8"/>
        <v>0.00463252713</v>
      </c>
      <c r="S93" s="15">
        <v>4868.0</v>
      </c>
      <c r="T93" s="11">
        <f t="shared" si="9"/>
        <v>0.005138533512</v>
      </c>
      <c r="U93" s="15">
        <v>4986.0</v>
      </c>
      <c r="V93" s="11">
        <f t="shared" si="10"/>
        <v>0.005023399207</v>
      </c>
      <c r="W93" s="15">
        <v>2130.0</v>
      </c>
      <c r="X93" s="11">
        <f t="shared" si="11"/>
        <v>0.003620558654</v>
      </c>
      <c r="Y93" s="15">
        <v>2549.0</v>
      </c>
      <c r="Z93" s="11">
        <f t="shared" si="12"/>
        <v>0.004196292315</v>
      </c>
      <c r="AA93" s="19">
        <v>5172.0</v>
      </c>
      <c r="AB93" s="15">
        <v>3445.0</v>
      </c>
      <c r="AC93" s="15">
        <v>4433.0</v>
      </c>
      <c r="AD93" s="15">
        <v>3321.0</v>
      </c>
    </row>
    <row r="94" ht="15.75" customHeight="1">
      <c r="A94" s="6">
        <v>96.0</v>
      </c>
      <c r="C94" s="6" t="s">
        <v>70</v>
      </c>
      <c r="D94" s="6" t="s">
        <v>33</v>
      </c>
      <c r="E94" s="6" t="s">
        <v>61</v>
      </c>
      <c r="F94" s="4" t="s">
        <v>192</v>
      </c>
      <c r="G94" s="19"/>
      <c r="H94" s="11">
        <f t="shared" si="3"/>
        <v>0.002287065392</v>
      </c>
      <c r="I94" s="15"/>
      <c r="J94" s="11">
        <f t="shared" si="4"/>
        <v>0.001958689749</v>
      </c>
      <c r="K94" s="15">
        <f t="shared" ref="K94:L94" si="99">AVERAGE(O94,Q94,W94,Y94)</f>
        <v>2249.5</v>
      </c>
      <c r="L94" s="20">
        <f t="shared" si="99"/>
        <v>0.002533347124</v>
      </c>
      <c r="M94" s="19">
        <v>1450.0</v>
      </c>
      <c r="N94" s="11">
        <f t="shared" si="6"/>
        <v>0.002462021201</v>
      </c>
      <c r="O94" s="15">
        <v>2908.0</v>
      </c>
      <c r="P94" s="11">
        <f t="shared" si="7"/>
        <v>0.00246728179</v>
      </c>
      <c r="Q94" s="15">
        <v>2976.0</v>
      </c>
      <c r="R94" s="11">
        <f t="shared" si="8"/>
        <v>0.002470238441</v>
      </c>
      <c r="S94" s="15">
        <v>1606.0</v>
      </c>
      <c r="T94" s="11">
        <f t="shared" si="9"/>
        <v>0.001695251607</v>
      </c>
      <c r="U94" s="15">
        <v>1706.0</v>
      </c>
      <c r="V94" s="11">
        <f t="shared" si="10"/>
        <v>0.001718796439</v>
      </c>
      <c r="W94" s="15">
        <v>1297.0</v>
      </c>
      <c r="X94" s="11">
        <f t="shared" si="11"/>
        <v>0.002204631255</v>
      </c>
      <c r="Y94" s="15">
        <v>1817.0</v>
      </c>
      <c r="Z94" s="11">
        <f t="shared" si="12"/>
        <v>0.002991237009</v>
      </c>
      <c r="AA94" s="19">
        <v>2808.0</v>
      </c>
      <c r="AB94" s="15">
        <v>2015.0</v>
      </c>
      <c r="AC94" s="15">
        <v>2379.0</v>
      </c>
      <c r="AD94" s="15">
        <v>1861.0</v>
      </c>
    </row>
    <row r="95" ht="15.75" customHeight="1">
      <c r="A95" s="6">
        <v>112.0</v>
      </c>
      <c r="C95" s="6" t="s">
        <v>75</v>
      </c>
      <c r="D95" s="6" t="s">
        <v>33</v>
      </c>
      <c r="E95" s="6" t="s">
        <v>54</v>
      </c>
      <c r="F95" s="4" t="s">
        <v>203</v>
      </c>
      <c r="G95" s="19"/>
      <c r="H95" s="11">
        <f t="shared" si="3"/>
        <v>0.001726820437</v>
      </c>
      <c r="I95" s="15"/>
      <c r="J95" s="11">
        <f t="shared" si="4"/>
        <v>0.001711276716</v>
      </c>
      <c r="K95" s="15">
        <f t="shared" ref="K95:L95" si="100">AVERAGE(O95,Q95,W95,Y95)</f>
        <v>1520.5</v>
      </c>
      <c r="L95" s="20">
        <f t="shared" si="100"/>
        <v>0.001738478228</v>
      </c>
      <c r="M95" s="19">
        <v>1031.0</v>
      </c>
      <c r="N95" s="11">
        <f t="shared" si="6"/>
        <v>0.001750581971</v>
      </c>
      <c r="O95" s="15">
        <v>1908.0</v>
      </c>
      <c r="P95" s="11">
        <f t="shared" si="7"/>
        <v>0.001618835507</v>
      </c>
      <c r="Q95" s="15">
        <v>1941.0</v>
      </c>
      <c r="R95" s="11">
        <f t="shared" si="8"/>
        <v>0.001611133338</v>
      </c>
      <c r="S95" s="15">
        <v>1615.0</v>
      </c>
      <c r="T95" s="11">
        <f t="shared" si="9"/>
        <v>0.001704751771</v>
      </c>
      <c r="U95" s="15">
        <v>1666.0</v>
      </c>
      <c r="V95" s="11">
        <f t="shared" si="10"/>
        <v>0.001678496406</v>
      </c>
      <c r="W95" s="15">
        <v>894.0</v>
      </c>
      <c r="X95" s="11">
        <f t="shared" si="11"/>
        <v>0.001519614759</v>
      </c>
      <c r="Y95" s="15">
        <v>1339.0</v>
      </c>
      <c r="Z95" s="11">
        <f t="shared" si="12"/>
        <v>0.002204329309</v>
      </c>
      <c r="AA95" s="19">
        <v>1897.0</v>
      </c>
      <c r="AB95" s="15">
        <v>1284.0</v>
      </c>
      <c r="AC95" s="15">
        <v>1639.0</v>
      </c>
      <c r="AD95" s="15">
        <v>1090.0</v>
      </c>
    </row>
    <row r="96" ht="15.75" customHeight="1">
      <c r="A96" s="6">
        <v>129.0</v>
      </c>
      <c r="C96" s="6" t="s">
        <v>78</v>
      </c>
      <c r="D96" s="6" t="s">
        <v>33</v>
      </c>
      <c r="E96" s="6" t="s">
        <v>61</v>
      </c>
      <c r="F96" s="4" t="s">
        <v>216</v>
      </c>
      <c r="G96" s="19"/>
      <c r="H96" s="11">
        <f t="shared" si="3"/>
        <v>0.001272972527</v>
      </c>
      <c r="I96" s="15"/>
      <c r="J96" s="11">
        <f t="shared" si="4"/>
        <v>0.001567654655</v>
      </c>
      <c r="K96" s="15">
        <f t="shared" ref="K96:L96" si="101">AVERAGE(O96,Q96,W96,Y96)</f>
        <v>991</v>
      </c>
      <c r="L96" s="20">
        <f t="shared" si="101"/>
        <v>0.001051960932</v>
      </c>
      <c r="M96" s="19">
        <v>850.0</v>
      </c>
      <c r="N96" s="11">
        <f t="shared" si="6"/>
        <v>0.001443253807</v>
      </c>
      <c r="O96" s="15">
        <v>1434.0</v>
      </c>
      <c r="P96" s="11">
        <f t="shared" si="7"/>
        <v>0.001216671969</v>
      </c>
      <c r="Q96" s="15">
        <v>1470.0</v>
      </c>
      <c r="R96" s="11">
        <f t="shared" si="8"/>
        <v>0.001220178262</v>
      </c>
      <c r="S96" s="15">
        <v>1623.0</v>
      </c>
      <c r="T96" s="11">
        <f t="shared" si="9"/>
        <v>0.001713196362</v>
      </c>
      <c r="U96" s="15">
        <v>1535.0</v>
      </c>
      <c r="V96" s="11">
        <f t="shared" si="10"/>
        <v>0.001546513795</v>
      </c>
      <c r="W96" s="15">
        <v>485.0</v>
      </c>
      <c r="X96" s="11">
        <f t="shared" si="11"/>
        <v>0.0008243995057</v>
      </c>
      <c r="Y96" s="15">
        <v>575.0</v>
      </c>
      <c r="Z96" s="11">
        <f t="shared" si="12"/>
        <v>0.0009465939902</v>
      </c>
      <c r="AA96" s="19">
        <v>1422.0</v>
      </c>
      <c r="AB96" s="15">
        <v>977.0</v>
      </c>
      <c r="AC96" s="15">
        <v>1112.0</v>
      </c>
      <c r="AD96" s="15">
        <v>867.0</v>
      </c>
    </row>
    <row r="97" ht="15.75" customHeight="1">
      <c r="A97" s="6">
        <v>29.0</v>
      </c>
      <c r="B97" s="6">
        <v>17.0</v>
      </c>
      <c r="C97" s="6" t="s">
        <v>78</v>
      </c>
      <c r="D97" s="6" t="s">
        <v>32</v>
      </c>
      <c r="E97" s="6" t="s">
        <v>62</v>
      </c>
      <c r="F97" s="4" t="s">
        <v>122</v>
      </c>
      <c r="G97" s="19"/>
      <c r="H97" s="11">
        <f t="shared" si="3"/>
        <v>0.008210537093</v>
      </c>
      <c r="I97" s="15"/>
      <c r="J97" s="11">
        <f t="shared" si="4"/>
        <v>0.007814606873</v>
      </c>
      <c r="K97" s="15">
        <f t="shared" ref="K97:L97" si="102">AVERAGE(O97,Q97,W97,Y97)</f>
        <v>7761</v>
      </c>
      <c r="L97" s="20">
        <f t="shared" si="102"/>
        <v>0.008507484757</v>
      </c>
      <c r="M97" s="19">
        <v>5086.0</v>
      </c>
      <c r="N97" s="11">
        <f t="shared" si="6"/>
        <v>0.008635751604</v>
      </c>
      <c r="O97" s="15">
        <v>10660.0</v>
      </c>
      <c r="P97" s="11">
        <f t="shared" si="7"/>
        <v>0.009044437374</v>
      </c>
      <c r="Q97" s="15">
        <v>10778.0</v>
      </c>
      <c r="R97" s="11">
        <f t="shared" si="8"/>
        <v>0.008946313817</v>
      </c>
      <c r="S97" s="15">
        <v>7080.0</v>
      </c>
      <c r="T97" s="11">
        <f t="shared" si="9"/>
        <v>0.007473462873</v>
      </c>
      <c r="U97" s="15">
        <v>7280.0</v>
      </c>
      <c r="V97" s="11">
        <f t="shared" si="10"/>
        <v>0.007334606143</v>
      </c>
      <c r="W97" s="15">
        <v>4208.0</v>
      </c>
      <c r="X97" s="11">
        <f t="shared" si="11"/>
        <v>0.007152728082</v>
      </c>
      <c r="Y97" s="15">
        <v>5398.0</v>
      </c>
      <c r="Z97" s="11">
        <f t="shared" si="12"/>
        <v>0.008886459755</v>
      </c>
      <c r="AA97" s="19">
        <v>10239.0</v>
      </c>
      <c r="AB97" s="15">
        <v>6909.0</v>
      </c>
      <c r="AC97" s="15">
        <v>9054.0</v>
      </c>
      <c r="AD97" s="15">
        <v>6985.0</v>
      </c>
    </row>
    <row r="98" ht="15.75" customHeight="1">
      <c r="A98" s="6">
        <v>52.0</v>
      </c>
      <c r="B98" s="6">
        <v>11.0</v>
      </c>
      <c r="C98" s="6" t="s">
        <v>76</v>
      </c>
      <c r="D98" s="6" t="s">
        <v>33</v>
      </c>
      <c r="E98" s="6" t="s">
        <v>53</v>
      </c>
      <c r="F98" s="4" t="s">
        <v>139</v>
      </c>
      <c r="G98" s="19"/>
      <c r="H98" s="11">
        <f t="shared" si="3"/>
        <v>0.005610937229</v>
      </c>
      <c r="I98" s="15"/>
      <c r="J98" s="11">
        <f t="shared" si="4"/>
        <v>0.006483023254</v>
      </c>
      <c r="K98" s="15">
        <f t="shared" ref="K98:L98" si="103">AVERAGE(O98,Q98,W98,Y98)</f>
        <v>4429.75</v>
      </c>
      <c r="L98" s="20">
        <f t="shared" si="103"/>
        <v>0.004956872711</v>
      </c>
      <c r="M98" s="19">
        <v>3744.0</v>
      </c>
      <c r="N98" s="11">
        <f t="shared" si="6"/>
        <v>0.006357108534</v>
      </c>
      <c r="O98" s="15">
        <v>5832.0</v>
      </c>
      <c r="P98" s="11">
        <f t="shared" si="7"/>
        <v>0.004948138721</v>
      </c>
      <c r="Q98" s="15">
        <v>5957.0</v>
      </c>
      <c r="R98" s="11">
        <f t="shared" si="8"/>
        <v>0.004944627148</v>
      </c>
      <c r="S98" s="15">
        <v>6109.0</v>
      </c>
      <c r="T98" s="11">
        <f t="shared" si="9"/>
        <v>0.006448500663</v>
      </c>
      <c r="U98" s="15">
        <v>6594.0</v>
      </c>
      <c r="V98" s="11">
        <f t="shared" si="10"/>
        <v>0.006643460564</v>
      </c>
      <c r="W98" s="15">
        <v>3221.0</v>
      </c>
      <c r="X98" s="11">
        <f t="shared" si="11"/>
        <v>0.005475032594</v>
      </c>
      <c r="Y98" s="15">
        <v>2709.0</v>
      </c>
      <c r="Z98" s="11">
        <f t="shared" si="12"/>
        <v>0.004459692382</v>
      </c>
      <c r="AA98" s="19">
        <v>5994.0</v>
      </c>
      <c r="AB98" s="15">
        <v>3993.0</v>
      </c>
      <c r="AC98" s="15">
        <v>5319.0</v>
      </c>
      <c r="AD98" s="15">
        <v>4301.0</v>
      </c>
    </row>
    <row r="99" ht="15.75" customHeight="1">
      <c r="A99" s="6">
        <v>145.0</v>
      </c>
      <c r="C99" s="6" t="s">
        <v>75</v>
      </c>
      <c r="D99" s="6" t="s">
        <v>34</v>
      </c>
      <c r="E99" s="6" t="s">
        <v>60</v>
      </c>
      <c r="F99" s="4" t="s">
        <v>60</v>
      </c>
      <c r="G99" s="19"/>
      <c r="H99" s="11">
        <f t="shared" si="3"/>
        <v>0.0006024448932</v>
      </c>
      <c r="I99" s="15"/>
      <c r="J99" s="11">
        <f t="shared" si="4"/>
        <v>0.000562186738</v>
      </c>
      <c r="K99" s="15">
        <f t="shared" ref="K99:L99" si="104">AVERAGE(O99,Q99,W99,Y99)</f>
        <v>573.5</v>
      </c>
      <c r="L99" s="20">
        <f t="shared" si="104"/>
        <v>0.0006326385096</v>
      </c>
      <c r="M99" s="19">
        <v>481.0</v>
      </c>
      <c r="N99" s="11">
        <f t="shared" si="6"/>
        <v>0.0008167118603</v>
      </c>
      <c r="O99" s="15">
        <v>778.0</v>
      </c>
      <c r="P99" s="11">
        <f t="shared" si="7"/>
        <v>0.000660091208</v>
      </c>
      <c r="Q99" s="15">
        <v>790.0</v>
      </c>
      <c r="R99" s="11">
        <f t="shared" si="8"/>
        <v>0.0006557420593</v>
      </c>
      <c r="S99" s="15">
        <v>406.0</v>
      </c>
      <c r="T99" s="11">
        <f t="shared" si="9"/>
        <v>0.000428562984</v>
      </c>
      <c r="U99" s="15">
        <v>438.0</v>
      </c>
      <c r="V99" s="11">
        <f t="shared" si="10"/>
        <v>0.0004412853696</v>
      </c>
      <c r="W99" s="15">
        <v>365.0</v>
      </c>
      <c r="X99" s="11">
        <f t="shared" si="11"/>
        <v>0.0006204243703</v>
      </c>
      <c r="Y99" s="15">
        <v>361.0</v>
      </c>
      <c r="Z99" s="11">
        <f t="shared" si="12"/>
        <v>0.0005942964008</v>
      </c>
      <c r="AA99" s="19">
        <v>757.0</v>
      </c>
      <c r="AB99" s="15">
        <v>545.0</v>
      </c>
      <c r="AC99" s="15">
        <v>607.0</v>
      </c>
      <c r="AD99" s="15">
        <v>414.0</v>
      </c>
    </row>
    <row r="100" ht="15.75" customHeight="1">
      <c r="A100" s="6">
        <v>51.0</v>
      </c>
      <c r="C100" s="6" t="s">
        <v>68</v>
      </c>
      <c r="D100" s="6" t="s">
        <v>33</v>
      </c>
      <c r="E100" s="6" t="s">
        <v>53</v>
      </c>
      <c r="F100" s="4" t="s">
        <v>141</v>
      </c>
      <c r="G100" s="19"/>
      <c r="H100" s="11">
        <f t="shared" si="3"/>
        <v>0.005402069481</v>
      </c>
      <c r="I100" s="15"/>
      <c r="J100" s="11">
        <f t="shared" si="4"/>
        <v>0.005652687391</v>
      </c>
      <c r="K100" s="15">
        <f t="shared" ref="K100:L100" si="105">AVERAGE(O100,Q100,W100,Y100)</f>
        <v>4650.25</v>
      </c>
      <c r="L100" s="20">
        <f t="shared" si="105"/>
        <v>0.005214106049</v>
      </c>
      <c r="M100" s="19">
        <v>3124.0</v>
      </c>
      <c r="N100" s="11">
        <f t="shared" si="6"/>
        <v>0.005304382228</v>
      </c>
      <c r="O100" s="15">
        <v>6125.0</v>
      </c>
      <c r="P100" s="11">
        <f t="shared" si="7"/>
        <v>0.005196733482</v>
      </c>
      <c r="Q100" s="15">
        <v>6193.0</v>
      </c>
      <c r="R100" s="11">
        <f t="shared" si="8"/>
        <v>0.005140519713</v>
      </c>
      <c r="S100" s="15">
        <v>5594.0</v>
      </c>
      <c r="T100" s="11">
        <f t="shared" si="9"/>
        <v>0.005904880129</v>
      </c>
      <c r="U100" s="15">
        <v>5706.0</v>
      </c>
      <c r="V100" s="11">
        <f t="shared" si="10"/>
        <v>0.005748799815</v>
      </c>
      <c r="W100" s="15">
        <v>3283.0</v>
      </c>
      <c r="X100" s="11">
        <f t="shared" si="11"/>
        <v>0.005580419747</v>
      </c>
      <c r="Y100" s="15">
        <v>3000.0</v>
      </c>
      <c r="Z100" s="11">
        <f t="shared" si="12"/>
        <v>0.004938751253</v>
      </c>
      <c r="AA100" s="19">
        <v>6060.0</v>
      </c>
      <c r="AB100" s="15">
        <v>3949.0</v>
      </c>
      <c r="AC100" s="15">
        <v>5196.0</v>
      </c>
      <c r="AD100" s="15">
        <v>4224.0</v>
      </c>
    </row>
    <row r="101" ht="15.75" customHeight="1">
      <c r="A101" s="6">
        <v>136.0</v>
      </c>
      <c r="C101" s="6" t="s">
        <v>75</v>
      </c>
      <c r="D101" s="6" t="s">
        <v>34</v>
      </c>
      <c r="E101" s="6" t="s">
        <v>56</v>
      </c>
      <c r="F101" s="4" t="s">
        <v>224</v>
      </c>
      <c r="G101" s="19"/>
      <c r="H101" s="11">
        <f t="shared" si="3"/>
        <v>0.0009752096808</v>
      </c>
      <c r="I101" s="15"/>
      <c r="J101" s="11">
        <f t="shared" si="4"/>
        <v>0.001062386164</v>
      </c>
      <c r="K101" s="15">
        <f t="shared" ref="K101:L101" si="106">AVERAGE(O101,Q101,W101,Y101)</f>
        <v>849.75</v>
      </c>
      <c r="L101" s="20">
        <f t="shared" si="106"/>
        <v>0.0009098273184</v>
      </c>
      <c r="M101" s="19">
        <v>536.0</v>
      </c>
      <c r="N101" s="11">
        <f t="shared" si="6"/>
        <v>0.0009100988714</v>
      </c>
      <c r="O101" s="15">
        <v>1204.0</v>
      </c>
      <c r="P101" s="11">
        <f t="shared" si="7"/>
        <v>0.001021529324</v>
      </c>
      <c r="Q101" s="15">
        <v>1243.0</v>
      </c>
      <c r="R101" s="11">
        <f t="shared" si="8"/>
        <v>0.001031756177</v>
      </c>
      <c r="S101" s="15">
        <v>1113.0</v>
      </c>
      <c r="T101" s="11">
        <f t="shared" si="9"/>
        <v>0.001174853697</v>
      </c>
      <c r="U101" s="15">
        <v>1094.0</v>
      </c>
      <c r="V101" s="11">
        <f t="shared" si="10"/>
        <v>0.001102205923</v>
      </c>
      <c r="W101" s="15">
        <v>351.0</v>
      </c>
      <c r="X101" s="11">
        <f t="shared" si="11"/>
        <v>0.0005966272711</v>
      </c>
      <c r="Y101" s="15">
        <v>601.0</v>
      </c>
      <c r="Z101" s="11">
        <f t="shared" si="12"/>
        <v>0.0009893965011</v>
      </c>
      <c r="AA101" s="19">
        <v>1111.0</v>
      </c>
      <c r="AB101" s="15">
        <v>743.0</v>
      </c>
      <c r="AC101" s="15">
        <v>839.0</v>
      </c>
      <c r="AD101" s="15">
        <v>585.0</v>
      </c>
    </row>
    <row r="102" ht="15.75" customHeight="1">
      <c r="A102" s="6">
        <v>93.0</v>
      </c>
      <c r="C102" s="6" t="s">
        <v>75</v>
      </c>
      <c r="D102" s="6" t="s">
        <v>33</v>
      </c>
      <c r="E102" s="6" t="s">
        <v>54</v>
      </c>
      <c r="F102" s="4" t="s">
        <v>187</v>
      </c>
      <c r="G102" s="19"/>
      <c r="H102" s="11">
        <f t="shared" si="3"/>
        <v>0.002532931568</v>
      </c>
      <c r="I102" s="15"/>
      <c r="J102" s="11">
        <f t="shared" si="4"/>
        <v>0.002541114268</v>
      </c>
      <c r="K102" s="15">
        <f t="shared" ref="K102:L102" si="107">AVERAGE(O102,Q102,W102,Y102)</f>
        <v>2272.75</v>
      </c>
      <c r="L102" s="20">
        <f t="shared" si="107"/>
        <v>0.002526794543</v>
      </c>
      <c r="M102" s="19">
        <v>1748.0</v>
      </c>
      <c r="N102" s="11">
        <f t="shared" si="6"/>
        <v>0.002968009006</v>
      </c>
      <c r="O102" s="15">
        <v>3048.0</v>
      </c>
      <c r="P102" s="11">
        <f t="shared" si="7"/>
        <v>0.00258606427</v>
      </c>
      <c r="Q102" s="15">
        <v>3074.0</v>
      </c>
      <c r="R102" s="11">
        <f t="shared" si="8"/>
        <v>0.002551583659</v>
      </c>
      <c r="S102" s="15">
        <v>2068.0</v>
      </c>
      <c r="T102" s="11">
        <f t="shared" si="9"/>
        <v>0.002182926726</v>
      </c>
      <c r="U102" s="15">
        <v>2454.0</v>
      </c>
      <c r="V102" s="11">
        <f t="shared" si="10"/>
        <v>0.002472407071</v>
      </c>
      <c r="W102" s="15">
        <v>1528.0</v>
      </c>
      <c r="X102" s="11">
        <f t="shared" si="11"/>
        <v>0.002597283391</v>
      </c>
      <c r="Y102" s="15">
        <v>1441.0</v>
      </c>
      <c r="Z102" s="11">
        <f t="shared" si="12"/>
        <v>0.002372246852</v>
      </c>
      <c r="AA102" s="19">
        <v>2962.0</v>
      </c>
      <c r="AB102" s="15">
        <v>2029.0</v>
      </c>
      <c r="AC102" s="15">
        <v>2507.0</v>
      </c>
      <c r="AD102" s="15">
        <v>1856.0</v>
      </c>
    </row>
    <row r="103" ht="15.75" customHeight="1">
      <c r="A103" s="6">
        <v>105.0</v>
      </c>
      <c r="C103" s="6" t="s">
        <v>70</v>
      </c>
      <c r="D103" s="6" t="s">
        <v>33</v>
      </c>
      <c r="E103" s="6" t="s">
        <v>61</v>
      </c>
      <c r="F103" s="4" t="s">
        <v>194</v>
      </c>
      <c r="G103" s="19"/>
      <c r="H103" s="11">
        <f t="shared" si="3"/>
        <v>0.002075953372</v>
      </c>
      <c r="I103" s="15"/>
      <c r="J103" s="11">
        <f t="shared" si="4"/>
        <v>0.002198529556</v>
      </c>
      <c r="K103" s="15">
        <f t="shared" ref="K103:L103" si="108">AVERAGE(O103,Q103,W103,Y103)</f>
        <v>1818.75</v>
      </c>
      <c r="L103" s="20">
        <f t="shared" si="108"/>
        <v>0.001984021234</v>
      </c>
      <c r="M103" s="19">
        <v>1308.0</v>
      </c>
      <c r="N103" s="11">
        <f t="shared" si="6"/>
        <v>0.002220912917</v>
      </c>
      <c r="O103" s="15">
        <v>2508.0</v>
      </c>
      <c r="P103" s="11">
        <f t="shared" si="7"/>
        <v>0.002127903277</v>
      </c>
      <c r="Q103" s="15">
        <v>2567.0</v>
      </c>
      <c r="R103" s="11">
        <f t="shared" si="8"/>
        <v>0.002130746666</v>
      </c>
      <c r="S103" s="15">
        <v>2098.0</v>
      </c>
      <c r="T103" s="11">
        <f t="shared" si="9"/>
        <v>0.002214593942</v>
      </c>
      <c r="U103" s="15">
        <v>2144.0</v>
      </c>
      <c r="V103" s="11">
        <f t="shared" si="10"/>
        <v>0.002160081809</v>
      </c>
      <c r="W103" s="15">
        <v>1040.0</v>
      </c>
      <c r="X103" s="11">
        <f t="shared" si="11"/>
        <v>0.001767784507</v>
      </c>
      <c r="Y103" s="15">
        <v>1160.0</v>
      </c>
      <c r="Z103" s="11">
        <f t="shared" si="12"/>
        <v>0.001909650485</v>
      </c>
      <c r="AA103" s="19">
        <v>1842.0</v>
      </c>
      <c r="AB103" s="15">
        <v>1359.0</v>
      </c>
      <c r="AC103" s="15">
        <v>1606.0</v>
      </c>
      <c r="AD103" s="15">
        <v>1196.0</v>
      </c>
    </row>
    <row r="104" ht="15.75" customHeight="1">
      <c r="A104" s="6">
        <v>86.0</v>
      </c>
      <c r="C104" s="6" t="s">
        <v>75</v>
      </c>
      <c r="D104" s="6" t="s">
        <v>33</v>
      </c>
      <c r="E104" s="6" t="s">
        <v>53</v>
      </c>
      <c r="F104" s="4" t="s">
        <v>182</v>
      </c>
      <c r="G104" s="19"/>
      <c r="H104" s="11">
        <f t="shared" si="3"/>
        <v>0.002768192431</v>
      </c>
      <c r="I104" s="15"/>
      <c r="J104" s="11">
        <f t="shared" si="4"/>
        <v>0.002866413009</v>
      </c>
      <c r="K104" s="15">
        <f t="shared" ref="K104:L104" si="109">AVERAGE(O104,Q104,W104,Y104)</f>
        <v>2454.5</v>
      </c>
      <c r="L104" s="20">
        <f t="shared" si="109"/>
        <v>0.002694526997</v>
      </c>
      <c r="M104" s="19">
        <v>1930.0</v>
      </c>
      <c r="N104" s="11">
        <f t="shared" si="6"/>
        <v>0.003277035115</v>
      </c>
      <c r="O104" s="15">
        <v>3361.0</v>
      </c>
      <c r="P104" s="11">
        <f t="shared" si="7"/>
        <v>0.002851627956</v>
      </c>
      <c r="Q104" s="15">
        <v>3415.0</v>
      </c>
      <c r="R104" s="11">
        <f t="shared" si="8"/>
        <v>0.002834631813</v>
      </c>
      <c r="S104" s="15">
        <v>2569.0</v>
      </c>
      <c r="T104" s="11">
        <f t="shared" si="9"/>
        <v>0.002711769226</v>
      </c>
      <c r="U104" s="15">
        <v>2591.0</v>
      </c>
      <c r="V104" s="11">
        <f t="shared" si="10"/>
        <v>0.002610434686</v>
      </c>
      <c r="W104" s="15">
        <v>1568.0</v>
      </c>
      <c r="X104" s="11">
        <f t="shared" si="11"/>
        <v>0.002665275103</v>
      </c>
      <c r="Y104" s="15">
        <v>1474.0</v>
      </c>
      <c r="Z104" s="11">
        <f t="shared" si="12"/>
        <v>0.002426573116</v>
      </c>
      <c r="AA104" s="19">
        <v>3350.0</v>
      </c>
      <c r="AB104" s="15">
        <v>2231.0</v>
      </c>
      <c r="AC104" s="15">
        <v>2798.0</v>
      </c>
      <c r="AD104" s="15">
        <v>2033.0</v>
      </c>
    </row>
    <row r="105" ht="15.75" customHeight="1">
      <c r="A105" s="6">
        <v>134.0</v>
      </c>
      <c r="C105" s="6" t="s">
        <v>78</v>
      </c>
      <c r="D105" s="6" t="s">
        <v>34</v>
      </c>
      <c r="E105" s="6" t="s">
        <v>62</v>
      </c>
      <c r="F105" s="4" t="s">
        <v>233</v>
      </c>
      <c r="G105" s="19"/>
      <c r="H105" s="11">
        <f t="shared" si="3"/>
        <v>0.0009054338523</v>
      </c>
      <c r="I105" s="15"/>
      <c r="J105" s="11">
        <f t="shared" si="4"/>
        <v>0.000692977986</v>
      </c>
      <c r="K105" s="15">
        <f t="shared" ref="K105:L105" si="110">AVERAGE(O105,Q105,W105,Y105)</f>
        <v>906.75</v>
      </c>
      <c r="L105" s="20">
        <f t="shared" si="110"/>
        <v>0.001064775752</v>
      </c>
      <c r="M105" s="19">
        <v>476.0</v>
      </c>
      <c r="N105" s="11">
        <f t="shared" si="6"/>
        <v>0.000808222132</v>
      </c>
      <c r="O105" s="15">
        <v>1070.0</v>
      </c>
      <c r="P105" s="11">
        <f t="shared" si="7"/>
        <v>0.0009078375225</v>
      </c>
      <c r="Q105" s="15">
        <v>1096.0</v>
      </c>
      <c r="R105" s="11">
        <f t="shared" si="8"/>
        <v>0.0009097383506</v>
      </c>
      <c r="S105" s="15">
        <v>634.0</v>
      </c>
      <c r="T105" s="11">
        <f t="shared" si="9"/>
        <v>0.0006692338223</v>
      </c>
      <c r="U105" s="15">
        <v>597.0</v>
      </c>
      <c r="V105" s="11">
        <f t="shared" si="10"/>
        <v>0.0006014780037</v>
      </c>
      <c r="W105" s="15">
        <v>679.0</v>
      </c>
      <c r="X105" s="11">
        <f t="shared" si="11"/>
        <v>0.001154159308</v>
      </c>
      <c r="Y105" s="15">
        <v>782.0</v>
      </c>
      <c r="Z105" s="11">
        <f t="shared" si="12"/>
        <v>0.001287367827</v>
      </c>
      <c r="AA105" s="19">
        <v>1041.0</v>
      </c>
      <c r="AB105" s="15">
        <v>699.0</v>
      </c>
      <c r="AC105" s="15">
        <v>823.0</v>
      </c>
      <c r="AD105" s="15">
        <v>586.0</v>
      </c>
    </row>
    <row r="106" ht="15.75" customHeight="1">
      <c r="A106" s="6">
        <v>103.0</v>
      </c>
      <c r="C106" s="6" t="s">
        <v>78</v>
      </c>
      <c r="D106" s="6" t="s">
        <v>33</v>
      </c>
      <c r="E106" s="6" t="s">
        <v>52</v>
      </c>
      <c r="F106" s="4" t="s">
        <v>195</v>
      </c>
      <c r="G106" s="19"/>
      <c r="H106" s="11">
        <f t="shared" si="3"/>
        <v>0.002073079467</v>
      </c>
      <c r="I106" s="15"/>
      <c r="J106" s="11">
        <f t="shared" si="4"/>
        <v>0.002177097826</v>
      </c>
      <c r="K106" s="15">
        <f t="shared" ref="K106:L106" si="111">AVERAGE(O106,Q106,W106,Y106)</f>
        <v>1841.5</v>
      </c>
      <c r="L106" s="20">
        <f t="shared" si="111"/>
        <v>0.001995065698</v>
      </c>
      <c r="M106" s="19">
        <v>1218.0</v>
      </c>
      <c r="N106" s="11">
        <f t="shared" si="6"/>
        <v>0.002068097808</v>
      </c>
      <c r="O106" s="15">
        <v>2597.0</v>
      </c>
      <c r="P106" s="11">
        <f t="shared" si="7"/>
        <v>0.002203414996</v>
      </c>
      <c r="Q106" s="15">
        <v>2615.0</v>
      </c>
      <c r="R106" s="11">
        <f t="shared" si="8"/>
        <v>0.002170589222</v>
      </c>
      <c r="S106" s="15">
        <v>2137.0</v>
      </c>
      <c r="T106" s="11">
        <f t="shared" si="9"/>
        <v>0.002255761322</v>
      </c>
      <c r="U106" s="15">
        <v>2191.0</v>
      </c>
      <c r="V106" s="11">
        <f t="shared" si="10"/>
        <v>0.002207434349</v>
      </c>
      <c r="W106" s="15">
        <v>1125.0</v>
      </c>
      <c r="X106" s="11">
        <f t="shared" si="11"/>
        <v>0.001912266895</v>
      </c>
      <c r="Y106" s="15">
        <v>1029.0</v>
      </c>
      <c r="Z106" s="11">
        <f t="shared" si="12"/>
        <v>0.00169399168</v>
      </c>
      <c r="AA106" s="19">
        <v>2330.0</v>
      </c>
      <c r="AB106" s="15">
        <v>1602.0</v>
      </c>
      <c r="AC106" s="15">
        <v>1976.0</v>
      </c>
      <c r="AD106" s="15">
        <v>1436.0</v>
      </c>
    </row>
    <row r="107" ht="15.75" customHeight="1">
      <c r="A107" s="6">
        <v>46.0</v>
      </c>
      <c r="B107" s="6">
        <v>8.0</v>
      </c>
      <c r="C107" s="6" t="s">
        <v>73</v>
      </c>
      <c r="D107" s="6" t="s">
        <v>32</v>
      </c>
      <c r="E107" s="6" t="s">
        <v>60</v>
      </c>
      <c r="F107" s="4" t="s">
        <v>144</v>
      </c>
      <c r="G107" s="19"/>
      <c r="H107" s="11">
        <f t="shared" si="3"/>
        <v>0.005377714119</v>
      </c>
      <c r="I107" s="15"/>
      <c r="J107" s="11">
        <f t="shared" si="4"/>
        <v>0.00513860223</v>
      </c>
      <c r="K107" s="15">
        <f t="shared" ref="K107:L107" si="112">AVERAGE(O107,Q107,W107,Y107)</f>
        <v>4889</v>
      </c>
      <c r="L107" s="20">
        <f t="shared" si="112"/>
        <v>0.005557048036</v>
      </c>
      <c r="M107" s="19">
        <v>3153.0</v>
      </c>
      <c r="N107" s="11">
        <f t="shared" si="6"/>
        <v>0.005353622652</v>
      </c>
      <c r="O107" s="15">
        <v>6238.0</v>
      </c>
      <c r="P107" s="11">
        <f t="shared" si="7"/>
        <v>0.005292607912</v>
      </c>
      <c r="Q107" s="15">
        <v>6341.0</v>
      </c>
      <c r="R107" s="11">
        <f t="shared" si="8"/>
        <v>0.005263367592</v>
      </c>
      <c r="S107" s="15">
        <v>4805.0</v>
      </c>
      <c r="T107" s="11">
        <f t="shared" si="9"/>
        <v>0.00507203236</v>
      </c>
      <c r="U107" s="15">
        <v>4953.0</v>
      </c>
      <c r="V107" s="11">
        <f t="shared" si="10"/>
        <v>0.004990151679</v>
      </c>
      <c r="W107" s="15">
        <v>3480.0</v>
      </c>
      <c r="X107" s="11">
        <f t="shared" si="11"/>
        <v>0.005915278927</v>
      </c>
      <c r="Y107" s="15">
        <v>3497.0</v>
      </c>
      <c r="Z107" s="11">
        <f t="shared" si="12"/>
        <v>0.005756937711</v>
      </c>
      <c r="AA107" s="19">
        <v>6331.0</v>
      </c>
      <c r="AB107" s="15">
        <v>4045.0</v>
      </c>
      <c r="AC107" s="15">
        <v>5472.0</v>
      </c>
      <c r="AD107" s="15">
        <v>4322.0</v>
      </c>
    </row>
    <row r="108" ht="15.75" customHeight="1">
      <c r="A108" s="6">
        <v>116.0</v>
      </c>
      <c r="C108" s="6" t="s">
        <v>78</v>
      </c>
      <c r="D108" s="6" t="s">
        <v>33</v>
      </c>
      <c r="E108" s="6" t="s">
        <v>61</v>
      </c>
      <c r="F108" s="4" t="s">
        <v>205</v>
      </c>
      <c r="G108" s="19"/>
      <c r="H108" s="11">
        <f t="shared" si="3"/>
        <v>0.001596654918</v>
      </c>
      <c r="I108" s="15"/>
      <c r="J108" s="11">
        <f t="shared" si="4"/>
        <v>0.001577437533</v>
      </c>
      <c r="K108" s="15">
        <f t="shared" ref="K108:L108" si="113">AVERAGE(O108,Q108,W108,Y108)</f>
        <v>1367.5</v>
      </c>
      <c r="L108" s="20">
        <f t="shared" si="113"/>
        <v>0.001611067957</v>
      </c>
      <c r="M108" s="19">
        <v>739.0</v>
      </c>
      <c r="N108" s="11">
        <f t="shared" si="6"/>
        <v>0.001254781839</v>
      </c>
      <c r="O108" s="15">
        <v>1608.0</v>
      </c>
      <c r="P108" s="11">
        <f t="shared" si="7"/>
        <v>0.001364301623</v>
      </c>
      <c r="Q108" s="15">
        <v>1632.0</v>
      </c>
      <c r="R108" s="11">
        <f t="shared" si="8"/>
        <v>0.001354646887</v>
      </c>
      <c r="S108" s="15">
        <v>1711.0</v>
      </c>
      <c r="T108" s="11">
        <f t="shared" si="9"/>
        <v>0.001806086861</v>
      </c>
      <c r="U108" s="15">
        <v>1659.0</v>
      </c>
      <c r="V108" s="11">
        <f t="shared" si="10"/>
        <v>0.0016714439</v>
      </c>
      <c r="W108" s="15">
        <v>1012.0</v>
      </c>
      <c r="X108" s="11">
        <f t="shared" si="11"/>
        <v>0.001720190309</v>
      </c>
      <c r="Y108" s="15">
        <v>1218.0</v>
      </c>
      <c r="Z108" s="11">
        <f t="shared" si="12"/>
        <v>0.002005133009</v>
      </c>
      <c r="AA108" s="19">
        <v>1515.0</v>
      </c>
      <c r="AB108" s="15">
        <v>1005.0</v>
      </c>
      <c r="AC108" s="15">
        <v>1219.0</v>
      </c>
      <c r="AD108" s="15">
        <v>849.0</v>
      </c>
    </row>
    <row r="109" ht="15.75" customHeight="1">
      <c r="A109" s="6">
        <v>63.0</v>
      </c>
      <c r="C109" s="6" t="s">
        <v>75</v>
      </c>
      <c r="D109" s="6" t="s">
        <v>33</v>
      </c>
      <c r="E109" s="6" t="s">
        <v>53</v>
      </c>
      <c r="F109" s="4" t="s">
        <v>160</v>
      </c>
      <c r="G109" s="19"/>
      <c r="H109" s="11">
        <f t="shared" si="3"/>
        <v>0.004179053528</v>
      </c>
      <c r="I109" s="15"/>
      <c r="J109" s="11">
        <f t="shared" si="4"/>
        <v>0.004464193941</v>
      </c>
      <c r="K109" s="15">
        <f t="shared" ref="K109:L109" si="114">AVERAGE(O109,Q109,W109,Y109)</f>
        <v>3573.75</v>
      </c>
      <c r="L109" s="20">
        <f t="shared" si="114"/>
        <v>0.003965198218</v>
      </c>
      <c r="M109" s="19">
        <v>2752.0</v>
      </c>
      <c r="N109" s="11">
        <f t="shared" si="6"/>
        <v>0.004672746444</v>
      </c>
      <c r="O109" s="15">
        <v>4800.0</v>
      </c>
      <c r="P109" s="11">
        <f t="shared" si="7"/>
        <v>0.004072542157</v>
      </c>
      <c r="Q109" s="15">
        <v>4874.0</v>
      </c>
      <c r="R109" s="11">
        <f t="shared" si="8"/>
        <v>0.00404567949</v>
      </c>
      <c r="S109" s="15">
        <v>4085.0</v>
      </c>
      <c r="T109" s="11">
        <f t="shared" si="9"/>
        <v>0.004312019186</v>
      </c>
      <c r="U109" s="15">
        <v>4375.0</v>
      </c>
      <c r="V109" s="11">
        <f t="shared" si="10"/>
        <v>0.004407816192</v>
      </c>
      <c r="W109" s="15">
        <v>2526.0</v>
      </c>
      <c r="X109" s="11">
        <f t="shared" si="11"/>
        <v>0.004293676601</v>
      </c>
      <c r="Y109" s="15">
        <v>2095.0</v>
      </c>
      <c r="Z109" s="11">
        <f t="shared" si="12"/>
        <v>0.003448894625</v>
      </c>
      <c r="AA109" s="19">
        <v>4878.0</v>
      </c>
      <c r="AB109" s="15">
        <v>3041.0</v>
      </c>
      <c r="AC109" s="15">
        <v>4324.0</v>
      </c>
      <c r="AD109" s="15">
        <v>3474.0</v>
      </c>
    </row>
    <row r="110" ht="15.75" customHeight="1">
      <c r="A110" s="6">
        <v>58.0</v>
      </c>
      <c r="C110" s="6" t="s">
        <v>77</v>
      </c>
      <c r="D110" s="6" t="s">
        <v>33</v>
      </c>
      <c r="E110" s="6" t="s">
        <v>55</v>
      </c>
      <c r="F110" s="4" t="s">
        <v>143</v>
      </c>
      <c r="G110" s="19"/>
      <c r="H110" s="11">
        <f t="shared" si="3"/>
        <v>0.00506413298</v>
      </c>
      <c r="I110" s="15"/>
      <c r="J110" s="11">
        <f t="shared" si="4"/>
        <v>0.006262776279</v>
      </c>
      <c r="K110" s="15">
        <f t="shared" ref="K110:L110" si="115">AVERAGE(O110,Q110,W110,Y110)</f>
        <v>4025.75</v>
      </c>
      <c r="L110" s="20">
        <f t="shared" si="115"/>
        <v>0.004165150506</v>
      </c>
      <c r="M110" s="19">
        <v>3140.0</v>
      </c>
      <c r="N110" s="11">
        <f t="shared" si="6"/>
        <v>0.005331549358</v>
      </c>
      <c r="O110" s="15">
        <v>6074.0</v>
      </c>
      <c r="P110" s="11">
        <f t="shared" si="7"/>
        <v>0.005153462721</v>
      </c>
      <c r="Q110" s="15">
        <v>6239.0</v>
      </c>
      <c r="R110" s="11">
        <f t="shared" si="8"/>
        <v>0.005178702162</v>
      </c>
      <c r="S110" s="15">
        <v>6677.0</v>
      </c>
      <c r="T110" s="11">
        <f t="shared" si="9"/>
        <v>0.007048066611</v>
      </c>
      <c r="U110" s="15">
        <v>6361.0</v>
      </c>
      <c r="V110" s="11">
        <f t="shared" si="10"/>
        <v>0.006408712867</v>
      </c>
      <c r="W110" s="15">
        <v>1665.0</v>
      </c>
      <c r="X110" s="11">
        <f t="shared" si="11"/>
        <v>0.002830155004</v>
      </c>
      <c r="Y110" s="15">
        <v>2125.0</v>
      </c>
      <c r="Z110" s="11">
        <f t="shared" si="12"/>
        <v>0.003498282138</v>
      </c>
      <c r="AA110" s="19">
        <v>6026.0</v>
      </c>
      <c r="AB110" s="15">
        <v>4042.0</v>
      </c>
      <c r="AC110" s="15">
        <v>4935.0</v>
      </c>
      <c r="AD110" s="15">
        <v>3697.0</v>
      </c>
    </row>
    <row r="111" ht="15.75" customHeight="1">
      <c r="A111" s="6">
        <v>19.0</v>
      </c>
      <c r="B111" s="6">
        <v>12.0</v>
      </c>
      <c r="C111" s="6" t="s">
        <v>71</v>
      </c>
      <c r="D111" s="6" t="s">
        <v>91</v>
      </c>
      <c r="E111" s="6" t="s">
        <v>56</v>
      </c>
      <c r="F111" s="4" t="s">
        <v>30</v>
      </c>
      <c r="G111" s="19"/>
      <c r="H111" s="11">
        <f t="shared" si="3"/>
        <v>0.01101282998</v>
      </c>
      <c r="I111" s="15"/>
      <c r="J111" s="11">
        <f t="shared" si="4"/>
        <v>0.009625192904</v>
      </c>
      <c r="K111" s="15">
        <f t="shared" ref="K111:L111" si="116">AVERAGE(O111,Q111,W111,Y111)</f>
        <v>10603.25</v>
      </c>
      <c r="L111" s="20">
        <f t="shared" si="116"/>
        <v>0.01205355779</v>
      </c>
      <c r="M111" s="19">
        <v>5337.0</v>
      </c>
      <c r="N111" s="11">
        <f t="shared" si="6"/>
        <v>0.009061935964</v>
      </c>
      <c r="O111" s="15">
        <v>13412.0</v>
      </c>
      <c r="P111" s="11">
        <f t="shared" si="7"/>
        <v>0.01137936154</v>
      </c>
      <c r="Q111" s="15">
        <v>13762.0</v>
      </c>
      <c r="R111" s="11">
        <f t="shared" si="8"/>
        <v>0.01142319268</v>
      </c>
      <c r="S111" s="15">
        <v>9287.0</v>
      </c>
      <c r="T111" s="11">
        <f t="shared" si="9"/>
        <v>0.009803114365</v>
      </c>
      <c r="U111" s="15">
        <v>9936.0</v>
      </c>
      <c r="V111" s="11">
        <f t="shared" si="10"/>
        <v>0.01001052838</v>
      </c>
      <c r="W111" s="15">
        <v>6060.0</v>
      </c>
      <c r="X111" s="11">
        <f t="shared" si="11"/>
        <v>0.01030074434</v>
      </c>
      <c r="Y111" s="15">
        <v>9179.0</v>
      </c>
      <c r="Z111" s="11">
        <f t="shared" si="12"/>
        <v>0.01511093258</v>
      </c>
      <c r="AA111" s="19">
        <v>12896.0</v>
      </c>
      <c r="AB111" s="15">
        <v>8966.0</v>
      </c>
      <c r="AC111" s="15">
        <v>11225.0</v>
      </c>
      <c r="AD111" s="15">
        <v>8224.0</v>
      </c>
    </row>
    <row r="112" ht="15.75" customHeight="1">
      <c r="A112" s="6">
        <v>26.0</v>
      </c>
      <c r="B112" s="6">
        <v>16.0</v>
      </c>
      <c r="C112" s="6" t="s">
        <v>75</v>
      </c>
      <c r="D112" s="6" t="s">
        <v>32</v>
      </c>
      <c r="E112" s="6" t="s">
        <v>53</v>
      </c>
      <c r="F112" s="4" t="s">
        <v>117</v>
      </c>
      <c r="G112" s="19"/>
      <c r="H112" s="11">
        <f t="shared" si="3"/>
        <v>0.009763924577</v>
      </c>
      <c r="I112" s="15"/>
      <c r="J112" s="11">
        <f t="shared" si="4"/>
        <v>0.01005652988</v>
      </c>
      <c r="K112" s="15">
        <f t="shared" ref="K112:L112" si="117">AVERAGE(O112,Q112,W112,Y112)</f>
        <v>8292.5</v>
      </c>
      <c r="L112" s="20">
        <f t="shared" si="117"/>
        <v>0.009544470596</v>
      </c>
      <c r="M112" s="19">
        <v>5251.0</v>
      </c>
      <c r="N112" s="11">
        <f t="shared" si="6"/>
        <v>0.008915912637</v>
      </c>
      <c r="O112" s="15">
        <v>10297.0</v>
      </c>
      <c r="P112" s="11">
        <f t="shared" si="7"/>
        <v>0.008736451373</v>
      </c>
      <c r="Q112" s="15">
        <v>10487.0</v>
      </c>
      <c r="R112" s="11">
        <f t="shared" si="8"/>
        <v>0.008704768324</v>
      </c>
      <c r="S112" s="15">
        <v>10069.0</v>
      </c>
      <c r="T112" s="11">
        <f t="shared" si="9"/>
        <v>0.01062857312</v>
      </c>
      <c r="U112" s="15">
        <v>10546.0</v>
      </c>
      <c r="V112" s="11">
        <f t="shared" si="10"/>
        <v>0.0106251039</v>
      </c>
      <c r="W112" s="15">
        <v>6466.0</v>
      </c>
      <c r="X112" s="11">
        <f t="shared" si="11"/>
        <v>0.01099086021</v>
      </c>
      <c r="Y112" s="15">
        <v>5920.0</v>
      </c>
      <c r="Z112" s="11">
        <f t="shared" si="12"/>
        <v>0.009745802473</v>
      </c>
      <c r="AA112" s="19">
        <v>9717.0</v>
      </c>
      <c r="AB112" s="15">
        <v>6353.0</v>
      </c>
      <c r="AC112" s="15">
        <v>8974.0</v>
      </c>
      <c r="AD112" s="15">
        <v>7190.0</v>
      </c>
    </row>
    <row r="113" ht="15.75" customHeight="1">
      <c r="A113" s="6">
        <v>27.0</v>
      </c>
      <c r="B113" s="6">
        <v>14.0</v>
      </c>
      <c r="C113" s="6" t="s">
        <v>68</v>
      </c>
      <c r="D113" s="6" t="s">
        <v>32</v>
      </c>
      <c r="E113" s="6" t="s">
        <v>53</v>
      </c>
      <c r="F113" s="4" t="s">
        <v>120</v>
      </c>
      <c r="G113" s="19"/>
      <c r="H113" s="11">
        <f t="shared" si="3"/>
        <v>0.008822705568</v>
      </c>
      <c r="I113" s="15"/>
      <c r="J113" s="11">
        <f t="shared" si="4"/>
        <v>0.00836984044</v>
      </c>
      <c r="K113" s="15">
        <f t="shared" ref="K113:L113" si="118">AVERAGE(O113,Q113,W113,Y113)</f>
        <v>8099.5</v>
      </c>
      <c r="L113" s="20">
        <f t="shared" si="118"/>
        <v>0.009162354414</v>
      </c>
      <c r="M113" s="19">
        <v>4473.0</v>
      </c>
      <c r="N113" s="11">
        <f t="shared" si="6"/>
        <v>0.007594910917</v>
      </c>
      <c r="O113" s="15">
        <v>10436.0</v>
      </c>
      <c r="P113" s="11">
        <f t="shared" si="7"/>
        <v>0.008854385407</v>
      </c>
      <c r="Q113" s="15">
        <v>10615.0</v>
      </c>
      <c r="R113" s="11">
        <f t="shared" si="8"/>
        <v>0.008811015139</v>
      </c>
      <c r="S113" s="15">
        <v>8178.0</v>
      </c>
      <c r="T113" s="11">
        <f t="shared" si="9"/>
        <v>0.008632482963</v>
      </c>
      <c r="U113" s="15">
        <v>8816.0</v>
      </c>
      <c r="V113" s="11">
        <f t="shared" si="10"/>
        <v>0.008882127439</v>
      </c>
      <c r="W113" s="15">
        <v>5678.0</v>
      </c>
      <c r="X113" s="11">
        <f t="shared" si="11"/>
        <v>0.009651423491</v>
      </c>
      <c r="Y113" s="15">
        <v>5669.0</v>
      </c>
      <c r="Z113" s="11">
        <f t="shared" si="12"/>
        <v>0.009332593618</v>
      </c>
      <c r="AA113" s="19">
        <v>10350.0</v>
      </c>
      <c r="AB113" s="15">
        <v>6411.0</v>
      </c>
      <c r="AC113" s="15">
        <v>9146.0</v>
      </c>
      <c r="AD113" s="15">
        <v>7303.0</v>
      </c>
    </row>
    <row r="114" ht="15.75" customHeight="1">
      <c r="A114" s="6">
        <v>91.0</v>
      </c>
      <c r="C114" s="6" t="s">
        <v>75</v>
      </c>
      <c r="D114" s="6" t="s">
        <v>33</v>
      </c>
      <c r="E114" s="6" t="s">
        <v>53</v>
      </c>
      <c r="F114" s="4" t="s">
        <v>177</v>
      </c>
      <c r="G114" s="19"/>
      <c r="H114" s="11">
        <f t="shared" si="3"/>
        <v>0.002891814315</v>
      </c>
      <c r="I114" s="15"/>
      <c r="J114" s="11">
        <f t="shared" si="4"/>
        <v>0.003227084384</v>
      </c>
      <c r="K114" s="15">
        <f t="shared" ref="K114:L114" si="119">AVERAGE(O114,Q114,W114,Y114)</f>
        <v>2370</v>
      </c>
      <c r="L114" s="20">
        <f t="shared" si="119"/>
        <v>0.002640361763</v>
      </c>
      <c r="M114" s="19">
        <v>1592.0</v>
      </c>
      <c r="N114" s="11">
        <f t="shared" si="6"/>
        <v>0.002703129484</v>
      </c>
      <c r="O114" s="15">
        <v>3159.0</v>
      </c>
      <c r="P114" s="11">
        <f t="shared" si="7"/>
        <v>0.002680241807</v>
      </c>
      <c r="Q114" s="15">
        <v>3202.0</v>
      </c>
      <c r="R114" s="11">
        <f t="shared" si="8"/>
        <v>0.002657830473</v>
      </c>
      <c r="S114" s="15">
        <v>3273.0</v>
      </c>
      <c r="T114" s="11">
        <f t="shared" si="9"/>
        <v>0.003454893218</v>
      </c>
      <c r="U114" s="15">
        <v>3497.0</v>
      </c>
      <c r="V114" s="11">
        <f t="shared" si="10"/>
        <v>0.003523230451</v>
      </c>
      <c r="W114" s="15">
        <v>1657.0</v>
      </c>
      <c r="X114" s="11">
        <f t="shared" si="11"/>
        <v>0.002816556662</v>
      </c>
      <c r="Y114" s="15">
        <v>1462.0</v>
      </c>
      <c r="Z114" s="11">
        <f t="shared" si="12"/>
        <v>0.002406818111</v>
      </c>
      <c r="AA114" s="19">
        <v>3112.0</v>
      </c>
      <c r="AB114" s="15">
        <v>2065.0</v>
      </c>
      <c r="AC114" s="15">
        <v>2696.0</v>
      </c>
      <c r="AD114" s="15">
        <v>2078.0</v>
      </c>
    </row>
    <row r="115" ht="15.75" customHeight="1">
      <c r="A115" s="6">
        <v>12.0</v>
      </c>
      <c r="B115" s="6">
        <v>4.0</v>
      </c>
      <c r="C115" s="6" t="s">
        <v>72</v>
      </c>
      <c r="D115" s="6" t="s">
        <v>90</v>
      </c>
      <c r="E115" s="6" t="s">
        <v>53</v>
      </c>
      <c r="F115" s="4" t="s">
        <v>19</v>
      </c>
      <c r="G115" s="19"/>
      <c r="H115" s="11">
        <f t="shared" si="3"/>
        <v>0.01966097048</v>
      </c>
      <c r="I115" s="15"/>
      <c r="J115" s="11">
        <f t="shared" si="4"/>
        <v>0.02063959113</v>
      </c>
      <c r="K115" s="15">
        <f t="shared" ref="K115:L115" si="120">AVERAGE(O115,Q115,W115,Y115)</f>
        <v>16754.75</v>
      </c>
      <c r="L115" s="20">
        <f t="shared" si="120"/>
        <v>0.018927005</v>
      </c>
      <c r="M115" s="19">
        <v>11562.0</v>
      </c>
      <c r="N115" s="11">
        <f t="shared" si="6"/>
        <v>0.01963164767</v>
      </c>
      <c r="O115" s="15">
        <v>21629.0</v>
      </c>
      <c r="P115" s="11">
        <f t="shared" si="7"/>
        <v>0.01835104465</v>
      </c>
      <c r="Q115" s="15">
        <v>22072.0</v>
      </c>
      <c r="R115" s="11">
        <f t="shared" si="8"/>
        <v>0.0183209351</v>
      </c>
      <c r="S115" s="15">
        <v>19958.0</v>
      </c>
      <c r="T115" s="11">
        <f t="shared" si="9"/>
        <v>0.02106714294</v>
      </c>
      <c r="U115" s="15">
        <v>21062.0</v>
      </c>
      <c r="V115" s="11">
        <f t="shared" si="10"/>
        <v>0.02121998277</v>
      </c>
      <c r="W115" s="15">
        <v>12117.0</v>
      </c>
      <c r="X115" s="11">
        <f t="shared" si="11"/>
        <v>0.0205963893</v>
      </c>
      <c r="Y115" s="15">
        <v>11201.0</v>
      </c>
      <c r="Z115" s="11">
        <f t="shared" si="12"/>
        <v>0.01843965093</v>
      </c>
      <c r="AA115" s="19">
        <v>20367.0</v>
      </c>
      <c r="AB115" s="15">
        <v>13476.0</v>
      </c>
      <c r="AC115" s="15">
        <v>18040.0</v>
      </c>
      <c r="AD115" s="15">
        <v>15362.0</v>
      </c>
    </row>
    <row r="116" ht="15.75" customHeight="1">
      <c r="A116" s="6">
        <v>95.0</v>
      </c>
      <c r="C116" s="6" t="s">
        <v>73</v>
      </c>
      <c r="D116" s="6" t="s">
        <v>33</v>
      </c>
      <c r="E116" s="6" t="s">
        <v>60</v>
      </c>
      <c r="F116" s="4" t="s">
        <v>188</v>
      </c>
      <c r="G116" s="19"/>
      <c r="H116" s="11">
        <f t="shared" si="3"/>
        <v>0.002438500647</v>
      </c>
      <c r="I116" s="15"/>
      <c r="J116" s="11">
        <f t="shared" si="4"/>
        <v>0.002352653606</v>
      </c>
      <c r="K116" s="15">
        <f t="shared" ref="K116:L116" si="121">AVERAGE(O116,Q116,W116,Y116)</f>
        <v>2254.5</v>
      </c>
      <c r="L116" s="20">
        <f t="shared" si="121"/>
        <v>0.002502885929</v>
      </c>
      <c r="M116" s="19">
        <v>1542.0</v>
      </c>
      <c r="N116" s="11">
        <f t="shared" si="6"/>
        <v>0.002618232201</v>
      </c>
      <c r="O116" s="15">
        <v>3022.0</v>
      </c>
      <c r="P116" s="11">
        <f t="shared" si="7"/>
        <v>0.002564004666</v>
      </c>
      <c r="Q116" s="15">
        <v>3066.0</v>
      </c>
      <c r="R116" s="11">
        <f t="shared" si="8"/>
        <v>0.002544943233</v>
      </c>
      <c r="S116" s="15">
        <v>2068.0</v>
      </c>
      <c r="T116" s="11">
        <f t="shared" si="9"/>
        <v>0.002182926726</v>
      </c>
      <c r="U116" s="15">
        <v>2240.0</v>
      </c>
      <c r="V116" s="11">
        <f t="shared" si="10"/>
        <v>0.00225680189</v>
      </c>
      <c r="W116" s="15">
        <v>1477.0</v>
      </c>
      <c r="X116" s="11">
        <f t="shared" si="11"/>
        <v>0.002510593959</v>
      </c>
      <c r="Y116" s="15">
        <v>1453.0</v>
      </c>
      <c r="Z116" s="11">
        <f t="shared" si="12"/>
        <v>0.002392001857</v>
      </c>
      <c r="AA116" s="19">
        <v>2936.0</v>
      </c>
      <c r="AB116" s="15">
        <v>1954.0</v>
      </c>
      <c r="AC116" s="15">
        <v>2601.0</v>
      </c>
      <c r="AD116" s="15">
        <v>1982.0</v>
      </c>
    </row>
    <row r="117" ht="15.75" customHeight="1">
      <c r="A117" s="6">
        <v>39.0</v>
      </c>
      <c r="B117" s="6">
        <v>1.0</v>
      </c>
      <c r="C117" s="6" t="s">
        <v>76</v>
      </c>
      <c r="D117" s="6" t="s">
        <v>32</v>
      </c>
      <c r="E117" s="6" t="s">
        <v>53</v>
      </c>
      <c r="F117" s="4" t="s">
        <v>130</v>
      </c>
      <c r="G117" s="19"/>
      <c r="H117" s="11">
        <f t="shared" si="3"/>
        <v>0.006944907818</v>
      </c>
      <c r="I117" s="15"/>
      <c r="J117" s="11">
        <f t="shared" si="4"/>
        <v>0.007497018366</v>
      </c>
      <c r="K117" s="15">
        <f t="shared" ref="K117:L117" si="122">AVERAGE(O117,Q117,W117,Y117)</f>
        <v>5784.75</v>
      </c>
      <c r="L117" s="20">
        <f t="shared" si="122"/>
        <v>0.006530824907</v>
      </c>
      <c r="M117" s="19">
        <v>4480.0</v>
      </c>
      <c r="N117" s="11">
        <f t="shared" si="6"/>
        <v>0.007606796537</v>
      </c>
      <c r="O117" s="15">
        <v>7445.0</v>
      </c>
      <c r="P117" s="11">
        <f t="shared" si="7"/>
        <v>0.006316682575</v>
      </c>
      <c r="Q117" s="15">
        <v>7634.0</v>
      </c>
      <c r="R117" s="11">
        <f t="shared" si="8"/>
        <v>0.006336626431</v>
      </c>
      <c r="S117" s="15">
        <v>7114.0</v>
      </c>
      <c r="T117" s="11">
        <f t="shared" si="9"/>
        <v>0.007509352384</v>
      </c>
      <c r="U117" s="15">
        <v>7320.0</v>
      </c>
      <c r="V117" s="11">
        <f t="shared" si="10"/>
        <v>0.007374906176</v>
      </c>
      <c r="W117" s="15">
        <v>3758.0</v>
      </c>
      <c r="X117" s="11">
        <f t="shared" si="11"/>
        <v>0.006387821325</v>
      </c>
      <c r="Y117" s="15">
        <v>4302.0</v>
      </c>
      <c r="Z117" s="11">
        <f t="shared" si="12"/>
        <v>0.007082169297</v>
      </c>
      <c r="AA117" s="19">
        <v>7800.0</v>
      </c>
      <c r="AB117" s="15">
        <v>5128.0</v>
      </c>
      <c r="AC117" s="15">
        <v>7033.0</v>
      </c>
      <c r="AD117" s="15">
        <v>5697.0</v>
      </c>
    </row>
    <row r="118" ht="15.75" customHeight="1">
      <c r="A118" s="6">
        <v>78.0</v>
      </c>
      <c r="C118" s="6" t="s">
        <v>78</v>
      </c>
      <c r="D118" s="6" t="s">
        <v>33</v>
      </c>
      <c r="E118" s="6" t="s">
        <v>59</v>
      </c>
      <c r="F118" s="4" t="s">
        <v>168</v>
      </c>
      <c r="G118" s="19"/>
      <c r="H118" s="11">
        <f t="shared" si="3"/>
        <v>0.003640378559</v>
      </c>
      <c r="I118" s="15"/>
      <c r="J118" s="11">
        <f t="shared" si="4"/>
        <v>0.004083415851</v>
      </c>
      <c r="K118" s="15">
        <f t="shared" ref="K118:L118" si="123">AVERAGE(O118,Q118,W118,Y118)</f>
        <v>2937.25</v>
      </c>
      <c r="L118" s="20">
        <f t="shared" si="123"/>
        <v>0.003308100589</v>
      </c>
      <c r="M118" s="19">
        <v>2027.0</v>
      </c>
      <c r="N118" s="11">
        <f t="shared" si="6"/>
        <v>0.003441735844</v>
      </c>
      <c r="O118" s="15">
        <v>3806.0</v>
      </c>
      <c r="P118" s="11">
        <f t="shared" si="7"/>
        <v>0.003229186552</v>
      </c>
      <c r="Q118" s="15">
        <v>3861.0</v>
      </c>
      <c r="R118" s="11">
        <f t="shared" si="8"/>
        <v>0.003204835558</v>
      </c>
      <c r="S118" s="15">
        <v>4253.0</v>
      </c>
      <c r="T118" s="11">
        <f t="shared" si="9"/>
        <v>0.004489355593</v>
      </c>
      <c r="U118" s="15">
        <v>4287.0</v>
      </c>
      <c r="V118" s="11">
        <f t="shared" si="10"/>
        <v>0.004319156117</v>
      </c>
      <c r="W118" s="15">
        <v>1464.0</v>
      </c>
      <c r="X118" s="11">
        <f t="shared" si="11"/>
        <v>0.002488496652</v>
      </c>
      <c r="Y118" s="15">
        <v>2618.0</v>
      </c>
      <c r="Z118" s="11">
        <f t="shared" si="12"/>
        <v>0.004309883594</v>
      </c>
      <c r="AA118" s="19">
        <v>3758.0</v>
      </c>
      <c r="AB118" s="15">
        <v>2455.0</v>
      </c>
      <c r="AC118" s="15">
        <v>3013.0</v>
      </c>
      <c r="AD118" s="15">
        <v>2297.0</v>
      </c>
    </row>
    <row r="119" ht="15.75" customHeight="1">
      <c r="A119" s="6">
        <v>67.0</v>
      </c>
      <c r="C119" s="6" t="s">
        <v>75</v>
      </c>
      <c r="D119" s="6" t="s">
        <v>33</v>
      </c>
      <c r="E119" s="6" t="s">
        <v>53</v>
      </c>
      <c r="F119" s="4" t="s">
        <v>158</v>
      </c>
      <c r="G119" s="19"/>
      <c r="H119" s="11">
        <f t="shared" si="3"/>
        <v>0.004073548375</v>
      </c>
      <c r="I119" s="15"/>
      <c r="J119" s="11">
        <f t="shared" si="4"/>
        <v>0.0044506692</v>
      </c>
      <c r="K119" s="15">
        <f t="shared" ref="K119:L119" si="124">AVERAGE(O119,Q119,W119,Y119)</f>
        <v>3406.5</v>
      </c>
      <c r="L119" s="20">
        <f t="shared" si="124"/>
        <v>0.003790707756</v>
      </c>
      <c r="M119" s="19">
        <v>2632.0</v>
      </c>
      <c r="N119" s="11">
        <f t="shared" si="6"/>
        <v>0.004468992965</v>
      </c>
      <c r="O119" s="15">
        <v>4533.0</v>
      </c>
      <c r="P119" s="11">
        <f t="shared" si="7"/>
        <v>0.003846007</v>
      </c>
      <c r="Q119" s="15">
        <v>4614.0</v>
      </c>
      <c r="R119" s="11">
        <f t="shared" si="8"/>
        <v>0.003829865648</v>
      </c>
      <c r="S119" s="15">
        <v>4210.0</v>
      </c>
      <c r="T119" s="11">
        <f t="shared" si="9"/>
        <v>0.004443965918</v>
      </c>
      <c r="U119" s="15">
        <v>4406.0</v>
      </c>
      <c r="V119" s="11">
        <f t="shared" si="10"/>
        <v>0.004439048718</v>
      </c>
      <c r="W119" s="15">
        <v>2118.0</v>
      </c>
      <c r="X119" s="11">
        <f t="shared" si="11"/>
        <v>0.00360016114</v>
      </c>
      <c r="Y119" s="15">
        <v>2361.0</v>
      </c>
      <c r="Z119" s="11">
        <f t="shared" si="12"/>
        <v>0.003886797236</v>
      </c>
      <c r="AA119" s="19">
        <v>4519.0</v>
      </c>
      <c r="AB119" s="15">
        <v>2907.0</v>
      </c>
      <c r="AC119" s="15">
        <v>3763.0</v>
      </c>
      <c r="AD119" s="15">
        <v>2828.0</v>
      </c>
    </row>
    <row r="120" ht="15.75" customHeight="1">
      <c r="A120" s="6">
        <v>50.0</v>
      </c>
      <c r="C120" s="6" t="s">
        <v>79</v>
      </c>
      <c r="D120" s="6" t="s">
        <v>32</v>
      </c>
      <c r="E120" s="6" t="s">
        <v>53</v>
      </c>
      <c r="F120" s="4" t="s">
        <v>135</v>
      </c>
      <c r="G120" s="19"/>
      <c r="H120" s="11">
        <f t="shared" si="3"/>
        <v>0.005699142501</v>
      </c>
      <c r="I120" s="15"/>
      <c r="J120" s="11">
        <f t="shared" si="4"/>
        <v>0.006555201656</v>
      </c>
      <c r="K120" s="15">
        <f t="shared" ref="K120:L120" si="125">AVERAGE(O120,Q120,W120,Y120)</f>
        <v>4735.5</v>
      </c>
      <c r="L120" s="20">
        <f t="shared" si="125"/>
        <v>0.005057098134</v>
      </c>
      <c r="M120" s="19">
        <v>3682.0</v>
      </c>
      <c r="N120" s="11">
        <f t="shared" si="6"/>
        <v>0.006251835904</v>
      </c>
      <c r="O120" s="15">
        <v>6787.0</v>
      </c>
      <c r="P120" s="11">
        <f t="shared" si="7"/>
        <v>0.005758404921</v>
      </c>
      <c r="Q120" s="15">
        <v>6952.0</v>
      </c>
      <c r="R120" s="11">
        <f t="shared" si="8"/>
        <v>0.005770530122</v>
      </c>
      <c r="S120" s="15">
        <v>6432.0</v>
      </c>
      <c r="T120" s="11">
        <f t="shared" si="9"/>
        <v>0.006789451017</v>
      </c>
      <c r="U120" s="15">
        <v>6575.0</v>
      </c>
      <c r="V120" s="11">
        <f t="shared" si="10"/>
        <v>0.006624318048</v>
      </c>
      <c r="W120" s="15">
        <v>2503.0</v>
      </c>
      <c r="X120" s="11">
        <f t="shared" si="11"/>
        <v>0.004254581367</v>
      </c>
      <c r="Y120" s="15">
        <v>2700.0</v>
      </c>
      <c r="Z120" s="11">
        <f t="shared" si="12"/>
        <v>0.004444876128</v>
      </c>
      <c r="AA120" s="19">
        <v>6452.0</v>
      </c>
      <c r="AB120" s="15">
        <v>4443.0</v>
      </c>
      <c r="AC120" s="15">
        <v>5531.0</v>
      </c>
      <c r="AD120" s="15">
        <v>4267.0</v>
      </c>
    </row>
    <row r="121" ht="15.75" customHeight="1">
      <c r="A121" s="6">
        <v>126.0</v>
      </c>
      <c r="C121" s="6" t="s">
        <v>78</v>
      </c>
      <c r="D121" s="6" t="s">
        <v>33</v>
      </c>
      <c r="E121" s="6" t="s">
        <v>60</v>
      </c>
      <c r="F121" s="4" t="s">
        <v>207</v>
      </c>
      <c r="G121" s="19"/>
      <c r="H121" s="11">
        <f t="shared" si="3"/>
        <v>0.001347129454</v>
      </c>
      <c r="I121" s="15"/>
      <c r="J121" s="11">
        <f t="shared" si="4"/>
        <v>0.001642746059</v>
      </c>
      <c r="K121" s="15">
        <f t="shared" ref="K121:L121" si="126">AVERAGE(O121,Q121,W121,Y121)</f>
        <v>1021.25</v>
      </c>
      <c r="L121" s="20">
        <f t="shared" si="126"/>
        <v>0.001125417</v>
      </c>
      <c r="M121" s="19">
        <v>811.0</v>
      </c>
      <c r="N121" s="11">
        <f t="shared" si="6"/>
        <v>0.001377033927</v>
      </c>
      <c r="O121" s="15">
        <v>1399.0</v>
      </c>
      <c r="P121" s="11">
        <f t="shared" si="7"/>
        <v>0.00118697635</v>
      </c>
      <c r="Q121" s="15">
        <v>1401.0</v>
      </c>
      <c r="R121" s="11">
        <f t="shared" si="8"/>
        <v>0.001162904589</v>
      </c>
      <c r="S121" s="15">
        <v>1525.0</v>
      </c>
      <c r="T121" s="11">
        <f t="shared" si="9"/>
        <v>0.001609750125</v>
      </c>
      <c r="U121" s="15">
        <v>1927.0</v>
      </c>
      <c r="V121" s="11">
        <f t="shared" si="10"/>
        <v>0.001941454126</v>
      </c>
      <c r="W121" s="15">
        <v>679.0</v>
      </c>
      <c r="X121" s="11">
        <f t="shared" si="11"/>
        <v>0.001154159308</v>
      </c>
      <c r="Y121" s="15">
        <v>606.0</v>
      </c>
      <c r="Z121" s="11">
        <f t="shared" si="12"/>
        <v>0.0009976277531</v>
      </c>
      <c r="AA121" s="19">
        <v>1302.0</v>
      </c>
      <c r="AB121" s="15">
        <v>914.0</v>
      </c>
      <c r="AC121" s="15">
        <v>1081.0</v>
      </c>
      <c r="AD121" s="15">
        <v>752.0</v>
      </c>
    </row>
    <row r="122" ht="15.75" customHeight="1">
      <c r="A122" s="6">
        <v>65.0</v>
      </c>
      <c r="C122" s="6" t="s">
        <v>75</v>
      </c>
      <c r="D122" s="6" t="s">
        <v>33</v>
      </c>
      <c r="E122" s="6" t="s">
        <v>53</v>
      </c>
      <c r="F122" s="4" t="s">
        <v>161</v>
      </c>
      <c r="G122" s="19"/>
      <c r="H122" s="11">
        <f t="shared" si="3"/>
        <v>0.003981009023</v>
      </c>
      <c r="I122" s="15"/>
      <c r="J122" s="11">
        <f t="shared" si="4"/>
        <v>0.003989404461</v>
      </c>
      <c r="K122" s="15">
        <f t="shared" ref="K122:L122" si="127">AVERAGE(O122,Q122,W122,Y122)</f>
        <v>3515.25</v>
      </c>
      <c r="L122" s="20">
        <f t="shared" si="127"/>
        <v>0.003974712445</v>
      </c>
      <c r="M122" s="19">
        <v>2242.0</v>
      </c>
      <c r="N122" s="11">
        <f t="shared" si="6"/>
        <v>0.00380679416</v>
      </c>
      <c r="O122" s="15">
        <v>4548.0</v>
      </c>
      <c r="P122" s="11">
        <f t="shared" si="7"/>
        <v>0.003858733694</v>
      </c>
      <c r="Q122" s="15">
        <v>4601.0</v>
      </c>
      <c r="R122" s="11">
        <f t="shared" si="8"/>
        <v>0.003819074955</v>
      </c>
      <c r="S122" s="15">
        <v>3870.0</v>
      </c>
      <c r="T122" s="11">
        <f t="shared" si="9"/>
        <v>0.004085070808</v>
      </c>
      <c r="U122" s="15">
        <v>4046.0</v>
      </c>
      <c r="V122" s="11">
        <f t="shared" si="10"/>
        <v>0.004076348414</v>
      </c>
      <c r="W122" s="15">
        <v>2515.0</v>
      </c>
      <c r="X122" s="11">
        <f t="shared" si="11"/>
        <v>0.00427497888</v>
      </c>
      <c r="Y122" s="15">
        <v>2397.0</v>
      </c>
      <c r="Z122" s="11">
        <f t="shared" si="12"/>
        <v>0.003946062251</v>
      </c>
      <c r="AA122" s="19">
        <v>4579.0</v>
      </c>
      <c r="AB122" s="15">
        <v>2974.0</v>
      </c>
      <c r="AC122" s="15">
        <v>4034.0</v>
      </c>
      <c r="AD122" s="15">
        <v>3250.0</v>
      </c>
    </row>
    <row r="123" ht="15.75" customHeight="1">
      <c r="A123" s="6">
        <v>157.0</v>
      </c>
      <c r="C123" s="6" t="s">
        <v>78</v>
      </c>
      <c r="D123" s="6" t="s">
        <v>34</v>
      </c>
      <c r="E123" s="6" t="s">
        <v>56</v>
      </c>
      <c r="F123" s="4" t="s">
        <v>248</v>
      </c>
      <c r="G123" s="19"/>
      <c r="H123" s="11">
        <f t="shared" si="3"/>
        <v>0.0002718471573</v>
      </c>
      <c r="I123" s="15"/>
      <c r="J123" s="11">
        <f t="shared" si="4"/>
        <v>0.0002057625069</v>
      </c>
      <c r="K123" s="15">
        <f t="shared" ref="K123:L123" si="128">AVERAGE(O123,Q123,W123,Y123)</f>
        <v>268.5</v>
      </c>
      <c r="L123" s="20">
        <f t="shared" si="128"/>
        <v>0.0003214106451</v>
      </c>
      <c r="M123" s="19">
        <v>182.0</v>
      </c>
      <c r="N123" s="11">
        <f t="shared" si="6"/>
        <v>0.0003090261093</v>
      </c>
      <c r="O123" s="15">
        <v>305.0</v>
      </c>
      <c r="P123" s="11">
        <f t="shared" si="7"/>
        <v>0.0002587761162</v>
      </c>
      <c r="Q123" s="15">
        <v>310.0</v>
      </c>
      <c r="R123" s="11">
        <f t="shared" si="8"/>
        <v>0.0002573165043</v>
      </c>
      <c r="S123" s="15">
        <v>146.0</v>
      </c>
      <c r="T123" s="11">
        <f t="shared" si="9"/>
        <v>0.0001541137824</v>
      </c>
      <c r="U123" s="15">
        <v>153.0</v>
      </c>
      <c r="V123" s="11">
        <f t="shared" si="10"/>
        <v>0.0001541476291</v>
      </c>
      <c r="W123" s="15">
        <v>260.0</v>
      </c>
      <c r="X123" s="11">
        <f t="shared" si="11"/>
        <v>0.0004419461268</v>
      </c>
      <c r="Y123" s="15">
        <v>199.0</v>
      </c>
      <c r="Z123" s="11">
        <f t="shared" si="12"/>
        <v>0.0003276038331</v>
      </c>
      <c r="AA123" s="19">
        <v>275.0</v>
      </c>
      <c r="AB123" s="15">
        <v>200.0</v>
      </c>
      <c r="AC123" s="15">
        <v>213.0</v>
      </c>
      <c r="AD123" s="15">
        <v>158.0</v>
      </c>
    </row>
    <row r="124" ht="15.75" customHeight="1">
      <c r="A124" s="6">
        <v>74.0</v>
      </c>
      <c r="C124" s="6" t="s">
        <v>76</v>
      </c>
      <c r="D124" s="6" t="s">
        <v>33</v>
      </c>
      <c r="E124" s="6" t="s">
        <v>53</v>
      </c>
      <c r="F124" s="4" t="s">
        <v>164</v>
      </c>
      <c r="G124" s="19"/>
      <c r="H124" s="11">
        <f t="shared" si="3"/>
        <v>0.003869653323</v>
      </c>
      <c r="I124" s="15"/>
      <c r="J124" s="11">
        <f t="shared" si="4"/>
        <v>0.003961478853</v>
      </c>
      <c r="K124" s="15">
        <f t="shared" ref="K124:L124" si="129">AVERAGE(O124,Q124,W124,Y124)</f>
        <v>3274.25</v>
      </c>
      <c r="L124" s="20">
        <f t="shared" si="129"/>
        <v>0.003800784176</v>
      </c>
      <c r="M124" s="19">
        <v>2597.0</v>
      </c>
      <c r="N124" s="11">
        <f t="shared" si="6"/>
        <v>0.004409564867</v>
      </c>
      <c r="O124" s="15">
        <v>3973.0</v>
      </c>
      <c r="P124" s="11">
        <f t="shared" si="7"/>
        <v>0.003370877081</v>
      </c>
      <c r="Q124" s="15">
        <v>4042.0</v>
      </c>
      <c r="R124" s="11">
        <f t="shared" si="8"/>
        <v>0.003355075195</v>
      </c>
      <c r="S124" s="15">
        <v>3295.0</v>
      </c>
      <c r="T124" s="11">
        <f t="shared" si="9"/>
        <v>0.003478115843</v>
      </c>
      <c r="U124" s="15">
        <v>3967.0</v>
      </c>
      <c r="V124" s="11">
        <f t="shared" si="10"/>
        <v>0.003996755847</v>
      </c>
      <c r="W124" s="15">
        <v>2072.0</v>
      </c>
      <c r="X124" s="11">
        <f t="shared" si="11"/>
        <v>0.003521970672</v>
      </c>
      <c r="Y124" s="15">
        <v>3010.0</v>
      </c>
      <c r="Z124" s="11">
        <f t="shared" si="12"/>
        <v>0.004955213757</v>
      </c>
      <c r="AA124" s="19">
        <v>3893.0</v>
      </c>
      <c r="AB124" s="15">
        <v>2672.0</v>
      </c>
      <c r="AC124" s="15">
        <v>3302.0</v>
      </c>
      <c r="AD124" s="15">
        <v>2444.0</v>
      </c>
    </row>
    <row r="125" ht="15.75" customHeight="1">
      <c r="A125" s="6">
        <v>144.0</v>
      </c>
      <c r="C125" s="6" t="s">
        <v>78</v>
      </c>
      <c r="D125" s="6" t="s">
        <v>34</v>
      </c>
      <c r="E125" s="6" t="s">
        <v>56</v>
      </c>
      <c r="F125" s="4" t="s">
        <v>239</v>
      </c>
      <c r="G125" s="19"/>
      <c r="H125" s="11">
        <f t="shared" si="3"/>
        <v>0.0005515582852</v>
      </c>
      <c r="I125" s="15"/>
      <c r="J125" s="11">
        <f t="shared" si="4"/>
        <v>0.0003728775307</v>
      </c>
      <c r="K125" s="15">
        <f t="shared" ref="K125:L125" si="130">AVERAGE(O125,Q125,W125,Y125)</f>
        <v>590.75</v>
      </c>
      <c r="L125" s="20">
        <f t="shared" si="130"/>
        <v>0.000685568851</v>
      </c>
      <c r="M125" s="19">
        <v>360.0</v>
      </c>
      <c r="N125" s="11">
        <f t="shared" si="6"/>
        <v>0.000611260436</v>
      </c>
      <c r="O125" s="15">
        <v>716.0</v>
      </c>
      <c r="P125" s="11">
        <f t="shared" si="7"/>
        <v>0.0006074875384</v>
      </c>
      <c r="Q125" s="15">
        <v>737.0</v>
      </c>
      <c r="R125" s="11">
        <f t="shared" si="8"/>
        <v>0.0006117492376</v>
      </c>
      <c r="S125" s="15">
        <v>243.0</v>
      </c>
      <c r="T125" s="11">
        <f t="shared" si="9"/>
        <v>0.0002565044461</v>
      </c>
      <c r="U125" s="15">
        <v>249.0</v>
      </c>
      <c r="V125" s="11">
        <f t="shared" si="10"/>
        <v>0.0002508677101</v>
      </c>
      <c r="W125" s="15">
        <v>466.0</v>
      </c>
      <c r="X125" s="11">
        <f t="shared" si="11"/>
        <v>0.0007921034426</v>
      </c>
      <c r="Y125" s="15">
        <v>444.0</v>
      </c>
      <c r="Z125" s="11">
        <f t="shared" si="12"/>
        <v>0.0007309351855</v>
      </c>
      <c r="AA125" s="19">
        <v>696.0</v>
      </c>
      <c r="AB125" s="15">
        <v>480.0</v>
      </c>
      <c r="AC125" s="15">
        <v>536.0</v>
      </c>
      <c r="AD125" s="15">
        <v>345.0</v>
      </c>
    </row>
    <row r="126" ht="15.75" customHeight="1">
      <c r="A126" s="6">
        <v>20.0</v>
      </c>
      <c r="B126" s="6">
        <v>9.0</v>
      </c>
      <c r="C126" s="6" t="s">
        <v>69</v>
      </c>
      <c r="D126" s="6" t="s">
        <v>91</v>
      </c>
      <c r="E126" s="6" t="s">
        <v>54</v>
      </c>
      <c r="F126" s="4" t="s">
        <v>27</v>
      </c>
      <c r="G126" s="19"/>
      <c r="H126" s="11">
        <f t="shared" si="3"/>
        <v>0.0115136841</v>
      </c>
      <c r="I126" s="15"/>
      <c r="J126" s="11">
        <f t="shared" si="4"/>
        <v>0.0104136201</v>
      </c>
      <c r="K126" s="15">
        <f t="shared" ref="K126:L126" si="131">AVERAGE(O126,Q126,W126,Y126)</f>
        <v>10530.75</v>
      </c>
      <c r="L126" s="20">
        <f t="shared" si="131"/>
        <v>0.0123387321</v>
      </c>
      <c r="M126" s="19">
        <v>5371.0</v>
      </c>
      <c r="N126" s="11">
        <f t="shared" si="6"/>
        <v>0.009119666116</v>
      </c>
      <c r="O126" s="15">
        <v>12485.0</v>
      </c>
      <c r="P126" s="11">
        <f t="shared" si="7"/>
        <v>0.01059285184</v>
      </c>
      <c r="Q126" s="15">
        <v>12715.0</v>
      </c>
      <c r="R126" s="11">
        <f t="shared" si="8"/>
        <v>0.01055412694</v>
      </c>
      <c r="S126" s="15">
        <v>10678.0</v>
      </c>
      <c r="T126" s="11">
        <f t="shared" si="9"/>
        <v>0.01127141759</v>
      </c>
      <c r="U126" s="15">
        <v>10769.0</v>
      </c>
      <c r="V126" s="11">
        <f t="shared" si="10"/>
        <v>0.01084977659</v>
      </c>
      <c r="W126" s="15">
        <v>6508.0</v>
      </c>
      <c r="X126" s="11">
        <f t="shared" si="11"/>
        <v>0.01106225151</v>
      </c>
      <c r="Y126" s="15">
        <v>10415.0</v>
      </c>
      <c r="Z126" s="11">
        <f t="shared" si="12"/>
        <v>0.0171456981</v>
      </c>
      <c r="AA126" s="19">
        <v>11457.0</v>
      </c>
      <c r="AB126" s="15">
        <v>8071.0</v>
      </c>
      <c r="AC126" s="15">
        <v>9855.0</v>
      </c>
      <c r="AD126" s="15">
        <v>7315.0</v>
      </c>
    </row>
    <row r="127" ht="15.75" customHeight="1">
      <c r="A127" s="6">
        <v>43.0</v>
      </c>
      <c r="B127" s="6">
        <v>16.0</v>
      </c>
      <c r="C127" s="6" t="s">
        <v>72</v>
      </c>
      <c r="D127" s="6" t="s">
        <v>32</v>
      </c>
      <c r="E127" s="6" t="s">
        <v>53</v>
      </c>
      <c r="F127" s="4" t="s">
        <v>138</v>
      </c>
      <c r="G127" s="19"/>
      <c r="H127" s="11">
        <f t="shared" si="3"/>
        <v>0.005700295509</v>
      </c>
      <c r="I127" s="15"/>
      <c r="J127" s="11">
        <f t="shared" si="4"/>
        <v>0.004894862136</v>
      </c>
      <c r="K127" s="15">
        <f t="shared" ref="K127:L127" si="132">AVERAGE(O127,Q127,W127,Y127)</f>
        <v>5221.25</v>
      </c>
      <c r="L127" s="20">
        <f t="shared" si="132"/>
        <v>0.006304370538</v>
      </c>
      <c r="M127" s="19">
        <v>3075.0</v>
      </c>
      <c r="N127" s="11">
        <f t="shared" si="6"/>
        <v>0.005221182891</v>
      </c>
      <c r="O127" s="15">
        <v>5764.0</v>
      </c>
      <c r="P127" s="11">
        <f t="shared" si="7"/>
        <v>0.004890444374</v>
      </c>
      <c r="Q127" s="15">
        <v>5881.0</v>
      </c>
      <c r="R127" s="11">
        <f t="shared" si="8"/>
        <v>0.004881543102</v>
      </c>
      <c r="S127" s="15">
        <v>4421.0</v>
      </c>
      <c r="T127" s="11">
        <f t="shared" si="9"/>
        <v>0.004666692</v>
      </c>
      <c r="U127" s="15">
        <v>4761.0</v>
      </c>
      <c r="V127" s="11">
        <f t="shared" si="10"/>
        <v>0.004796711517</v>
      </c>
      <c r="W127" s="15">
        <v>4373.0</v>
      </c>
      <c r="X127" s="11">
        <f t="shared" si="11"/>
        <v>0.007433193894</v>
      </c>
      <c r="Y127" s="15">
        <v>4867.0</v>
      </c>
      <c r="Z127" s="11">
        <f t="shared" si="12"/>
        <v>0.008012300783</v>
      </c>
      <c r="AA127" s="19">
        <v>4793.0</v>
      </c>
      <c r="AB127" s="15">
        <v>3288.0</v>
      </c>
      <c r="AC127" s="15">
        <v>4531.0</v>
      </c>
      <c r="AD127" s="15">
        <v>3608.0</v>
      </c>
    </row>
    <row r="128" ht="15.75" customHeight="1">
      <c r="A128" s="6">
        <v>142.0</v>
      </c>
      <c r="C128" s="6" t="s">
        <v>75</v>
      </c>
      <c r="D128" s="6" t="s">
        <v>34</v>
      </c>
      <c r="E128" s="6" t="s">
        <v>56</v>
      </c>
      <c r="F128" s="4" t="s">
        <v>229</v>
      </c>
      <c r="G128" s="19"/>
      <c r="H128" s="11">
        <f t="shared" si="3"/>
        <v>0.0008788493914</v>
      </c>
      <c r="I128" s="15"/>
      <c r="J128" s="11">
        <f t="shared" si="4"/>
        <v>0.001072693095</v>
      </c>
      <c r="K128" s="15">
        <f t="shared" ref="K128:L128" si="133">AVERAGE(O128,Q128,W128,Y128)</f>
        <v>661.5</v>
      </c>
      <c r="L128" s="20">
        <f t="shared" si="133"/>
        <v>0.0007334666133</v>
      </c>
      <c r="M128" s="19">
        <v>545.0</v>
      </c>
      <c r="N128" s="11">
        <f t="shared" si="6"/>
        <v>0.0009253803823</v>
      </c>
      <c r="O128" s="15">
        <v>887.0</v>
      </c>
      <c r="P128" s="11">
        <f t="shared" si="7"/>
        <v>0.0007525718528</v>
      </c>
      <c r="Q128" s="15">
        <v>897.0</v>
      </c>
      <c r="R128" s="11">
        <f t="shared" si="8"/>
        <v>0.0007445577559</v>
      </c>
      <c r="S128" s="15">
        <v>1103.0</v>
      </c>
      <c r="T128" s="11">
        <f t="shared" si="9"/>
        <v>0.001164297959</v>
      </c>
      <c r="U128" s="15">
        <v>1120.0</v>
      </c>
      <c r="V128" s="11">
        <f t="shared" si="10"/>
        <v>0.001128400945</v>
      </c>
      <c r="W128" s="15">
        <v>330.0</v>
      </c>
      <c r="X128" s="11">
        <f t="shared" si="11"/>
        <v>0.0005609316224</v>
      </c>
      <c r="Y128" s="15">
        <v>532.0</v>
      </c>
      <c r="Z128" s="11">
        <f t="shared" si="12"/>
        <v>0.0008758052222</v>
      </c>
      <c r="AA128" s="19">
        <v>842.0</v>
      </c>
      <c r="AB128" s="15">
        <v>547.0</v>
      </c>
      <c r="AC128" s="15">
        <v>644.0</v>
      </c>
      <c r="AD128" s="15">
        <v>474.0</v>
      </c>
    </row>
    <row r="129" ht="15.75" customHeight="1">
      <c r="A129" s="6">
        <v>113.0</v>
      </c>
      <c r="C129" s="6" t="s">
        <v>75</v>
      </c>
      <c r="D129" s="6" t="s">
        <v>33</v>
      </c>
      <c r="E129" s="6" t="s">
        <v>61</v>
      </c>
      <c r="F129" s="4" t="s">
        <v>206</v>
      </c>
      <c r="G129" s="19"/>
      <c r="H129" s="11">
        <f t="shared" si="3"/>
        <v>0.001478535334</v>
      </c>
      <c r="I129" s="15"/>
      <c r="J129" s="11">
        <f t="shared" si="4"/>
        <v>0.001349630944</v>
      </c>
      <c r="K129" s="15">
        <f t="shared" ref="K129:L129" si="134">AVERAGE(O129,Q129,W129,Y129)</f>
        <v>1457.75</v>
      </c>
      <c r="L129" s="20">
        <f t="shared" si="134"/>
        <v>0.001575213626</v>
      </c>
      <c r="M129" s="19">
        <v>977.0</v>
      </c>
      <c r="N129" s="11">
        <f t="shared" si="6"/>
        <v>0.001658892905</v>
      </c>
      <c r="O129" s="15">
        <v>2051.0</v>
      </c>
      <c r="P129" s="11">
        <f t="shared" si="7"/>
        <v>0.001740163326</v>
      </c>
      <c r="Q129" s="15">
        <v>2088.0</v>
      </c>
      <c r="R129" s="11">
        <f t="shared" si="8"/>
        <v>0.001733151164</v>
      </c>
      <c r="S129" s="15">
        <v>1157.0</v>
      </c>
      <c r="T129" s="11">
        <f t="shared" si="9"/>
        <v>0.001221298947</v>
      </c>
      <c r="U129" s="15">
        <v>1160.0</v>
      </c>
      <c r="V129" s="11">
        <f t="shared" si="10"/>
        <v>0.001168700979</v>
      </c>
      <c r="W129" s="15">
        <v>786.0</v>
      </c>
      <c r="X129" s="11">
        <f t="shared" si="11"/>
        <v>0.001336037137</v>
      </c>
      <c r="Y129" s="15">
        <v>906.0</v>
      </c>
      <c r="Z129" s="11">
        <f t="shared" si="12"/>
        <v>0.001491502878</v>
      </c>
      <c r="AA129" s="19">
        <v>1994.0</v>
      </c>
      <c r="AB129" s="15">
        <v>1333.0</v>
      </c>
      <c r="AC129" s="15">
        <v>1771.0</v>
      </c>
      <c r="AD129" s="15">
        <v>1263.0</v>
      </c>
    </row>
    <row r="130" ht="15.75" customHeight="1">
      <c r="A130" s="6">
        <v>125.0</v>
      </c>
      <c r="C130" s="6" t="s">
        <v>78</v>
      </c>
      <c r="D130" s="6" t="s">
        <v>33</v>
      </c>
      <c r="E130" s="6" t="s">
        <v>62</v>
      </c>
      <c r="F130" s="4" t="s">
        <v>221</v>
      </c>
      <c r="G130" s="19"/>
      <c r="H130" s="11">
        <f t="shared" si="3"/>
        <v>0.00118800408</v>
      </c>
      <c r="I130" s="15"/>
      <c r="J130" s="11">
        <f t="shared" si="4"/>
        <v>0.001079630047</v>
      </c>
      <c r="K130" s="15">
        <f t="shared" ref="K130:L130" si="135">AVERAGE(O130,Q130,W130,Y130)</f>
        <v>1086.25</v>
      </c>
      <c r="L130" s="20">
        <f t="shared" si="135"/>
        <v>0.001269284604</v>
      </c>
      <c r="M130" s="19">
        <v>706.0</v>
      </c>
      <c r="N130" s="11">
        <f t="shared" si="6"/>
        <v>0.001198749633</v>
      </c>
      <c r="O130" s="15">
        <v>1301.0</v>
      </c>
      <c r="P130" s="11">
        <f t="shared" si="7"/>
        <v>0.001103828614</v>
      </c>
      <c r="Q130" s="15">
        <v>1329.0</v>
      </c>
      <c r="R130" s="11">
        <f t="shared" si="8"/>
        <v>0.001103140755</v>
      </c>
      <c r="S130" s="15">
        <v>984.0</v>
      </c>
      <c r="T130" s="11">
        <f t="shared" si="9"/>
        <v>0.001038684671</v>
      </c>
      <c r="U130" s="15">
        <v>994.0</v>
      </c>
      <c r="V130" s="11">
        <f t="shared" si="10"/>
        <v>0.001001455839</v>
      </c>
      <c r="W130" s="15">
        <v>875.0</v>
      </c>
      <c r="X130" s="11">
        <f t="shared" si="11"/>
        <v>0.001487318696</v>
      </c>
      <c r="Y130" s="15">
        <v>840.0</v>
      </c>
      <c r="Z130" s="11">
        <f t="shared" si="12"/>
        <v>0.001382850351</v>
      </c>
      <c r="AA130" s="19">
        <v>1291.0</v>
      </c>
      <c r="AB130" s="15">
        <v>902.0</v>
      </c>
      <c r="AC130" s="15">
        <v>1064.0</v>
      </c>
      <c r="AD130" s="15">
        <v>708.0</v>
      </c>
    </row>
    <row r="131" ht="15.75" customHeight="1">
      <c r="A131" s="6">
        <v>31.0</v>
      </c>
      <c r="B131" s="6">
        <v>6.0</v>
      </c>
      <c r="C131" s="6" t="s">
        <v>72</v>
      </c>
      <c r="D131" s="6" t="s">
        <v>32</v>
      </c>
      <c r="E131" s="6" t="s">
        <v>53</v>
      </c>
      <c r="F131" s="4" t="s">
        <v>124</v>
      </c>
      <c r="G131" s="19"/>
      <c r="H131" s="11">
        <f t="shared" si="3"/>
        <v>0.008138066738</v>
      </c>
      <c r="I131" s="15"/>
      <c r="J131" s="11">
        <f t="shared" si="4"/>
        <v>0.00797352695</v>
      </c>
      <c r="K131" s="15">
        <f t="shared" ref="K131:L131" si="136">AVERAGE(O131,Q131,W131,Y131)</f>
        <v>7176</v>
      </c>
      <c r="L131" s="20">
        <f t="shared" si="136"/>
        <v>0.00826147158</v>
      </c>
      <c r="M131" s="19">
        <v>5110.0</v>
      </c>
      <c r="N131" s="11">
        <f t="shared" si="6"/>
        <v>0.0086765023</v>
      </c>
      <c r="O131" s="15">
        <v>8898.0</v>
      </c>
      <c r="P131" s="11">
        <f t="shared" si="7"/>
        <v>0.007549475024</v>
      </c>
      <c r="Q131" s="15">
        <v>9041.0</v>
      </c>
      <c r="R131" s="11">
        <f t="shared" si="8"/>
        <v>0.007504511339</v>
      </c>
      <c r="S131" s="15">
        <v>7096.0</v>
      </c>
      <c r="T131" s="11">
        <f t="shared" si="9"/>
        <v>0.007490352055</v>
      </c>
      <c r="U131" s="15">
        <v>7696.0</v>
      </c>
      <c r="V131" s="11">
        <f t="shared" si="10"/>
        <v>0.007753726494</v>
      </c>
      <c r="W131" s="15">
        <v>5043.0</v>
      </c>
      <c r="X131" s="11">
        <f t="shared" si="11"/>
        <v>0.008572055066</v>
      </c>
      <c r="Y131" s="15">
        <v>5722.0</v>
      </c>
      <c r="Z131" s="11">
        <f t="shared" si="12"/>
        <v>0.00941984489</v>
      </c>
      <c r="AA131" s="19">
        <v>8612.0</v>
      </c>
      <c r="AB131" s="15">
        <v>5714.0</v>
      </c>
      <c r="AC131" s="15">
        <v>7693.0</v>
      </c>
      <c r="AD131" s="15">
        <v>5909.0</v>
      </c>
    </row>
    <row r="132" ht="15.75" customHeight="1">
      <c r="A132" s="6">
        <v>71.0</v>
      </c>
      <c r="C132" s="6" t="s">
        <v>76</v>
      </c>
      <c r="D132" s="6" t="s">
        <v>33</v>
      </c>
      <c r="E132" s="6" t="s">
        <v>58</v>
      </c>
      <c r="F132" s="4" t="s">
        <v>155</v>
      </c>
      <c r="G132" s="19"/>
      <c r="H132" s="11">
        <f t="shared" si="3"/>
        <v>0.004289808414</v>
      </c>
      <c r="I132" s="15"/>
      <c r="J132" s="11">
        <f t="shared" si="4"/>
        <v>0.00492456127</v>
      </c>
      <c r="K132" s="15">
        <f t="shared" ref="K132:L132" si="137">AVERAGE(O132,Q132,W132,Y132)</f>
        <v>3326.5</v>
      </c>
      <c r="L132" s="20">
        <f t="shared" si="137"/>
        <v>0.003813743772</v>
      </c>
      <c r="M132" s="19">
        <v>2978.0</v>
      </c>
      <c r="N132" s="11">
        <f t="shared" si="6"/>
        <v>0.005056482162</v>
      </c>
      <c r="O132" s="15">
        <v>4169.0</v>
      </c>
      <c r="P132" s="11">
        <f t="shared" si="7"/>
        <v>0.003537172553</v>
      </c>
      <c r="Q132" s="15">
        <v>4224.0</v>
      </c>
      <c r="R132" s="11">
        <f t="shared" si="8"/>
        <v>0.003506144884</v>
      </c>
      <c r="S132" s="15">
        <v>4461.0</v>
      </c>
      <c r="T132" s="11">
        <f t="shared" si="9"/>
        <v>0.004708914955</v>
      </c>
      <c r="U132" s="15">
        <v>4971.0</v>
      </c>
      <c r="V132" s="11">
        <f t="shared" si="10"/>
        <v>0.005008286694</v>
      </c>
      <c r="W132" s="15">
        <v>2309.0</v>
      </c>
      <c r="X132" s="11">
        <f t="shared" si="11"/>
        <v>0.003924821564</v>
      </c>
      <c r="Y132" s="15">
        <v>2604.0</v>
      </c>
      <c r="Z132" s="11">
        <f t="shared" si="12"/>
        <v>0.004286836088</v>
      </c>
      <c r="AA132" s="19">
        <v>4113.0</v>
      </c>
      <c r="AB132" s="15">
        <v>2782.0</v>
      </c>
      <c r="AC132" s="15">
        <v>3557.0</v>
      </c>
      <c r="AD132" s="15">
        <v>2764.0</v>
      </c>
    </row>
    <row r="133" ht="15.75" customHeight="1">
      <c r="A133" s="6">
        <v>156.0</v>
      </c>
      <c r="C133" s="6" t="s">
        <v>71</v>
      </c>
      <c r="D133" s="6" t="s">
        <v>34</v>
      </c>
      <c r="E133" s="6" t="s">
        <v>56</v>
      </c>
      <c r="F133" s="4" t="s">
        <v>245</v>
      </c>
      <c r="G133" s="19"/>
      <c r="H133" s="11">
        <f t="shared" si="3"/>
        <v>0.0002846972367</v>
      </c>
      <c r="I133" s="15"/>
      <c r="J133" s="11">
        <f t="shared" si="4"/>
        <v>0.0002552873126</v>
      </c>
      <c r="K133" s="15">
        <f t="shared" ref="K133:L133" si="138">AVERAGE(O133,Q133,W133,Y133)</f>
        <v>270.25</v>
      </c>
      <c r="L133" s="20">
        <f t="shared" si="138"/>
        <v>0.0003067546797</v>
      </c>
      <c r="M133" s="19">
        <v>194.0</v>
      </c>
      <c r="N133" s="11">
        <f t="shared" si="6"/>
        <v>0.0003294014572</v>
      </c>
      <c r="O133" s="15">
        <v>349.0</v>
      </c>
      <c r="P133" s="11">
        <f t="shared" si="7"/>
        <v>0.0002961077527</v>
      </c>
      <c r="Q133" s="15">
        <v>349.0</v>
      </c>
      <c r="R133" s="11">
        <f t="shared" si="8"/>
        <v>0.0002896885806</v>
      </c>
      <c r="S133" s="15">
        <v>214.0</v>
      </c>
      <c r="T133" s="11">
        <f t="shared" si="9"/>
        <v>0.0002258928044</v>
      </c>
      <c r="U133" s="15">
        <v>209.0</v>
      </c>
      <c r="V133" s="11">
        <f t="shared" si="10"/>
        <v>0.0002105676764</v>
      </c>
      <c r="W133" s="15">
        <v>200.0</v>
      </c>
      <c r="X133" s="11">
        <f t="shared" si="11"/>
        <v>0.0003399585591</v>
      </c>
      <c r="Y133" s="15">
        <v>183.0</v>
      </c>
      <c r="Z133" s="11">
        <f t="shared" si="12"/>
        <v>0.0003012638264</v>
      </c>
      <c r="AA133" s="19">
        <v>315.0</v>
      </c>
      <c r="AB133" s="15">
        <v>245.0</v>
      </c>
      <c r="AC133" s="15">
        <v>239.0</v>
      </c>
      <c r="AD133" s="15">
        <v>167.0</v>
      </c>
    </row>
    <row r="134" ht="15.75" customHeight="1">
      <c r="A134" s="6">
        <v>97.0</v>
      </c>
      <c r="C134" s="6" t="s">
        <v>78</v>
      </c>
      <c r="D134" s="6" t="s">
        <v>33</v>
      </c>
      <c r="E134" s="6" t="s">
        <v>56</v>
      </c>
      <c r="F134" s="4" t="s">
        <v>185</v>
      </c>
      <c r="G134" s="19"/>
      <c r="H134" s="11">
        <f t="shared" si="3"/>
        <v>0.002506160304</v>
      </c>
      <c r="I134" s="15"/>
      <c r="J134" s="11">
        <f t="shared" si="4"/>
        <v>0.002467076426</v>
      </c>
      <c r="K134" s="15">
        <f t="shared" ref="K134:L134" si="139">AVERAGE(O134,Q134,W134,Y134)</f>
        <v>2248</v>
      </c>
      <c r="L134" s="20">
        <f t="shared" si="139"/>
        <v>0.002535473213</v>
      </c>
      <c r="M134" s="19">
        <v>1356.0</v>
      </c>
      <c r="N134" s="11">
        <f t="shared" si="6"/>
        <v>0.002302414309</v>
      </c>
      <c r="O134" s="15">
        <v>2918.0</v>
      </c>
      <c r="P134" s="11">
        <f t="shared" si="7"/>
        <v>0.002475766253</v>
      </c>
      <c r="Q134" s="15">
        <v>2946.0</v>
      </c>
      <c r="R134" s="11">
        <f t="shared" si="8"/>
        <v>0.002445336844</v>
      </c>
      <c r="S134" s="15">
        <v>2449.0</v>
      </c>
      <c r="T134" s="11">
        <f t="shared" si="9"/>
        <v>0.002585100364</v>
      </c>
      <c r="U134" s="15">
        <v>2495.0</v>
      </c>
      <c r="V134" s="11">
        <f t="shared" si="10"/>
        <v>0.002513714605</v>
      </c>
      <c r="W134" s="15">
        <v>1332.0</v>
      </c>
      <c r="X134" s="11">
        <f t="shared" si="11"/>
        <v>0.002264124003</v>
      </c>
      <c r="Y134" s="15">
        <v>1796.0</v>
      </c>
      <c r="Z134" s="11">
        <f t="shared" si="12"/>
        <v>0.00295666575</v>
      </c>
      <c r="AA134" s="19">
        <v>2771.0</v>
      </c>
      <c r="AB134" s="15">
        <v>1878.0</v>
      </c>
      <c r="AC134" s="15">
        <v>2251.0</v>
      </c>
      <c r="AD134" s="15">
        <v>1460.0</v>
      </c>
    </row>
    <row r="135" ht="15.75" customHeight="1">
      <c r="A135" s="6">
        <v>149.0</v>
      </c>
      <c r="C135" s="6" t="s">
        <v>75</v>
      </c>
      <c r="D135" s="6" t="s">
        <v>34</v>
      </c>
      <c r="E135" s="6" t="s">
        <v>56</v>
      </c>
      <c r="F135" s="4" t="s">
        <v>238</v>
      </c>
      <c r="G135" s="19"/>
      <c r="H135" s="11">
        <f t="shared" si="3"/>
        <v>0.0005375572323</v>
      </c>
      <c r="I135" s="15"/>
      <c r="J135" s="11">
        <f t="shared" si="4"/>
        <v>0.0005511454921</v>
      </c>
      <c r="K135" s="15">
        <f t="shared" ref="K135:L135" si="140">AVERAGE(O135,Q135,W135,Y135)</f>
        <v>480.5</v>
      </c>
      <c r="L135" s="20">
        <f t="shared" si="140"/>
        <v>0.0005273660374</v>
      </c>
      <c r="M135" s="19">
        <v>403.0</v>
      </c>
      <c r="N135" s="11">
        <f t="shared" si="6"/>
        <v>0.0006842720992</v>
      </c>
      <c r="O135" s="15">
        <v>659.0</v>
      </c>
      <c r="P135" s="11">
        <f t="shared" si="7"/>
        <v>0.0005591261003</v>
      </c>
      <c r="Q135" s="15">
        <v>667.0</v>
      </c>
      <c r="R135" s="11">
        <f t="shared" si="8"/>
        <v>0.0005536455108</v>
      </c>
      <c r="S135" s="15">
        <v>460.0</v>
      </c>
      <c r="T135" s="11">
        <f t="shared" si="9"/>
        <v>0.000485563972</v>
      </c>
      <c r="U135" s="15">
        <v>480.0</v>
      </c>
      <c r="V135" s="11">
        <f t="shared" si="10"/>
        <v>0.000483600405</v>
      </c>
      <c r="W135" s="15">
        <v>290.0</v>
      </c>
      <c r="X135" s="11">
        <f t="shared" si="11"/>
        <v>0.0004929399106</v>
      </c>
      <c r="Y135" s="15">
        <v>306.0</v>
      </c>
      <c r="Z135" s="11">
        <f t="shared" si="12"/>
        <v>0.0005037526278</v>
      </c>
      <c r="AA135" s="19">
        <v>652.0</v>
      </c>
      <c r="AB135" s="15">
        <v>445.0</v>
      </c>
      <c r="AC135" s="15">
        <v>517.0</v>
      </c>
      <c r="AD135" s="15">
        <v>348.0</v>
      </c>
    </row>
    <row r="136" ht="15.75" customHeight="1">
      <c r="A136" s="6">
        <v>159.0</v>
      </c>
      <c r="C136" s="6" t="s">
        <v>75</v>
      </c>
      <c r="D136" s="6" t="s">
        <v>34</v>
      </c>
      <c r="E136" s="6" t="s">
        <v>54</v>
      </c>
      <c r="F136" s="4" t="s">
        <v>249</v>
      </c>
      <c r="G136" s="19"/>
      <c r="H136" s="11">
        <f t="shared" si="3"/>
        <v>0.0001318014271</v>
      </c>
      <c r="I136" s="15"/>
      <c r="J136" s="11">
        <f t="shared" si="4"/>
        <v>0.0001296668266</v>
      </c>
      <c r="K136" s="15">
        <f t="shared" ref="K136:L136" si="141">AVERAGE(O136,Q136,W136,Y136)</f>
        <v>133.75</v>
      </c>
      <c r="L136" s="20">
        <f t="shared" si="141"/>
        <v>0.0001334023774</v>
      </c>
      <c r="M136" s="19">
        <v>115.0</v>
      </c>
      <c r="N136" s="11">
        <f t="shared" si="6"/>
        <v>0.0001952637504</v>
      </c>
      <c r="O136" s="15">
        <v>214.0</v>
      </c>
      <c r="P136" s="11">
        <f t="shared" si="7"/>
        <v>0.0001815675045</v>
      </c>
      <c r="Q136" s="15">
        <v>220.0</v>
      </c>
      <c r="R136" s="11">
        <f t="shared" si="8"/>
        <v>0.0001826117127</v>
      </c>
      <c r="S136" s="15">
        <v>90.0</v>
      </c>
      <c r="T136" s="11">
        <f t="shared" si="9"/>
        <v>0.0000950016467</v>
      </c>
      <c r="U136" s="15">
        <v>98.0</v>
      </c>
      <c r="V136" s="11">
        <f t="shared" si="10"/>
        <v>0.00009873508269</v>
      </c>
      <c r="W136" s="15">
        <v>59.0</v>
      </c>
      <c r="X136" s="11">
        <f t="shared" si="11"/>
        <v>0.0001002877749</v>
      </c>
      <c r="Y136" s="15">
        <v>42.0</v>
      </c>
      <c r="Z136" s="11">
        <f t="shared" si="12"/>
        <v>0.00006914251754</v>
      </c>
      <c r="AA136" s="19">
        <v>215.0</v>
      </c>
      <c r="AB136" s="15">
        <v>147.0</v>
      </c>
      <c r="AC136" s="15">
        <v>177.0</v>
      </c>
      <c r="AD136" s="15">
        <v>123.0</v>
      </c>
    </row>
    <row r="137" ht="15.75" customHeight="1">
      <c r="A137" s="6">
        <v>94.0</v>
      </c>
      <c r="C137" s="6" t="s">
        <v>78</v>
      </c>
      <c r="D137" s="6" t="s">
        <v>33</v>
      </c>
      <c r="E137" s="6" t="s">
        <v>61</v>
      </c>
      <c r="F137" s="4" t="s">
        <v>183</v>
      </c>
      <c r="G137" s="19"/>
      <c r="H137" s="11">
        <f t="shared" si="3"/>
        <v>0.002753591972</v>
      </c>
      <c r="I137" s="15"/>
      <c r="J137" s="11">
        <f t="shared" si="4"/>
        <v>0.00306946945</v>
      </c>
      <c r="K137" s="15">
        <f t="shared" ref="K137:L137" si="142">AVERAGE(O137,Q137,W137,Y137)</f>
        <v>2262.5</v>
      </c>
      <c r="L137" s="20">
        <f t="shared" si="142"/>
        <v>0.002516683864</v>
      </c>
      <c r="M137" s="19">
        <v>1449.0</v>
      </c>
      <c r="N137" s="11">
        <f t="shared" si="6"/>
        <v>0.002460323255</v>
      </c>
      <c r="O137" s="15">
        <v>3014.0</v>
      </c>
      <c r="P137" s="11">
        <f t="shared" si="7"/>
        <v>0.002557217096</v>
      </c>
      <c r="Q137" s="15">
        <v>3059.0</v>
      </c>
      <c r="R137" s="11">
        <f t="shared" si="8"/>
        <v>0.00253913286</v>
      </c>
      <c r="S137" s="15">
        <v>3350.0</v>
      </c>
      <c r="T137" s="11">
        <f t="shared" si="9"/>
        <v>0.003536172405</v>
      </c>
      <c r="U137" s="15">
        <v>3188.0</v>
      </c>
      <c r="V137" s="11">
        <f t="shared" si="10"/>
        <v>0.00321191269</v>
      </c>
      <c r="W137" s="15">
        <v>1298.0</v>
      </c>
      <c r="X137" s="11">
        <f t="shared" si="11"/>
        <v>0.002206331048</v>
      </c>
      <c r="Y137" s="15">
        <v>1679.0</v>
      </c>
      <c r="Z137" s="11">
        <f t="shared" si="12"/>
        <v>0.002764054451</v>
      </c>
      <c r="AA137" s="19">
        <v>2875.0</v>
      </c>
      <c r="AB137" s="15">
        <v>1961.0</v>
      </c>
      <c r="AC137" s="15">
        <v>2318.0</v>
      </c>
      <c r="AD137" s="15">
        <v>1638.0</v>
      </c>
    </row>
    <row r="138" ht="15.75" customHeight="1">
      <c r="A138" s="6">
        <v>135.0</v>
      </c>
      <c r="C138" s="6" t="s">
        <v>75</v>
      </c>
      <c r="D138" s="6" t="s">
        <v>34</v>
      </c>
      <c r="E138" s="6" t="s">
        <v>60</v>
      </c>
      <c r="F138" s="4" t="s">
        <v>223</v>
      </c>
      <c r="G138" s="19"/>
      <c r="H138" s="11">
        <f t="shared" si="3"/>
        <v>0.001056596491</v>
      </c>
      <c r="I138" s="15"/>
      <c r="J138" s="11">
        <f t="shared" si="4"/>
        <v>0.001196037361</v>
      </c>
      <c r="K138" s="15">
        <f t="shared" ref="K138:L138" si="143">AVERAGE(O138,Q138,W138,Y138)</f>
        <v>867</v>
      </c>
      <c r="L138" s="20">
        <f t="shared" si="143"/>
        <v>0.0009520158375</v>
      </c>
      <c r="M138" s="19">
        <v>618.0</v>
      </c>
      <c r="N138" s="11">
        <f t="shared" si="6"/>
        <v>0.001049330415</v>
      </c>
      <c r="O138" s="15">
        <v>1189.0</v>
      </c>
      <c r="P138" s="11">
        <f t="shared" si="7"/>
        <v>0.00100880263</v>
      </c>
      <c r="Q138" s="15">
        <v>1203.0</v>
      </c>
      <c r="R138" s="11">
        <f t="shared" si="8"/>
        <v>0.0009985540473</v>
      </c>
      <c r="S138" s="15">
        <v>1234.0</v>
      </c>
      <c r="T138" s="11">
        <f t="shared" si="9"/>
        <v>0.001302578134</v>
      </c>
      <c r="U138" s="15">
        <v>1227.0</v>
      </c>
      <c r="V138" s="11">
        <f t="shared" si="10"/>
        <v>0.001236203535</v>
      </c>
      <c r="W138" s="15">
        <v>548.0</v>
      </c>
      <c r="X138" s="11">
        <f t="shared" si="11"/>
        <v>0.0009314864518</v>
      </c>
      <c r="Y138" s="15">
        <v>528.0</v>
      </c>
      <c r="Z138" s="11">
        <f t="shared" si="12"/>
        <v>0.0008692202206</v>
      </c>
      <c r="AA138" s="19">
        <v>1164.0</v>
      </c>
      <c r="AB138" s="15">
        <v>800.0</v>
      </c>
      <c r="AC138" s="15">
        <v>925.0</v>
      </c>
      <c r="AD138" s="15">
        <v>615.0</v>
      </c>
    </row>
    <row r="139" ht="15.75" customHeight="1">
      <c r="A139" s="6">
        <v>124.0</v>
      </c>
      <c r="C139" s="6" t="s">
        <v>78</v>
      </c>
      <c r="D139" s="6" t="s">
        <v>33</v>
      </c>
      <c r="E139" s="6" t="s">
        <v>60</v>
      </c>
      <c r="F139" s="4" t="s">
        <v>219</v>
      </c>
      <c r="G139" s="19"/>
      <c r="H139" s="11">
        <f t="shared" si="3"/>
        <v>0.001236844164</v>
      </c>
      <c r="I139" s="15"/>
      <c r="J139" s="11">
        <f t="shared" si="4"/>
        <v>0.001226585361</v>
      </c>
      <c r="K139" s="15">
        <f t="shared" ref="K139:L139" si="144">AVERAGE(O139,Q139,W139,Y139)</f>
        <v>1104.25</v>
      </c>
      <c r="L139" s="20">
        <f t="shared" si="144"/>
        <v>0.001244538266</v>
      </c>
      <c r="M139" s="19">
        <v>749.0</v>
      </c>
      <c r="N139" s="11">
        <f t="shared" si="6"/>
        <v>0.001271761296</v>
      </c>
      <c r="O139" s="15">
        <v>1436.0</v>
      </c>
      <c r="P139" s="11">
        <f t="shared" si="7"/>
        <v>0.001218368862</v>
      </c>
      <c r="Q139" s="15">
        <v>1464.0</v>
      </c>
      <c r="R139" s="11">
        <f t="shared" si="8"/>
        <v>0.001215197943</v>
      </c>
      <c r="S139" s="15">
        <v>1196.0</v>
      </c>
      <c r="T139" s="11">
        <f t="shared" si="9"/>
        <v>0.001262466327</v>
      </c>
      <c r="U139" s="15">
        <v>1137.0</v>
      </c>
      <c r="V139" s="11">
        <f t="shared" si="10"/>
        <v>0.001145528459</v>
      </c>
      <c r="W139" s="15">
        <v>882.0</v>
      </c>
      <c r="X139" s="11">
        <f t="shared" si="11"/>
        <v>0.001499217245</v>
      </c>
      <c r="Y139" s="15">
        <v>635.0</v>
      </c>
      <c r="Z139" s="11">
        <f t="shared" si="12"/>
        <v>0.001045369015</v>
      </c>
      <c r="AA139" s="19">
        <v>1385.0</v>
      </c>
      <c r="AB139" s="15">
        <v>923.0</v>
      </c>
      <c r="AC139" s="15">
        <v>1028.0</v>
      </c>
      <c r="AD139" s="15">
        <v>666.0</v>
      </c>
    </row>
    <row r="140" ht="15.75" customHeight="1">
      <c r="A140" s="6">
        <v>138.0</v>
      </c>
      <c r="C140" s="6" t="s">
        <v>78</v>
      </c>
      <c r="D140" s="6" t="s">
        <v>34</v>
      </c>
      <c r="E140" s="6" t="s">
        <v>52</v>
      </c>
      <c r="F140" s="4" t="s">
        <v>231</v>
      </c>
      <c r="G140" s="19"/>
      <c r="H140" s="11">
        <f t="shared" si="3"/>
        <v>0.0008586925342</v>
      </c>
      <c r="I140" s="15"/>
      <c r="J140" s="11">
        <f t="shared" si="4"/>
        <v>0.0008125739558</v>
      </c>
      <c r="K140" s="15">
        <f t="shared" ref="K140:L140" si="145">AVERAGE(O140,Q140,W140,Y140)</f>
        <v>796.25</v>
      </c>
      <c r="L140" s="20">
        <f t="shared" si="145"/>
        <v>0.0008932814679</v>
      </c>
      <c r="M140" s="19">
        <v>597.0</v>
      </c>
      <c r="N140" s="11">
        <f t="shared" si="6"/>
        <v>0.001013673556</v>
      </c>
      <c r="O140" s="15">
        <v>1049.0</v>
      </c>
      <c r="P140" s="11">
        <f t="shared" si="7"/>
        <v>0.0008900201506</v>
      </c>
      <c r="Q140" s="15">
        <v>1058.0</v>
      </c>
      <c r="R140" s="11">
        <f t="shared" si="8"/>
        <v>0.0008781963275</v>
      </c>
      <c r="S140" s="15">
        <v>680.0</v>
      </c>
      <c r="T140" s="11">
        <f t="shared" si="9"/>
        <v>0.0007177902195</v>
      </c>
      <c r="U140" s="15">
        <v>701.0</v>
      </c>
      <c r="V140" s="11">
        <f t="shared" si="10"/>
        <v>0.0007062580915</v>
      </c>
      <c r="W140" s="15">
        <v>565.0</v>
      </c>
      <c r="X140" s="11">
        <f t="shared" si="11"/>
        <v>0.0009603829293</v>
      </c>
      <c r="Y140" s="15">
        <v>513.0</v>
      </c>
      <c r="Z140" s="11">
        <f t="shared" si="12"/>
        <v>0.0008445264643</v>
      </c>
      <c r="AA140" s="19">
        <v>1004.0</v>
      </c>
      <c r="AB140" s="15">
        <v>675.0</v>
      </c>
      <c r="AC140" s="15">
        <v>785.0</v>
      </c>
      <c r="AD140" s="15">
        <v>500.0</v>
      </c>
    </row>
    <row r="141" ht="15.75" customHeight="1">
      <c r="A141" s="6">
        <v>54.0</v>
      </c>
      <c r="B141" s="6">
        <v>17.0</v>
      </c>
      <c r="C141" s="6" t="s">
        <v>78</v>
      </c>
      <c r="D141" s="6" t="s">
        <v>33</v>
      </c>
      <c r="E141" s="6" t="s">
        <v>62</v>
      </c>
      <c r="F141" s="4" t="s">
        <v>152</v>
      </c>
      <c r="G141" s="19"/>
      <c r="H141" s="11">
        <f t="shared" si="3"/>
        <v>0.004485506717</v>
      </c>
      <c r="I141" s="15"/>
      <c r="J141" s="11">
        <f t="shared" si="4"/>
        <v>0.004321872518</v>
      </c>
      <c r="K141" s="15">
        <f t="shared" ref="K141:L141" si="146">AVERAGE(O141,Q141,W141,Y141)</f>
        <v>4325.25</v>
      </c>
      <c r="L141" s="20">
        <f t="shared" si="146"/>
        <v>0.004608232367</v>
      </c>
      <c r="M141" s="19">
        <v>3388.0</v>
      </c>
      <c r="N141" s="11">
        <f t="shared" si="6"/>
        <v>0.005752639881</v>
      </c>
      <c r="O141" s="15">
        <v>6267.0</v>
      </c>
      <c r="P141" s="11">
        <f t="shared" si="7"/>
        <v>0.005317212854</v>
      </c>
      <c r="Q141" s="15">
        <v>6347.0</v>
      </c>
      <c r="R141" s="11">
        <f t="shared" si="8"/>
        <v>0.005268347912</v>
      </c>
      <c r="S141" s="15">
        <v>3380.0</v>
      </c>
      <c r="T141" s="11">
        <f t="shared" si="9"/>
        <v>0.00356783962</v>
      </c>
      <c r="U141" s="15">
        <v>3618.0</v>
      </c>
      <c r="V141" s="11">
        <f t="shared" si="10"/>
        <v>0.003645138053</v>
      </c>
      <c r="W141" s="15">
        <v>2454.0</v>
      </c>
      <c r="X141" s="11">
        <f t="shared" si="11"/>
        <v>0.00417129152</v>
      </c>
      <c r="Y141" s="15">
        <v>2233.0</v>
      </c>
      <c r="Z141" s="11">
        <f t="shared" si="12"/>
        <v>0.003676077183</v>
      </c>
      <c r="AA141" s="19">
        <v>6000.0</v>
      </c>
      <c r="AB141" s="15">
        <v>4033.0</v>
      </c>
      <c r="AC141" s="15">
        <v>5187.0</v>
      </c>
      <c r="AD141" s="15">
        <v>3786.0</v>
      </c>
    </row>
    <row r="142" ht="15.75" customHeight="1">
      <c r="A142" s="6">
        <v>59.0</v>
      </c>
      <c r="C142" s="6" t="s">
        <v>78</v>
      </c>
      <c r="D142" s="6" t="s">
        <v>33</v>
      </c>
      <c r="E142" s="6" t="s">
        <v>52</v>
      </c>
      <c r="F142" s="4" t="s">
        <v>149</v>
      </c>
      <c r="G142" s="19"/>
      <c r="H142" s="11">
        <f t="shared" si="3"/>
        <v>0.004693597862</v>
      </c>
      <c r="I142" s="15"/>
      <c r="J142" s="11">
        <f t="shared" si="4"/>
        <v>0.004902614149</v>
      </c>
      <c r="K142" s="15">
        <f t="shared" ref="K142:L142" si="147">AVERAGE(O142,Q142,W142,Y142)</f>
        <v>3980</v>
      </c>
      <c r="L142" s="20">
        <f t="shared" si="147"/>
        <v>0.004536835646</v>
      </c>
      <c r="M142" s="19">
        <v>2512.0</v>
      </c>
      <c r="N142" s="11">
        <f t="shared" si="6"/>
        <v>0.004265239487</v>
      </c>
      <c r="O142" s="15">
        <v>5066.0</v>
      </c>
      <c r="P142" s="11">
        <f t="shared" si="7"/>
        <v>0.004298228868</v>
      </c>
      <c r="Q142" s="15">
        <v>5093.0</v>
      </c>
      <c r="R142" s="11">
        <f t="shared" si="8"/>
        <v>0.004227461149</v>
      </c>
      <c r="S142" s="15">
        <v>4964.0</v>
      </c>
      <c r="T142" s="11">
        <f t="shared" si="9"/>
        <v>0.005239868602</v>
      </c>
      <c r="U142" s="15">
        <v>5164.0</v>
      </c>
      <c r="V142" s="11">
        <f t="shared" si="10"/>
        <v>0.005202734357</v>
      </c>
      <c r="W142" s="15">
        <v>2570.0</v>
      </c>
      <c r="X142" s="11">
        <f t="shared" si="11"/>
        <v>0.004368467484</v>
      </c>
      <c r="Y142" s="15">
        <v>3191.0</v>
      </c>
      <c r="Z142" s="11">
        <f t="shared" si="12"/>
        <v>0.005253185083</v>
      </c>
      <c r="AA142" s="19">
        <v>4839.0</v>
      </c>
      <c r="AB142" s="15">
        <v>3308.0</v>
      </c>
      <c r="AC142" s="15">
        <v>4156.0</v>
      </c>
      <c r="AD142" s="15">
        <v>3021.0</v>
      </c>
    </row>
    <row r="143" ht="15.75" customHeight="1">
      <c r="A143" s="6">
        <v>80.0</v>
      </c>
      <c r="C143" s="6" t="s">
        <v>78</v>
      </c>
      <c r="D143" s="6" t="s">
        <v>33</v>
      </c>
      <c r="E143" s="6" t="s">
        <v>61</v>
      </c>
      <c r="F143" s="4" t="s">
        <v>170</v>
      </c>
      <c r="G143" s="19"/>
      <c r="H143" s="11">
        <f t="shared" si="3"/>
        <v>0.003348813318</v>
      </c>
      <c r="I143" s="15"/>
      <c r="J143" s="11">
        <f t="shared" si="4"/>
        <v>0.003767604741</v>
      </c>
      <c r="K143" s="15">
        <f t="shared" ref="K143:L143" si="148">AVERAGE(O143,Q143,W143,Y143)</f>
        <v>2669.5</v>
      </c>
      <c r="L143" s="20">
        <f t="shared" si="148"/>
        <v>0.003034719751</v>
      </c>
      <c r="M143" s="19">
        <v>1701.0</v>
      </c>
      <c r="N143" s="11">
        <f t="shared" si="6"/>
        <v>0.00288820556</v>
      </c>
      <c r="O143" s="15">
        <v>3404.0</v>
      </c>
      <c r="P143" s="11">
        <f t="shared" si="7"/>
        <v>0.002888111146</v>
      </c>
      <c r="Q143" s="15">
        <v>3442.0</v>
      </c>
      <c r="R143" s="11">
        <f t="shared" si="8"/>
        <v>0.002857043251</v>
      </c>
      <c r="S143" s="15">
        <v>4065.0</v>
      </c>
      <c r="T143" s="11">
        <f t="shared" si="9"/>
        <v>0.004290907709</v>
      </c>
      <c r="U143" s="15">
        <v>4093.0</v>
      </c>
      <c r="V143" s="11">
        <f t="shared" si="10"/>
        <v>0.004123700954</v>
      </c>
      <c r="W143" s="15">
        <v>1593.0</v>
      </c>
      <c r="X143" s="11">
        <f t="shared" si="11"/>
        <v>0.002707769923</v>
      </c>
      <c r="Y143" s="15">
        <v>2239.0</v>
      </c>
      <c r="Z143" s="11">
        <f t="shared" si="12"/>
        <v>0.003685954685</v>
      </c>
      <c r="AA143" s="19">
        <v>3243.0</v>
      </c>
      <c r="AB143" s="15">
        <v>2218.0</v>
      </c>
      <c r="AC143" s="15">
        <v>2865.0</v>
      </c>
      <c r="AD143" s="15">
        <v>2084.0</v>
      </c>
    </row>
    <row r="144" ht="15.75" customHeight="1">
      <c r="A144" s="6">
        <v>85.0</v>
      </c>
      <c r="C144" s="6" t="s">
        <v>76</v>
      </c>
      <c r="D144" s="6" t="s">
        <v>33</v>
      </c>
      <c r="E144" s="6" t="s">
        <v>53</v>
      </c>
      <c r="F144" s="4" t="s">
        <v>175</v>
      </c>
      <c r="G144" s="19"/>
      <c r="H144" s="11">
        <f t="shared" si="3"/>
        <v>0.003106155639</v>
      </c>
      <c r="I144" s="15"/>
      <c r="J144" s="11">
        <f t="shared" si="4"/>
        <v>0.003641305767</v>
      </c>
      <c r="K144" s="15">
        <f t="shared" ref="K144:L144" si="149">AVERAGE(O144,Q144,W144,Y144)</f>
        <v>2460.75</v>
      </c>
      <c r="L144" s="20">
        <f t="shared" si="149"/>
        <v>0.002704793043</v>
      </c>
      <c r="M144" s="19">
        <v>2368.0</v>
      </c>
      <c r="N144" s="11">
        <f t="shared" si="6"/>
        <v>0.004020735312</v>
      </c>
      <c r="O144" s="15">
        <v>3343.0</v>
      </c>
      <c r="P144" s="11">
        <f t="shared" si="7"/>
        <v>0.002836355923</v>
      </c>
      <c r="Q144" s="15">
        <v>3427.0</v>
      </c>
      <c r="R144" s="11">
        <f t="shared" si="8"/>
        <v>0.002844592452</v>
      </c>
      <c r="S144" s="15">
        <v>3244.0</v>
      </c>
      <c r="T144" s="11">
        <f t="shared" si="9"/>
        <v>0.003424281576</v>
      </c>
      <c r="U144" s="15">
        <v>3453.0</v>
      </c>
      <c r="V144" s="11">
        <f t="shared" si="10"/>
        <v>0.003478900414</v>
      </c>
      <c r="W144" s="15">
        <v>1481.0</v>
      </c>
      <c r="X144" s="11">
        <f t="shared" si="11"/>
        <v>0.00251739313</v>
      </c>
      <c r="Y144" s="15">
        <v>1592.0</v>
      </c>
      <c r="Z144" s="11">
        <f t="shared" si="12"/>
        <v>0.002620830665</v>
      </c>
      <c r="AA144" s="19">
        <v>3337.0</v>
      </c>
      <c r="AB144" s="15">
        <v>2202.0</v>
      </c>
      <c r="AC144" s="15">
        <v>2919.0</v>
      </c>
      <c r="AD144" s="15">
        <v>2217.0</v>
      </c>
    </row>
    <row r="145" ht="15.75" customHeight="1">
      <c r="A145" s="6">
        <v>141.0</v>
      </c>
      <c r="C145" s="6" t="s">
        <v>75</v>
      </c>
      <c r="D145" s="6" t="s">
        <v>34</v>
      </c>
      <c r="E145" s="6" t="s">
        <v>60</v>
      </c>
      <c r="F145" s="4" t="s">
        <v>230</v>
      </c>
      <c r="G145" s="19"/>
      <c r="H145" s="11">
        <f t="shared" si="3"/>
        <v>0.0008770768173</v>
      </c>
      <c r="I145" s="15"/>
      <c r="J145" s="11">
        <f t="shared" si="4"/>
        <v>0.0009910229233</v>
      </c>
      <c r="K145" s="15">
        <f t="shared" ref="K145:L145" si="150">AVERAGE(O145,Q145,W145,Y145)</f>
        <v>738.25</v>
      </c>
      <c r="L145" s="20">
        <f t="shared" si="150"/>
        <v>0.0007916172379</v>
      </c>
      <c r="M145" s="19">
        <v>479.0</v>
      </c>
      <c r="N145" s="11">
        <f t="shared" si="6"/>
        <v>0.000813315969</v>
      </c>
      <c r="O145" s="15">
        <v>1055.0</v>
      </c>
      <c r="P145" s="11">
        <f t="shared" si="7"/>
        <v>0.0008951108283</v>
      </c>
      <c r="Q145" s="15">
        <v>1072.0</v>
      </c>
      <c r="R145" s="11">
        <f t="shared" si="8"/>
        <v>0.0008898170729</v>
      </c>
      <c r="S145" s="15">
        <v>1062.0</v>
      </c>
      <c r="T145" s="11">
        <f t="shared" si="9"/>
        <v>0.001121019431</v>
      </c>
      <c r="U145" s="15">
        <v>1031.0</v>
      </c>
      <c r="V145" s="11">
        <f t="shared" si="10"/>
        <v>0.00103873337</v>
      </c>
      <c r="W145" s="15">
        <v>406.0</v>
      </c>
      <c r="X145" s="11">
        <f t="shared" si="11"/>
        <v>0.0006901158749</v>
      </c>
      <c r="Y145" s="15">
        <v>420.0</v>
      </c>
      <c r="Z145" s="11">
        <f t="shared" si="12"/>
        <v>0.0006914251754</v>
      </c>
      <c r="AA145" s="19">
        <v>1021.0</v>
      </c>
      <c r="AB145" s="15">
        <v>682.0</v>
      </c>
      <c r="AC145" s="15">
        <v>878.0</v>
      </c>
      <c r="AD145" s="15">
        <v>580.0</v>
      </c>
    </row>
    <row r="146" ht="15.75" customHeight="1">
      <c r="A146" s="6">
        <v>38.0</v>
      </c>
      <c r="B146" s="6">
        <v>12.0</v>
      </c>
      <c r="C146" s="6" t="s">
        <v>75</v>
      </c>
      <c r="D146" s="6" t="s">
        <v>32</v>
      </c>
      <c r="E146" s="6" t="s">
        <v>53</v>
      </c>
      <c r="F146" s="4" t="s">
        <v>127</v>
      </c>
      <c r="G146" s="19"/>
      <c r="H146" s="11">
        <f t="shared" si="3"/>
        <v>0.007539357824</v>
      </c>
      <c r="I146" s="15"/>
      <c r="J146" s="11">
        <f t="shared" si="4"/>
        <v>0.008610074782</v>
      </c>
      <c r="K146" s="15">
        <f t="shared" ref="K146:L146" si="151">AVERAGE(O146,Q146,W146,Y146)</f>
        <v>5981.75</v>
      </c>
      <c r="L146" s="20">
        <f t="shared" si="151"/>
        <v>0.006736320105</v>
      </c>
      <c r="M146" s="19">
        <v>4458.0</v>
      </c>
      <c r="N146" s="11">
        <f t="shared" si="6"/>
        <v>0.007569441732</v>
      </c>
      <c r="O146" s="15">
        <v>7776.0</v>
      </c>
      <c r="P146" s="11">
        <f t="shared" si="7"/>
        <v>0.006597518295</v>
      </c>
      <c r="Q146" s="15">
        <v>7902.0</v>
      </c>
      <c r="R146" s="11">
        <f t="shared" si="8"/>
        <v>0.006559080699</v>
      </c>
      <c r="S146" s="15">
        <v>8652.0</v>
      </c>
      <c r="T146" s="11">
        <f t="shared" si="9"/>
        <v>0.009132824969</v>
      </c>
      <c r="U146" s="15">
        <v>9060.0</v>
      </c>
      <c r="V146" s="11">
        <f t="shared" si="10"/>
        <v>0.009127957645</v>
      </c>
      <c r="W146" s="15">
        <v>3899.0</v>
      </c>
      <c r="X146" s="11">
        <f t="shared" si="11"/>
        <v>0.006627492109</v>
      </c>
      <c r="Y146" s="15">
        <v>4350.0</v>
      </c>
      <c r="Z146" s="11">
        <f t="shared" si="12"/>
        <v>0.007161189317</v>
      </c>
      <c r="AA146" s="19">
        <v>7465.0</v>
      </c>
      <c r="AB146" s="15">
        <v>5032.0</v>
      </c>
      <c r="AC146" s="15">
        <v>6733.0</v>
      </c>
      <c r="AD146" s="15">
        <v>5374.0</v>
      </c>
    </row>
    <row r="147" ht="15.75" customHeight="1">
      <c r="A147" s="6">
        <v>132.0</v>
      </c>
      <c r="C147" s="6" t="s">
        <v>78</v>
      </c>
      <c r="D147" s="6" t="s">
        <v>34</v>
      </c>
      <c r="E147" s="6" t="s">
        <v>52</v>
      </c>
      <c r="F147" s="4" t="s">
        <v>222</v>
      </c>
      <c r="G147" s="19"/>
      <c r="H147" s="11">
        <f t="shared" si="3"/>
        <v>0.001130395372</v>
      </c>
      <c r="I147" s="15"/>
      <c r="J147" s="11">
        <f t="shared" si="4"/>
        <v>0.001199248491</v>
      </c>
      <c r="K147" s="15">
        <f t="shared" ref="K147:L147" si="152">AVERAGE(O147,Q147,W147,Y147)</f>
        <v>940</v>
      </c>
      <c r="L147" s="20">
        <f t="shared" si="152"/>
        <v>0.001078755532</v>
      </c>
      <c r="M147" s="19">
        <v>705.0</v>
      </c>
      <c r="N147" s="11">
        <f t="shared" si="6"/>
        <v>0.001197051687</v>
      </c>
      <c r="O147" s="15">
        <v>1173.0</v>
      </c>
      <c r="P147" s="11">
        <f t="shared" si="7"/>
        <v>0.0009952274897</v>
      </c>
      <c r="Q147" s="15">
        <v>1191.0</v>
      </c>
      <c r="R147" s="11">
        <f t="shared" si="8"/>
        <v>0.0009885934084</v>
      </c>
      <c r="S147" s="15">
        <v>1107.0</v>
      </c>
      <c r="T147" s="11">
        <f t="shared" si="9"/>
        <v>0.001168520254</v>
      </c>
      <c r="U147" s="15">
        <v>1223.0</v>
      </c>
      <c r="V147" s="11">
        <f t="shared" si="10"/>
        <v>0.001232173532</v>
      </c>
      <c r="W147" s="15">
        <v>617.0</v>
      </c>
      <c r="X147" s="11">
        <f t="shared" si="11"/>
        <v>0.001048772155</v>
      </c>
      <c r="Y147" s="15">
        <v>779.0</v>
      </c>
      <c r="Z147" s="11">
        <f t="shared" si="12"/>
        <v>0.001282429075</v>
      </c>
      <c r="AA147" s="19">
        <v>1131.0</v>
      </c>
      <c r="AB147" s="15">
        <v>757.0</v>
      </c>
      <c r="AC147" s="15">
        <v>938.0</v>
      </c>
      <c r="AD147" s="15">
        <v>608.0</v>
      </c>
    </row>
    <row r="148" ht="15.75" customHeight="1">
      <c r="A148" s="6">
        <v>133.0</v>
      </c>
      <c r="C148" s="6" t="s">
        <v>73</v>
      </c>
      <c r="D148" s="6" t="s">
        <v>34</v>
      </c>
      <c r="E148" s="6" t="s">
        <v>60</v>
      </c>
      <c r="F148" s="4" t="s">
        <v>228</v>
      </c>
      <c r="G148" s="19"/>
      <c r="H148" s="11">
        <f t="shared" si="3"/>
        <v>0.0009057350169</v>
      </c>
      <c r="I148" s="15"/>
      <c r="J148" s="11">
        <f t="shared" si="4"/>
        <v>0.0007354047437</v>
      </c>
      <c r="K148" s="15">
        <f t="shared" ref="K148:L148" si="153">AVERAGE(O148,Q148,W148,Y148)</f>
        <v>912.5</v>
      </c>
      <c r="L148" s="20">
        <f t="shared" si="153"/>
        <v>0.001033482722</v>
      </c>
      <c r="M148" s="19">
        <v>622.0</v>
      </c>
      <c r="N148" s="11">
        <f t="shared" si="6"/>
        <v>0.001056122198</v>
      </c>
      <c r="O148" s="15">
        <v>1175.0</v>
      </c>
      <c r="P148" s="11">
        <f t="shared" si="7"/>
        <v>0.0009969243822</v>
      </c>
      <c r="Q148" s="15">
        <v>1188.0</v>
      </c>
      <c r="R148" s="11">
        <f t="shared" si="8"/>
        <v>0.0009861032487</v>
      </c>
      <c r="S148" s="15">
        <v>556.0</v>
      </c>
      <c r="T148" s="11">
        <f t="shared" si="9"/>
        <v>0.0005868990618</v>
      </c>
      <c r="U148" s="15">
        <v>559.0</v>
      </c>
      <c r="V148" s="11">
        <f t="shared" si="10"/>
        <v>0.0005631929717</v>
      </c>
      <c r="W148" s="15">
        <v>601.0</v>
      </c>
      <c r="X148" s="11">
        <f t="shared" si="11"/>
        <v>0.00102157547</v>
      </c>
      <c r="Y148" s="15">
        <v>686.0</v>
      </c>
      <c r="Z148" s="11">
        <f t="shared" si="12"/>
        <v>0.001129327787</v>
      </c>
      <c r="AA148" s="19">
        <v>1145.0</v>
      </c>
      <c r="AB148" s="15">
        <v>765.0</v>
      </c>
      <c r="AC148" s="15">
        <v>946.0</v>
      </c>
      <c r="AD148" s="15">
        <v>692.0</v>
      </c>
    </row>
    <row r="149" ht="15.75" customHeight="1">
      <c r="A149" s="6">
        <v>40.0</v>
      </c>
      <c r="B149" s="6">
        <v>11.0</v>
      </c>
      <c r="C149" s="6" t="s">
        <v>76</v>
      </c>
      <c r="D149" s="6" t="s">
        <v>32</v>
      </c>
      <c r="E149" s="6" t="s">
        <v>53</v>
      </c>
      <c r="F149" s="4" t="s">
        <v>132</v>
      </c>
      <c r="G149" s="19"/>
      <c r="H149" s="11">
        <f t="shared" si="3"/>
        <v>0.006557648092</v>
      </c>
      <c r="I149" s="15"/>
      <c r="J149" s="11">
        <f t="shared" si="4"/>
        <v>0.006704622859</v>
      </c>
      <c r="K149" s="15">
        <f t="shared" ref="K149:L149" si="154">AVERAGE(O149,Q149,W149,Y149)</f>
        <v>5775.5</v>
      </c>
      <c r="L149" s="20">
        <f t="shared" si="154"/>
        <v>0.006447417017</v>
      </c>
      <c r="M149" s="19">
        <v>4954.0</v>
      </c>
      <c r="N149" s="11">
        <f t="shared" si="6"/>
        <v>0.008411622778</v>
      </c>
      <c r="O149" s="15">
        <v>7556.0</v>
      </c>
      <c r="P149" s="11">
        <f t="shared" si="7"/>
        <v>0.006410860112</v>
      </c>
      <c r="Q149" s="15">
        <v>7825.0</v>
      </c>
      <c r="R149" s="11">
        <f t="shared" si="8"/>
        <v>0.0064951666</v>
      </c>
      <c r="S149" s="15">
        <v>5242.0</v>
      </c>
      <c r="T149" s="11">
        <f t="shared" si="9"/>
        <v>0.005533318133</v>
      </c>
      <c r="U149" s="15">
        <v>6123.0</v>
      </c>
      <c r="V149" s="11">
        <f t="shared" si="10"/>
        <v>0.006168927666</v>
      </c>
      <c r="W149" s="15">
        <v>3230.0</v>
      </c>
      <c r="X149" s="11">
        <f t="shared" si="11"/>
        <v>0.005490330729</v>
      </c>
      <c r="Y149" s="15">
        <v>4491.0</v>
      </c>
      <c r="Z149" s="11">
        <f t="shared" si="12"/>
        <v>0.007393310626</v>
      </c>
      <c r="AA149" s="19">
        <v>7594.0</v>
      </c>
      <c r="AB149" s="15">
        <v>4908.0</v>
      </c>
      <c r="AC149" s="15">
        <v>6478.0</v>
      </c>
      <c r="AD149" s="15">
        <v>4990.0</v>
      </c>
    </row>
    <row r="150" ht="15.75" customHeight="1">
      <c r="A150" s="6">
        <v>68.0</v>
      </c>
      <c r="C150" s="6" t="s">
        <v>75</v>
      </c>
      <c r="D150" s="6" t="s">
        <v>33</v>
      </c>
      <c r="E150" s="6" t="s">
        <v>53</v>
      </c>
      <c r="F150" s="4" t="s">
        <v>162</v>
      </c>
      <c r="G150" s="19"/>
      <c r="H150" s="11">
        <f t="shared" si="3"/>
        <v>0.004144134637</v>
      </c>
      <c r="I150" s="15"/>
      <c r="J150" s="11">
        <f t="shared" si="4"/>
        <v>0.004407671168</v>
      </c>
      <c r="K150" s="15">
        <f t="shared" ref="K150:L150" si="155">AVERAGE(O150,Q150,W150,Y150)</f>
        <v>3389.75</v>
      </c>
      <c r="L150" s="20">
        <f t="shared" si="155"/>
        <v>0.003946482238</v>
      </c>
      <c r="M150" s="19">
        <v>2423.0</v>
      </c>
      <c r="N150" s="11">
        <f t="shared" si="6"/>
        <v>0.004114122323</v>
      </c>
      <c r="O150" s="15">
        <v>4081.0</v>
      </c>
      <c r="P150" s="11">
        <f t="shared" si="7"/>
        <v>0.00346250928</v>
      </c>
      <c r="Q150" s="15">
        <v>4161.0</v>
      </c>
      <c r="R150" s="11">
        <f t="shared" si="8"/>
        <v>0.00345385153</v>
      </c>
      <c r="S150" s="15">
        <v>4256.0</v>
      </c>
      <c r="T150" s="11">
        <f t="shared" si="9"/>
        <v>0.004492522315</v>
      </c>
      <c r="U150" s="15">
        <v>4582.0</v>
      </c>
      <c r="V150" s="11">
        <f t="shared" si="10"/>
        <v>0.004616368866</v>
      </c>
      <c r="W150" s="15">
        <v>2175.0</v>
      </c>
      <c r="X150" s="11">
        <f t="shared" si="11"/>
        <v>0.00369704933</v>
      </c>
      <c r="Y150" s="15">
        <v>3142.0</v>
      </c>
      <c r="Z150" s="11">
        <f t="shared" si="12"/>
        <v>0.005172518813</v>
      </c>
      <c r="AA150" s="19">
        <v>4021.0</v>
      </c>
      <c r="AB150" s="15">
        <v>2731.0</v>
      </c>
      <c r="AC150" s="15">
        <v>3568.0</v>
      </c>
      <c r="AD150" s="15">
        <v>2488.0</v>
      </c>
    </row>
    <row r="151" ht="15.75" customHeight="1">
      <c r="A151" s="6">
        <v>36.0</v>
      </c>
      <c r="B151" s="6">
        <v>13.0</v>
      </c>
      <c r="C151" s="6" t="s">
        <v>77</v>
      </c>
      <c r="D151" s="6" t="s">
        <v>32</v>
      </c>
      <c r="E151" s="6" t="s">
        <v>55</v>
      </c>
      <c r="F151" s="4" t="s">
        <v>121</v>
      </c>
      <c r="G151" s="19"/>
      <c r="H151" s="11">
        <f t="shared" si="3"/>
        <v>0.008324026729</v>
      </c>
      <c r="I151" s="15"/>
      <c r="J151" s="11">
        <f t="shared" si="4"/>
        <v>0.01027593974</v>
      </c>
      <c r="K151" s="15">
        <f t="shared" ref="K151:L151" si="156">AVERAGE(O151,Q151,W151,Y151)</f>
        <v>6544.5</v>
      </c>
      <c r="L151" s="20">
        <f t="shared" si="156"/>
        <v>0.006860091968</v>
      </c>
      <c r="M151" s="19">
        <v>5627.0</v>
      </c>
      <c r="N151" s="11">
        <f t="shared" si="6"/>
        <v>0.009554340204</v>
      </c>
      <c r="O151" s="15">
        <v>9703.0</v>
      </c>
      <c r="P151" s="11">
        <f t="shared" si="7"/>
        <v>0.008232474281</v>
      </c>
      <c r="Q151" s="15">
        <v>9882.0</v>
      </c>
      <c r="R151" s="11">
        <f t="shared" si="8"/>
        <v>0.008202586114</v>
      </c>
      <c r="S151" s="15">
        <v>10439.0</v>
      </c>
      <c r="T151" s="11">
        <f t="shared" si="9"/>
        <v>0.01101913544</v>
      </c>
      <c r="U151" s="15">
        <v>10178.0</v>
      </c>
      <c r="V151" s="11">
        <f t="shared" si="10"/>
        <v>0.01025434359</v>
      </c>
      <c r="W151" s="15">
        <v>2831.0</v>
      </c>
      <c r="X151" s="11">
        <f t="shared" si="11"/>
        <v>0.004812113403</v>
      </c>
      <c r="Y151" s="15">
        <v>3762.0</v>
      </c>
      <c r="Z151" s="11">
        <f t="shared" si="12"/>
        <v>0.006193194072</v>
      </c>
      <c r="AA151" s="19">
        <v>9509.0</v>
      </c>
      <c r="AB151" s="15">
        <v>6453.0</v>
      </c>
      <c r="AC151" s="15">
        <v>8044.0</v>
      </c>
      <c r="AD151" s="15">
        <v>6048.0</v>
      </c>
    </row>
    <row r="152" ht="15.75" customHeight="1">
      <c r="A152" s="6">
        <v>14.0</v>
      </c>
      <c r="B152" s="6">
        <v>5.0</v>
      </c>
      <c r="C152" s="6" t="s">
        <v>75</v>
      </c>
      <c r="D152" s="6" t="s">
        <v>91</v>
      </c>
      <c r="E152" s="6" t="s">
        <v>53</v>
      </c>
      <c r="F152" s="4" t="s">
        <v>22</v>
      </c>
      <c r="G152" s="19"/>
      <c r="H152" s="11">
        <f t="shared" si="3"/>
        <v>0.0157740548</v>
      </c>
      <c r="I152" s="15"/>
      <c r="J152" s="11">
        <f t="shared" si="4"/>
        <v>0.0163773735</v>
      </c>
      <c r="K152" s="15">
        <f t="shared" ref="K152:L152" si="157">AVERAGE(O152,Q152,W152,Y152)</f>
        <v>13758.25</v>
      </c>
      <c r="L152" s="20">
        <f t="shared" si="157"/>
        <v>0.01532156578</v>
      </c>
      <c r="M152" s="19">
        <v>10062.0</v>
      </c>
      <c r="N152" s="11">
        <f t="shared" si="6"/>
        <v>0.01708472919</v>
      </c>
      <c r="O152" s="15">
        <v>18352.0</v>
      </c>
      <c r="P152" s="11">
        <f t="shared" si="7"/>
        <v>0.01557068618</v>
      </c>
      <c r="Q152" s="15">
        <v>18617.0</v>
      </c>
      <c r="R152" s="11">
        <f t="shared" si="8"/>
        <v>0.01545310116</v>
      </c>
      <c r="S152" s="15">
        <v>15253.0</v>
      </c>
      <c r="T152" s="11">
        <f t="shared" si="9"/>
        <v>0.01610066797</v>
      </c>
      <c r="U152" s="15">
        <v>15828.0</v>
      </c>
      <c r="V152" s="11">
        <f t="shared" si="10"/>
        <v>0.01594672336</v>
      </c>
      <c r="W152" s="15">
        <v>9798.0</v>
      </c>
      <c r="X152" s="11">
        <f t="shared" si="11"/>
        <v>0.01665456981</v>
      </c>
      <c r="Y152" s="15">
        <v>8266.0</v>
      </c>
      <c r="Z152" s="11">
        <f t="shared" si="12"/>
        <v>0.01360790595</v>
      </c>
      <c r="AA152" s="19">
        <v>18196.0</v>
      </c>
      <c r="AB152" s="15">
        <v>11583.0</v>
      </c>
      <c r="AC152" s="15">
        <v>16473.0</v>
      </c>
      <c r="AD152" s="15">
        <v>13622.0</v>
      </c>
    </row>
    <row r="153" ht="15.75" customHeight="1">
      <c r="A153" s="6">
        <v>70.0</v>
      </c>
      <c r="C153" s="6" t="s">
        <v>78</v>
      </c>
      <c r="D153" s="6" t="s">
        <v>33</v>
      </c>
      <c r="E153" s="6" t="s">
        <v>59</v>
      </c>
      <c r="F153" s="4" t="s">
        <v>153</v>
      </c>
      <c r="G153" s="19"/>
      <c r="H153" s="11">
        <f t="shared" si="3"/>
        <v>0.004141857279</v>
      </c>
      <c r="I153" s="15"/>
      <c r="J153" s="11">
        <f t="shared" si="4"/>
        <v>0.004698353769</v>
      </c>
      <c r="K153" s="15">
        <f t="shared" ref="K153:L153" si="158">AVERAGE(O153,Q153,W153,Y153)</f>
        <v>3333.75</v>
      </c>
      <c r="L153" s="20">
        <f t="shared" si="158"/>
        <v>0.003724484911</v>
      </c>
      <c r="M153" s="19">
        <v>2399.0</v>
      </c>
      <c r="N153" s="11">
        <f t="shared" si="6"/>
        <v>0.004073371628</v>
      </c>
      <c r="O153" s="15">
        <v>4414.0</v>
      </c>
      <c r="P153" s="11">
        <f t="shared" si="7"/>
        <v>0.003745041892</v>
      </c>
      <c r="Q153" s="15">
        <v>4459.0</v>
      </c>
      <c r="R153" s="11">
        <f t="shared" si="8"/>
        <v>0.003701207395</v>
      </c>
      <c r="S153" s="15">
        <v>4780.0</v>
      </c>
      <c r="T153" s="11">
        <f t="shared" si="9"/>
        <v>0.005045643013</v>
      </c>
      <c r="U153" s="15">
        <v>4939.0</v>
      </c>
      <c r="V153" s="11">
        <f t="shared" si="10"/>
        <v>0.004976046667</v>
      </c>
      <c r="W153" s="15">
        <v>1982.0</v>
      </c>
      <c r="X153" s="11">
        <f t="shared" si="11"/>
        <v>0.00336898932</v>
      </c>
      <c r="Y153" s="15">
        <v>2480.0</v>
      </c>
      <c r="Z153" s="11">
        <f t="shared" si="12"/>
        <v>0.004082701036</v>
      </c>
      <c r="AA153" s="19">
        <v>4220.0</v>
      </c>
      <c r="AB153" s="15">
        <v>2848.0</v>
      </c>
      <c r="AC153" s="15">
        <v>3525.0</v>
      </c>
      <c r="AD153" s="15">
        <v>2685.0</v>
      </c>
    </row>
    <row r="154" ht="15.75" customHeight="1">
      <c r="A154" s="6">
        <v>148.0</v>
      </c>
      <c r="C154" s="6" t="s">
        <v>75</v>
      </c>
      <c r="D154" s="6" t="s">
        <v>34</v>
      </c>
      <c r="E154" s="6" t="s">
        <v>54</v>
      </c>
      <c r="F154" s="4" t="s">
        <v>240</v>
      </c>
      <c r="G154" s="19"/>
      <c r="H154" s="11">
        <f t="shared" si="3"/>
        <v>0.0004979413577</v>
      </c>
      <c r="I154" s="15"/>
      <c r="J154" s="11">
        <f t="shared" si="4"/>
        <v>0.000423194723</v>
      </c>
      <c r="K154" s="15">
        <f t="shared" ref="K154:L154" si="159">AVERAGE(O154,Q154,W154,Y154)</f>
        <v>497</v>
      </c>
      <c r="L154" s="20">
        <f t="shared" si="159"/>
        <v>0.0005540013336</v>
      </c>
      <c r="M154" s="19">
        <v>335.0</v>
      </c>
      <c r="N154" s="11">
        <f t="shared" si="6"/>
        <v>0.0005688117946</v>
      </c>
      <c r="O154" s="15">
        <v>662.0</v>
      </c>
      <c r="P154" s="11">
        <f t="shared" si="7"/>
        <v>0.0005616714392</v>
      </c>
      <c r="Q154" s="15">
        <v>670.0</v>
      </c>
      <c r="R154" s="11">
        <f t="shared" si="8"/>
        <v>0.0005561356705</v>
      </c>
      <c r="S154" s="15">
        <v>326.0</v>
      </c>
      <c r="T154" s="11">
        <f t="shared" si="9"/>
        <v>0.0003441170758</v>
      </c>
      <c r="U154" s="15">
        <v>354.0</v>
      </c>
      <c r="V154" s="11">
        <f t="shared" si="10"/>
        <v>0.0003566552987</v>
      </c>
      <c r="W154" s="15">
        <v>341.0</v>
      </c>
      <c r="X154" s="11">
        <f t="shared" si="11"/>
        <v>0.0005796293432</v>
      </c>
      <c r="Y154" s="15">
        <v>315.0</v>
      </c>
      <c r="Z154" s="11">
        <f t="shared" si="12"/>
        <v>0.0005185688816</v>
      </c>
      <c r="AA154" s="19">
        <v>637.0</v>
      </c>
      <c r="AB154" s="15">
        <v>443.0</v>
      </c>
      <c r="AC154" s="15">
        <v>506.0</v>
      </c>
      <c r="AD154" s="15">
        <v>340.0</v>
      </c>
    </row>
    <row r="155" ht="15.75" customHeight="1">
      <c r="A155" s="6">
        <v>117.0</v>
      </c>
      <c r="C155" s="6" t="s">
        <v>75</v>
      </c>
      <c r="D155" s="6" t="s">
        <v>33</v>
      </c>
      <c r="E155" s="6" t="s">
        <v>60</v>
      </c>
      <c r="F155" s="4" t="s">
        <v>211</v>
      </c>
      <c r="G155" s="19"/>
      <c r="H155" s="11">
        <f t="shared" si="3"/>
        <v>0.001267470494</v>
      </c>
      <c r="I155" s="15"/>
      <c r="J155" s="11">
        <f t="shared" si="4"/>
        <v>0.0009719180083</v>
      </c>
      <c r="K155" s="15">
        <f t="shared" ref="K155:L155" si="160">AVERAGE(O155,Q155,W155,Y155)</f>
        <v>1365.5</v>
      </c>
      <c r="L155" s="20">
        <f t="shared" si="160"/>
        <v>0.001489134858</v>
      </c>
      <c r="M155" s="19">
        <v>1001.0</v>
      </c>
      <c r="N155" s="11">
        <f t="shared" si="6"/>
        <v>0.001699643601</v>
      </c>
      <c r="O155" s="15">
        <v>1899.0</v>
      </c>
      <c r="P155" s="11">
        <f t="shared" si="7"/>
        <v>0.001611199491</v>
      </c>
      <c r="Q155" s="15">
        <v>1916.0</v>
      </c>
      <c r="R155" s="11">
        <f t="shared" si="8"/>
        <v>0.001590382007</v>
      </c>
      <c r="S155" s="15">
        <v>588.0</v>
      </c>
      <c r="T155" s="11">
        <f t="shared" si="9"/>
        <v>0.0006206774251</v>
      </c>
      <c r="U155" s="15">
        <v>591.0</v>
      </c>
      <c r="V155" s="11">
        <f t="shared" si="10"/>
        <v>0.0005954329987</v>
      </c>
      <c r="W155" s="15">
        <v>814.0</v>
      </c>
      <c r="X155" s="11">
        <f t="shared" si="11"/>
        <v>0.001383631335</v>
      </c>
      <c r="Y155" s="15">
        <v>833.0</v>
      </c>
      <c r="Z155" s="11">
        <f t="shared" si="12"/>
        <v>0.001371326598</v>
      </c>
      <c r="AA155" s="19">
        <v>1821.0</v>
      </c>
      <c r="AB155" s="15">
        <v>1257.0</v>
      </c>
      <c r="AC155" s="15">
        <v>1611.0</v>
      </c>
      <c r="AD155" s="15">
        <v>1173.0</v>
      </c>
    </row>
    <row r="156" ht="15.75" customHeight="1">
      <c r="A156" s="6">
        <v>61.0</v>
      </c>
      <c r="C156" s="6" t="s">
        <v>78</v>
      </c>
      <c r="D156" s="6" t="s">
        <v>33</v>
      </c>
      <c r="E156" s="6" t="s">
        <v>61</v>
      </c>
      <c r="F156" s="4" t="s">
        <v>151</v>
      </c>
      <c r="G156" s="19"/>
      <c r="H156" s="11">
        <f t="shared" si="3"/>
        <v>0.004694827136</v>
      </c>
      <c r="I156" s="15"/>
      <c r="J156" s="11">
        <f t="shared" si="4"/>
        <v>0.005116782795</v>
      </c>
      <c r="K156" s="15">
        <f t="shared" ref="K156:L156" si="161">AVERAGE(O156,Q156,W156,Y156)</f>
        <v>3899.25</v>
      </c>
      <c r="L156" s="20">
        <f t="shared" si="161"/>
        <v>0.004378360392</v>
      </c>
      <c r="M156" s="19">
        <v>2980.0</v>
      </c>
      <c r="N156" s="11">
        <f t="shared" si="6"/>
        <v>0.005059878054</v>
      </c>
      <c r="O156" s="15">
        <v>5098.0</v>
      </c>
      <c r="P156" s="11">
        <f t="shared" si="7"/>
        <v>0.004325379149</v>
      </c>
      <c r="Q156" s="15">
        <v>5176.0</v>
      </c>
      <c r="R156" s="11">
        <f t="shared" si="8"/>
        <v>0.004296355568</v>
      </c>
      <c r="S156" s="15">
        <v>4964.0</v>
      </c>
      <c r="T156" s="11">
        <f t="shared" si="9"/>
        <v>0.005239868602</v>
      </c>
      <c r="U156" s="15">
        <v>5013.0</v>
      </c>
      <c r="V156" s="11">
        <f t="shared" si="10"/>
        <v>0.00505060173</v>
      </c>
      <c r="W156" s="15">
        <v>2404.0</v>
      </c>
      <c r="X156" s="11">
        <f t="shared" si="11"/>
        <v>0.00408630188</v>
      </c>
      <c r="Y156" s="15">
        <v>2919.0</v>
      </c>
      <c r="Z156" s="11">
        <f t="shared" si="12"/>
        <v>0.004805404969</v>
      </c>
      <c r="AA156" s="19">
        <v>4931.0</v>
      </c>
      <c r="AB156" s="15">
        <v>3268.0</v>
      </c>
      <c r="AC156" s="15">
        <v>4069.0</v>
      </c>
      <c r="AD156" s="15">
        <v>3012.0</v>
      </c>
    </row>
    <row r="157" ht="15.75" customHeight="1">
      <c r="A157" s="6">
        <v>154.0</v>
      </c>
      <c r="C157" s="6" t="s">
        <v>78</v>
      </c>
      <c r="D157" s="6" t="s">
        <v>34</v>
      </c>
      <c r="E157" s="6" t="s">
        <v>56</v>
      </c>
      <c r="F157" s="4" t="s">
        <v>247</v>
      </c>
      <c r="G157" s="19"/>
      <c r="H157" s="11">
        <f t="shared" si="3"/>
        <v>0.0002547902325</v>
      </c>
      <c r="I157" s="15"/>
      <c r="J157" s="11">
        <f t="shared" si="4"/>
        <v>0.0001730959433</v>
      </c>
      <c r="K157" s="15">
        <f t="shared" ref="K157:L157" si="162">AVERAGE(O157,Q157,W157,Y157)</f>
        <v>293.25</v>
      </c>
      <c r="L157" s="20">
        <f t="shared" si="162"/>
        <v>0.0003160609494</v>
      </c>
      <c r="M157" s="19">
        <v>219.0</v>
      </c>
      <c r="N157" s="11">
        <f t="shared" si="6"/>
        <v>0.0003718500986</v>
      </c>
      <c r="O157" s="15">
        <v>418.0</v>
      </c>
      <c r="P157" s="11">
        <f t="shared" si="7"/>
        <v>0.0003546505462</v>
      </c>
      <c r="Q157" s="15">
        <v>420.0</v>
      </c>
      <c r="R157" s="11">
        <f t="shared" si="8"/>
        <v>0.0003486223606</v>
      </c>
      <c r="S157" s="15">
        <v>70.0</v>
      </c>
      <c r="T157" s="11">
        <f t="shared" si="9"/>
        <v>0.00007389016965</v>
      </c>
      <c r="U157" s="15">
        <v>73.0</v>
      </c>
      <c r="V157" s="11">
        <f t="shared" si="10"/>
        <v>0.0000735475616</v>
      </c>
      <c r="W157" s="15">
        <v>177.0</v>
      </c>
      <c r="X157" s="11">
        <f t="shared" si="11"/>
        <v>0.0003008633248</v>
      </c>
      <c r="Y157" s="15">
        <v>158.0</v>
      </c>
      <c r="Z157" s="11">
        <f t="shared" si="12"/>
        <v>0.000260107566</v>
      </c>
      <c r="AA157" s="19">
        <v>417.0</v>
      </c>
      <c r="AB157" s="15">
        <v>275.0</v>
      </c>
      <c r="AC157" s="15">
        <v>301.0</v>
      </c>
      <c r="AD157" s="15">
        <v>227.0</v>
      </c>
    </row>
    <row r="158" ht="15.75" customHeight="1">
      <c r="A158" s="6">
        <v>147.0</v>
      </c>
      <c r="C158" s="6" t="s">
        <v>78</v>
      </c>
      <c r="D158" s="6" t="s">
        <v>34</v>
      </c>
      <c r="E158" s="6" t="s">
        <v>60</v>
      </c>
      <c r="F158" s="4" t="s">
        <v>236</v>
      </c>
      <c r="G158" s="19"/>
      <c r="H158" s="11">
        <f t="shared" si="3"/>
        <v>0.0006264414428</v>
      </c>
      <c r="I158" s="15"/>
      <c r="J158" s="11">
        <f t="shared" si="4"/>
        <v>0.0006528013378</v>
      </c>
      <c r="K158" s="15">
        <f t="shared" ref="K158:L158" si="163">AVERAGE(O158,Q158,W158,Y158)</f>
        <v>550.5</v>
      </c>
      <c r="L158" s="20">
        <f t="shared" si="163"/>
        <v>0.0006066715215</v>
      </c>
      <c r="M158" s="19">
        <v>391.0</v>
      </c>
      <c r="N158" s="11">
        <f t="shared" si="6"/>
        <v>0.0006638967513</v>
      </c>
      <c r="O158" s="15">
        <v>750.0</v>
      </c>
      <c r="P158" s="11">
        <f t="shared" si="7"/>
        <v>0.0006363347121</v>
      </c>
      <c r="Q158" s="15">
        <v>759.0</v>
      </c>
      <c r="R158" s="11">
        <f t="shared" si="8"/>
        <v>0.0006300104089</v>
      </c>
      <c r="S158" s="15">
        <v>626.0</v>
      </c>
      <c r="T158" s="11">
        <f t="shared" si="9"/>
        <v>0.0006607892315</v>
      </c>
      <c r="U158" s="15">
        <v>629.0</v>
      </c>
      <c r="V158" s="11">
        <f t="shared" si="10"/>
        <v>0.0006337180307</v>
      </c>
      <c r="W158" s="15">
        <v>364.0</v>
      </c>
      <c r="X158" s="11">
        <f t="shared" si="11"/>
        <v>0.0006187245775</v>
      </c>
      <c r="Y158" s="15">
        <v>329.0</v>
      </c>
      <c r="Z158" s="11">
        <f t="shared" si="12"/>
        <v>0.0005416163874</v>
      </c>
      <c r="AA158" s="19">
        <v>732.0</v>
      </c>
      <c r="AB158" s="15">
        <v>501.0</v>
      </c>
      <c r="AC158" s="15">
        <v>568.0</v>
      </c>
      <c r="AD158" s="15">
        <v>397.0</v>
      </c>
    </row>
    <row r="159" ht="15.75" customHeight="1">
      <c r="A159" s="6">
        <v>44.0</v>
      </c>
      <c r="B159" s="6">
        <v>11.0</v>
      </c>
      <c r="C159" s="6" t="s">
        <v>76</v>
      </c>
      <c r="D159" s="6" t="s">
        <v>32</v>
      </c>
      <c r="E159" s="6" t="s">
        <v>53</v>
      </c>
      <c r="F159" s="4" t="s">
        <v>134</v>
      </c>
      <c r="G159" s="19"/>
      <c r="H159" s="11">
        <f t="shared" si="3"/>
        <v>0.006267563996</v>
      </c>
      <c r="I159" s="15"/>
      <c r="J159" s="11">
        <f t="shared" si="4"/>
        <v>0.006785140107</v>
      </c>
      <c r="K159" s="15">
        <f t="shared" ref="K159:L159" si="164">AVERAGE(O159,Q159,W159,Y159)</f>
        <v>5146.5</v>
      </c>
      <c r="L159" s="20">
        <f t="shared" si="164"/>
        <v>0.005879381912</v>
      </c>
      <c r="M159" s="19">
        <v>3823.0</v>
      </c>
      <c r="N159" s="11">
        <f t="shared" si="6"/>
        <v>0.006491246241</v>
      </c>
      <c r="O159" s="15">
        <v>6504.0</v>
      </c>
      <c r="P159" s="11">
        <f t="shared" si="7"/>
        <v>0.005518294623</v>
      </c>
      <c r="Q159" s="15">
        <v>6603.0</v>
      </c>
      <c r="R159" s="11">
        <f t="shared" si="8"/>
        <v>0.005480841541</v>
      </c>
      <c r="S159" s="15">
        <v>6475.0</v>
      </c>
      <c r="T159" s="11">
        <f t="shared" si="9"/>
        <v>0.006834840693</v>
      </c>
      <c r="U159" s="15">
        <v>6977.0</v>
      </c>
      <c r="V159" s="11">
        <f t="shared" si="10"/>
        <v>0.007029333387</v>
      </c>
      <c r="W159" s="15">
        <v>3849.0</v>
      </c>
      <c r="X159" s="11">
        <f t="shared" si="11"/>
        <v>0.006542502469</v>
      </c>
      <c r="Y159" s="15">
        <v>3630.0</v>
      </c>
      <c r="Z159" s="11">
        <f t="shared" si="12"/>
        <v>0.005975889016</v>
      </c>
      <c r="AA159" s="19">
        <v>6496.0</v>
      </c>
      <c r="AB159" s="15">
        <v>4271.0</v>
      </c>
      <c r="AC159" s="15">
        <v>5602.0</v>
      </c>
      <c r="AD159" s="15">
        <v>4453.0</v>
      </c>
    </row>
    <row r="160" ht="15.75" customHeight="1">
      <c r="A160" s="6">
        <v>28.0</v>
      </c>
      <c r="B160" s="6">
        <v>13.0</v>
      </c>
      <c r="C160" s="6" t="s">
        <v>77</v>
      </c>
      <c r="D160" s="6" t="s">
        <v>32</v>
      </c>
      <c r="E160" s="6" t="s">
        <v>55</v>
      </c>
      <c r="F160" s="4" t="s">
        <v>115</v>
      </c>
      <c r="G160" s="19"/>
      <c r="H160" s="11">
        <f t="shared" si="3"/>
        <v>0.009676216391</v>
      </c>
      <c r="I160" s="15"/>
      <c r="J160" s="11">
        <f t="shared" si="4"/>
        <v>0.01115749142</v>
      </c>
      <c r="K160" s="15">
        <f t="shared" ref="K160:L160" si="165">AVERAGE(O160,Q160,W160,Y160)</f>
        <v>8087.75</v>
      </c>
      <c r="L160" s="20">
        <f t="shared" si="165"/>
        <v>0.008565260123</v>
      </c>
      <c r="M160" s="19">
        <v>6014.0</v>
      </c>
      <c r="N160" s="11">
        <f t="shared" si="6"/>
        <v>0.01021144517</v>
      </c>
      <c r="O160" s="15">
        <v>11756.0</v>
      </c>
      <c r="P160" s="11">
        <f t="shared" si="7"/>
        <v>0.0099743345</v>
      </c>
      <c r="Q160" s="15">
        <v>12048.0</v>
      </c>
      <c r="R160" s="11">
        <f t="shared" si="8"/>
        <v>0.01000048143</v>
      </c>
      <c r="S160" s="15">
        <v>11335.0</v>
      </c>
      <c r="T160" s="11">
        <f t="shared" si="9"/>
        <v>0.01196492961</v>
      </c>
      <c r="U160" s="15">
        <v>11212.0</v>
      </c>
      <c r="V160" s="11">
        <f t="shared" si="10"/>
        <v>0.01129609946</v>
      </c>
      <c r="W160" s="15">
        <v>4029.0</v>
      </c>
      <c r="X160" s="11">
        <f t="shared" si="11"/>
        <v>0.006848465172</v>
      </c>
      <c r="Y160" s="15">
        <v>4518.0</v>
      </c>
      <c r="Z160" s="11">
        <f t="shared" si="12"/>
        <v>0.007437759387</v>
      </c>
      <c r="AA160" s="19">
        <v>11618.0</v>
      </c>
      <c r="AB160" s="15">
        <v>7851.0</v>
      </c>
      <c r="AC160" s="15">
        <v>9831.0</v>
      </c>
      <c r="AD160" s="15">
        <v>7501.0</v>
      </c>
    </row>
    <row r="161" ht="15.75" customHeight="1">
      <c r="A161" s="6">
        <v>130.0</v>
      </c>
      <c r="C161" s="6" t="s">
        <v>78</v>
      </c>
      <c r="D161" s="6" t="s">
        <v>33</v>
      </c>
      <c r="E161" s="6" t="s">
        <v>60</v>
      </c>
      <c r="F161" s="4" t="s">
        <v>217</v>
      </c>
      <c r="G161" s="19"/>
      <c r="H161" s="11">
        <f t="shared" si="3"/>
        <v>0.001166216445</v>
      </c>
      <c r="I161" s="15"/>
      <c r="J161" s="11">
        <f t="shared" si="4"/>
        <v>0.001229634608</v>
      </c>
      <c r="K161" s="15">
        <f t="shared" ref="K161:L161" si="166">AVERAGE(O161,Q161,W161,Y161)</f>
        <v>976.5</v>
      </c>
      <c r="L161" s="20">
        <f t="shared" si="166"/>
        <v>0.001118652823</v>
      </c>
      <c r="M161" s="19">
        <v>646.0</v>
      </c>
      <c r="N161" s="11">
        <f t="shared" si="6"/>
        <v>0.001096872893</v>
      </c>
      <c r="O161" s="15">
        <v>1229.0</v>
      </c>
      <c r="P161" s="11">
        <f t="shared" si="7"/>
        <v>0.001042740481</v>
      </c>
      <c r="Q161" s="15">
        <v>1236.0</v>
      </c>
      <c r="R161" s="11">
        <f t="shared" si="8"/>
        <v>0.001025945804</v>
      </c>
      <c r="S161" s="15">
        <v>1189.0</v>
      </c>
      <c r="T161" s="11">
        <f t="shared" si="9"/>
        <v>0.00125507731</v>
      </c>
      <c r="U161" s="15">
        <v>1327.0</v>
      </c>
      <c r="V161" s="11">
        <f t="shared" si="10"/>
        <v>0.00133695362</v>
      </c>
      <c r="W161" s="15">
        <v>629.0</v>
      </c>
      <c r="X161" s="11">
        <f t="shared" si="11"/>
        <v>0.001069169668</v>
      </c>
      <c r="Y161" s="15">
        <v>812.0</v>
      </c>
      <c r="Z161" s="11">
        <f t="shared" si="12"/>
        <v>0.001336755339</v>
      </c>
      <c r="AA161" s="19">
        <v>1199.0</v>
      </c>
      <c r="AB161" s="15">
        <v>808.0</v>
      </c>
      <c r="AC161" s="15">
        <v>919.0</v>
      </c>
      <c r="AD161" s="15">
        <v>679.0</v>
      </c>
    </row>
    <row r="162" ht="15.75" customHeight="1">
      <c r="A162" s="6">
        <v>123.0</v>
      </c>
      <c r="C162" s="6" t="s">
        <v>75</v>
      </c>
      <c r="D162" s="6" t="s">
        <v>33</v>
      </c>
      <c r="E162" s="6" t="s">
        <v>54</v>
      </c>
      <c r="F162" s="4" t="s">
        <v>220</v>
      </c>
      <c r="G162" s="19"/>
      <c r="H162" s="11">
        <f t="shared" si="3"/>
        <v>0.001148788603</v>
      </c>
      <c r="I162" s="15"/>
      <c r="J162" s="11">
        <f t="shared" si="4"/>
        <v>0.001055340051</v>
      </c>
      <c r="K162" s="15">
        <f t="shared" ref="K162:L162" si="167">AVERAGE(O162,Q162,W162,Y162)</f>
        <v>1107.25</v>
      </c>
      <c r="L162" s="20">
        <f t="shared" si="167"/>
        <v>0.001218875016</v>
      </c>
      <c r="M162" s="19">
        <v>722.0</v>
      </c>
      <c r="N162" s="11">
        <f t="shared" si="6"/>
        <v>0.001225916763</v>
      </c>
      <c r="O162" s="15">
        <v>1513.0</v>
      </c>
      <c r="P162" s="11">
        <f t="shared" si="7"/>
        <v>0.001283699226</v>
      </c>
      <c r="Q162" s="15">
        <v>1529.0</v>
      </c>
      <c r="R162" s="11">
        <f t="shared" si="8"/>
        <v>0.001269151403</v>
      </c>
      <c r="S162" s="15">
        <v>915.0</v>
      </c>
      <c r="T162" s="11">
        <f t="shared" si="9"/>
        <v>0.0009658500747</v>
      </c>
      <c r="U162" s="15">
        <v>967.0</v>
      </c>
      <c r="V162" s="11">
        <f t="shared" si="10"/>
        <v>0.0009742533159</v>
      </c>
      <c r="W162" s="15">
        <v>734.0</v>
      </c>
      <c r="X162" s="11">
        <f t="shared" si="11"/>
        <v>0.001247647912</v>
      </c>
      <c r="Y162" s="15">
        <v>653.0</v>
      </c>
      <c r="Z162" s="11">
        <f t="shared" si="12"/>
        <v>0.001075001523</v>
      </c>
      <c r="AA162" s="19">
        <v>1450.0</v>
      </c>
      <c r="AB162" s="15">
        <v>994.0</v>
      </c>
      <c r="AC162" s="15">
        <v>1299.0</v>
      </c>
      <c r="AD162" s="15">
        <v>882.0</v>
      </c>
    </row>
    <row r="163" ht="15.75" customHeight="1">
      <c r="A163" s="6">
        <v>122.0</v>
      </c>
      <c r="C163" s="6" t="s">
        <v>75</v>
      </c>
      <c r="D163" s="6" t="s">
        <v>33</v>
      </c>
      <c r="E163" s="6" t="s">
        <v>60</v>
      </c>
      <c r="F163" s="4" t="s">
        <v>218</v>
      </c>
      <c r="G163" s="19"/>
      <c r="H163" s="11">
        <f t="shared" si="3"/>
        <v>0.001227043866</v>
      </c>
      <c r="I163" s="15"/>
      <c r="J163" s="11">
        <f t="shared" si="4"/>
        <v>0.00127836819</v>
      </c>
      <c r="K163" s="15">
        <f t="shared" ref="K163:L163" si="168">AVERAGE(O163,Q163,W163,Y163)</f>
        <v>1122.75</v>
      </c>
      <c r="L163" s="20">
        <f t="shared" si="168"/>
        <v>0.001188550623</v>
      </c>
      <c r="M163" s="19">
        <v>1185.0</v>
      </c>
      <c r="N163" s="11">
        <f t="shared" si="6"/>
        <v>0.002012065602</v>
      </c>
      <c r="O163" s="15">
        <v>1643.0</v>
      </c>
      <c r="P163" s="11">
        <f t="shared" si="7"/>
        <v>0.001393997243</v>
      </c>
      <c r="Q163" s="15">
        <v>1663.0</v>
      </c>
      <c r="R163" s="11">
        <f t="shared" si="8"/>
        <v>0.001380378537</v>
      </c>
      <c r="S163" s="15">
        <v>890.0</v>
      </c>
      <c r="T163" s="11">
        <f t="shared" si="9"/>
        <v>0.0009394607284</v>
      </c>
      <c r="U163" s="15">
        <v>877.0</v>
      </c>
      <c r="V163" s="11">
        <f t="shared" si="10"/>
        <v>0.00088357824</v>
      </c>
      <c r="W163" s="15">
        <v>542.0</v>
      </c>
      <c r="X163" s="11">
        <f t="shared" si="11"/>
        <v>0.000921287695</v>
      </c>
      <c r="Y163" s="15">
        <v>643.0</v>
      </c>
      <c r="Z163" s="11">
        <f t="shared" si="12"/>
        <v>0.001058539019</v>
      </c>
      <c r="AA163" s="19">
        <v>1594.0</v>
      </c>
      <c r="AB163" s="15">
        <v>1048.0</v>
      </c>
      <c r="AC163" s="15">
        <v>1322.0</v>
      </c>
      <c r="AD163" s="15">
        <v>937.0</v>
      </c>
    </row>
    <row r="164" ht="15.75" customHeight="1">
      <c r="A164" s="6">
        <v>81.0</v>
      </c>
      <c r="C164" s="6" t="s">
        <v>78</v>
      </c>
      <c r="D164" s="6" t="s">
        <v>33</v>
      </c>
      <c r="E164" s="6" t="s">
        <v>52</v>
      </c>
      <c r="F164" s="4" t="s">
        <v>172</v>
      </c>
      <c r="G164" s="19"/>
      <c r="H164" s="11">
        <f t="shared" si="3"/>
        <v>0.003190987055</v>
      </c>
      <c r="I164" s="15"/>
      <c r="J164" s="11">
        <f t="shared" si="4"/>
        <v>0.003556394002</v>
      </c>
      <c r="K164" s="15">
        <f t="shared" ref="K164:L164" si="169">AVERAGE(O164,Q164,W164,Y164)</f>
        <v>2537.5</v>
      </c>
      <c r="L164" s="20">
        <f t="shared" si="169"/>
        <v>0.002916931845</v>
      </c>
      <c r="M164" s="19">
        <v>1964.0</v>
      </c>
      <c r="N164" s="11">
        <f t="shared" si="6"/>
        <v>0.003334765268</v>
      </c>
      <c r="O164" s="15">
        <v>3162.0</v>
      </c>
      <c r="P164" s="11">
        <f t="shared" si="7"/>
        <v>0.002682787146</v>
      </c>
      <c r="Q164" s="15">
        <v>3193.0</v>
      </c>
      <c r="R164" s="11">
        <f t="shared" si="8"/>
        <v>0.002650359994</v>
      </c>
      <c r="S164" s="15">
        <v>3496.0</v>
      </c>
      <c r="T164" s="11">
        <f t="shared" si="9"/>
        <v>0.003690286187</v>
      </c>
      <c r="U164" s="15">
        <v>3617.0</v>
      </c>
      <c r="V164" s="11">
        <f t="shared" si="10"/>
        <v>0.003644130552</v>
      </c>
      <c r="W164" s="15">
        <v>1626.0</v>
      </c>
      <c r="X164" s="11">
        <f t="shared" si="11"/>
        <v>0.002763863085</v>
      </c>
      <c r="Y164" s="15">
        <v>2169.0</v>
      </c>
      <c r="Z164" s="11">
        <f t="shared" si="12"/>
        <v>0.003570717156</v>
      </c>
      <c r="AA164" s="19">
        <v>2965.0</v>
      </c>
      <c r="AB164" s="15">
        <v>2033.0</v>
      </c>
      <c r="AC164" s="15">
        <v>2514.0</v>
      </c>
      <c r="AD164" s="15">
        <v>1897.0</v>
      </c>
    </row>
    <row r="165" ht="15.75" customHeight="1">
      <c r="F165" s="4"/>
      <c r="G165" s="18"/>
      <c r="L165" s="4"/>
      <c r="M165" s="18"/>
      <c r="AA165" s="18"/>
    </row>
    <row r="166" ht="15.75" customHeight="1">
      <c r="F166" s="4"/>
      <c r="G166" s="18"/>
      <c r="L166" s="4"/>
      <c r="M166" s="18"/>
      <c r="AA166" s="18"/>
    </row>
    <row r="167" ht="15.75" customHeight="1">
      <c r="F167" s="4"/>
      <c r="G167" s="18"/>
      <c r="L167" s="4"/>
      <c r="M167" s="18"/>
      <c r="AA167" s="18"/>
    </row>
    <row r="168" ht="15.75" customHeight="1">
      <c r="F168" s="4"/>
      <c r="G168" s="18"/>
      <c r="L168" s="4"/>
      <c r="M168" s="18"/>
      <c r="AA168" s="18"/>
    </row>
    <row r="169" ht="15.75" customHeight="1">
      <c r="F169" s="4"/>
      <c r="G169" s="18"/>
      <c r="L169" s="4"/>
      <c r="M169" s="18"/>
      <c r="AA169" s="18"/>
    </row>
    <row r="170" ht="15.75" customHeight="1">
      <c r="F170" s="4"/>
      <c r="G170" s="18"/>
      <c r="L170" s="4"/>
      <c r="M170" s="18"/>
      <c r="AA170" s="18"/>
    </row>
    <row r="171" ht="15.75" customHeight="1">
      <c r="F171" s="4"/>
      <c r="G171" s="18"/>
      <c r="L171" s="4"/>
      <c r="M171" s="18"/>
      <c r="AA171" s="18"/>
    </row>
    <row r="172" ht="15.75" customHeight="1">
      <c r="F172" s="4"/>
      <c r="G172" s="18"/>
      <c r="L172" s="4"/>
      <c r="M172" s="18"/>
      <c r="AA172" s="18"/>
    </row>
    <row r="173" ht="15.75" customHeight="1">
      <c r="F173" s="4"/>
      <c r="G173" s="18"/>
      <c r="L173" s="4"/>
      <c r="M173" s="18"/>
      <c r="AA173" s="18"/>
    </row>
    <row r="174" ht="15.75" customHeight="1">
      <c r="F174" s="4"/>
      <c r="G174" s="18"/>
      <c r="L174" s="4"/>
      <c r="M174" s="18"/>
      <c r="AA174" s="18"/>
    </row>
    <row r="175" ht="15.75" customHeight="1">
      <c r="F175" s="4"/>
      <c r="G175" s="18"/>
      <c r="L175" s="4"/>
      <c r="M175" s="18"/>
      <c r="AA175" s="18"/>
    </row>
    <row r="176" ht="15.75" customHeight="1">
      <c r="F176" s="4"/>
      <c r="G176" s="18"/>
      <c r="L176" s="4"/>
      <c r="M176" s="18"/>
      <c r="AA176" s="18"/>
    </row>
    <row r="177" ht="15.75" customHeight="1">
      <c r="F177" s="4"/>
      <c r="G177" s="18"/>
      <c r="L177" s="4"/>
      <c r="M177" s="18"/>
      <c r="AA177" s="18"/>
    </row>
    <row r="178" ht="15.75" customHeight="1">
      <c r="F178" s="4"/>
      <c r="G178" s="18"/>
      <c r="L178" s="4"/>
      <c r="M178" s="18"/>
      <c r="AA178" s="18"/>
    </row>
    <row r="179" ht="15.75" customHeight="1">
      <c r="F179" s="4"/>
      <c r="G179" s="18"/>
      <c r="L179" s="4"/>
      <c r="M179" s="18"/>
      <c r="AA179" s="18"/>
    </row>
    <row r="180" ht="15.75" customHeight="1">
      <c r="F180" s="4"/>
      <c r="G180" s="18"/>
      <c r="L180" s="4"/>
      <c r="M180" s="18"/>
      <c r="AA180" s="18"/>
    </row>
    <row r="181" ht="15.75" customHeight="1">
      <c r="F181" s="4"/>
      <c r="G181" s="18"/>
      <c r="L181" s="4"/>
      <c r="M181" s="18"/>
      <c r="AA181" s="18"/>
    </row>
    <row r="182" ht="15.75" customHeight="1">
      <c r="F182" s="4"/>
      <c r="G182" s="18"/>
      <c r="L182" s="4"/>
      <c r="M182" s="18"/>
      <c r="AA182" s="18"/>
    </row>
    <row r="183" ht="15.75" customHeight="1">
      <c r="F183" s="4"/>
      <c r="G183" s="18"/>
      <c r="L183" s="4"/>
      <c r="M183" s="18"/>
      <c r="AA183" s="18"/>
    </row>
    <row r="184" ht="15.75" customHeight="1">
      <c r="F184" s="4"/>
      <c r="G184" s="18"/>
      <c r="L184" s="4"/>
      <c r="M184" s="18"/>
      <c r="AA184" s="18"/>
    </row>
    <row r="185" ht="15.75" customHeight="1">
      <c r="F185" s="4"/>
      <c r="G185" s="18"/>
      <c r="L185" s="4"/>
      <c r="M185" s="18"/>
      <c r="AA185" s="18"/>
    </row>
    <row r="186" ht="15.75" customHeight="1">
      <c r="F186" s="4"/>
      <c r="G186" s="18"/>
      <c r="L186" s="4"/>
      <c r="M186" s="18"/>
      <c r="AA186" s="18"/>
    </row>
    <row r="187" ht="15.75" customHeight="1">
      <c r="F187" s="4"/>
      <c r="G187" s="18"/>
      <c r="L187" s="4"/>
      <c r="M187" s="18"/>
      <c r="AA187" s="18"/>
    </row>
    <row r="188" ht="15.75" customHeight="1">
      <c r="F188" s="4"/>
      <c r="G188" s="18"/>
      <c r="L188" s="4"/>
      <c r="M188" s="18"/>
      <c r="AA188" s="18"/>
    </row>
    <row r="189" ht="15.75" customHeight="1">
      <c r="F189" s="4"/>
      <c r="G189" s="18"/>
      <c r="L189" s="4"/>
      <c r="M189" s="18"/>
      <c r="AA189" s="18"/>
    </row>
    <row r="190" ht="15.75" customHeight="1">
      <c r="F190" s="4"/>
      <c r="G190" s="18"/>
      <c r="L190" s="4"/>
      <c r="M190" s="18"/>
      <c r="AA190" s="18"/>
    </row>
    <row r="191" ht="15.75" customHeight="1">
      <c r="F191" s="4"/>
      <c r="G191" s="18"/>
      <c r="L191" s="4"/>
      <c r="M191" s="18"/>
      <c r="AA191" s="18"/>
    </row>
    <row r="192" ht="15.75" customHeight="1">
      <c r="F192" s="4"/>
      <c r="G192" s="18"/>
      <c r="L192" s="4"/>
      <c r="M192" s="18"/>
      <c r="AA192" s="18"/>
    </row>
    <row r="193" ht="15.75" customHeight="1">
      <c r="F193" s="4"/>
      <c r="G193" s="18"/>
      <c r="L193" s="4"/>
      <c r="M193" s="18"/>
      <c r="AA193" s="18"/>
    </row>
    <row r="194" ht="15.75" customHeight="1">
      <c r="F194" s="4"/>
      <c r="G194" s="18"/>
      <c r="L194" s="4"/>
      <c r="M194" s="18"/>
      <c r="AA194" s="18"/>
    </row>
    <row r="195" ht="15.75" customHeight="1">
      <c r="F195" s="4"/>
      <c r="G195" s="18"/>
      <c r="L195" s="4"/>
      <c r="M195" s="18"/>
      <c r="AA195" s="18"/>
    </row>
    <row r="196" ht="15.75" customHeight="1">
      <c r="F196" s="4"/>
      <c r="G196" s="18"/>
      <c r="L196" s="4"/>
      <c r="M196" s="18"/>
      <c r="AA196" s="18"/>
    </row>
    <row r="197" ht="15.75" customHeight="1">
      <c r="F197" s="4"/>
      <c r="G197" s="18"/>
      <c r="L197" s="4"/>
      <c r="M197" s="18"/>
      <c r="AA197" s="18"/>
    </row>
    <row r="198" ht="15.75" customHeight="1">
      <c r="F198" s="4"/>
      <c r="G198" s="18"/>
      <c r="L198" s="4"/>
      <c r="M198" s="18"/>
      <c r="AA198" s="18"/>
    </row>
    <row r="199" ht="15.75" customHeight="1">
      <c r="F199" s="4"/>
      <c r="G199" s="18"/>
      <c r="L199" s="4"/>
      <c r="M199" s="18"/>
      <c r="AA199" s="18"/>
    </row>
    <row r="200" ht="15.75" customHeight="1">
      <c r="F200" s="4"/>
      <c r="G200" s="18"/>
      <c r="L200" s="4"/>
      <c r="M200" s="18"/>
      <c r="AA200" s="18"/>
    </row>
    <row r="201" ht="15.75" customHeight="1">
      <c r="F201" s="4"/>
      <c r="G201" s="18"/>
      <c r="L201" s="4"/>
      <c r="M201" s="18"/>
      <c r="AA201" s="18"/>
    </row>
    <row r="202" ht="15.75" customHeight="1">
      <c r="F202" s="4"/>
      <c r="G202" s="18"/>
      <c r="L202" s="4"/>
      <c r="M202" s="18"/>
      <c r="AA202" s="18"/>
    </row>
    <row r="203" ht="15.75" customHeight="1">
      <c r="F203" s="4"/>
      <c r="G203" s="18"/>
      <c r="L203" s="4"/>
      <c r="M203" s="18"/>
      <c r="AA203" s="18"/>
    </row>
    <row r="204" ht="15.75" customHeight="1">
      <c r="F204" s="4"/>
      <c r="G204" s="18"/>
      <c r="L204" s="4"/>
      <c r="M204" s="18"/>
      <c r="AA204" s="18"/>
    </row>
    <row r="205" ht="15.75" customHeight="1">
      <c r="F205" s="4"/>
      <c r="G205" s="18"/>
      <c r="L205" s="4"/>
      <c r="M205" s="18"/>
      <c r="AA205" s="18"/>
    </row>
    <row r="206" ht="15.75" customHeight="1">
      <c r="F206" s="4"/>
      <c r="G206" s="18"/>
      <c r="L206" s="4"/>
      <c r="M206" s="18"/>
      <c r="AA206" s="18"/>
    </row>
    <row r="207" ht="15.75" customHeight="1">
      <c r="F207" s="4"/>
      <c r="G207" s="18"/>
      <c r="L207" s="4"/>
      <c r="M207" s="18"/>
      <c r="AA207" s="18"/>
    </row>
    <row r="208" ht="15.75" customHeight="1">
      <c r="F208" s="4"/>
      <c r="G208" s="18"/>
      <c r="L208" s="4"/>
      <c r="M208" s="18"/>
      <c r="AA208" s="18"/>
    </row>
    <row r="209" ht="15.75" customHeight="1">
      <c r="F209" s="4"/>
      <c r="G209" s="18"/>
      <c r="L209" s="4"/>
      <c r="M209" s="18"/>
      <c r="AA209" s="18"/>
    </row>
    <row r="210" ht="15.75" customHeight="1">
      <c r="F210" s="4"/>
      <c r="G210" s="18"/>
      <c r="L210" s="4"/>
      <c r="M210" s="18"/>
      <c r="AA210" s="18"/>
    </row>
    <row r="211" ht="15.75" customHeight="1">
      <c r="F211" s="4"/>
      <c r="G211" s="18"/>
      <c r="L211" s="4"/>
      <c r="M211" s="18"/>
      <c r="AA211" s="18"/>
    </row>
    <row r="212" ht="15.75" customHeight="1">
      <c r="F212" s="4"/>
      <c r="G212" s="18"/>
      <c r="L212" s="4"/>
      <c r="M212" s="18"/>
      <c r="AA212" s="18"/>
    </row>
    <row r="213" ht="15.75" customHeight="1">
      <c r="F213" s="4"/>
      <c r="G213" s="18"/>
      <c r="L213" s="4"/>
      <c r="M213" s="18"/>
      <c r="AA213" s="18"/>
    </row>
    <row r="214" ht="15.75" customHeight="1">
      <c r="F214" s="4"/>
      <c r="G214" s="18"/>
      <c r="L214" s="4"/>
      <c r="M214" s="18"/>
      <c r="AA214" s="18"/>
    </row>
    <row r="215" ht="15.75" customHeight="1">
      <c r="F215" s="4"/>
      <c r="G215" s="18"/>
      <c r="L215" s="4"/>
      <c r="M215" s="18"/>
      <c r="AA215" s="18"/>
    </row>
    <row r="216" ht="15.75" customHeight="1">
      <c r="F216" s="4"/>
      <c r="G216" s="18"/>
      <c r="L216" s="4"/>
      <c r="M216" s="18"/>
      <c r="AA216" s="18"/>
    </row>
    <row r="217" ht="15.75" customHeight="1">
      <c r="F217" s="4"/>
      <c r="G217" s="18"/>
      <c r="L217" s="4"/>
      <c r="M217" s="18"/>
      <c r="AA217" s="18"/>
    </row>
    <row r="218" ht="15.75" customHeight="1">
      <c r="F218" s="4"/>
      <c r="G218" s="18"/>
      <c r="L218" s="4"/>
      <c r="M218" s="18"/>
      <c r="AA218" s="18"/>
    </row>
    <row r="219" ht="15.75" customHeight="1">
      <c r="F219" s="4"/>
      <c r="G219" s="18"/>
      <c r="L219" s="4"/>
      <c r="M219" s="18"/>
      <c r="AA219" s="18"/>
    </row>
    <row r="220" ht="15.75" customHeight="1">
      <c r="F220" s="4"/>
      <c r="G220" s="18"/>
      <c r="L220" s="4"/>
      <c r="M220" s="18"/>
      <c r="AA220" s="18"/>
    </row>
    <row r="221" ht="15.75" customHeight="1">
      <c r="F221" s="4"/>
      <c r="G221" s="18"/>
      <c r="L221" s="4"/>
      <c r="M221" s="18"/>
      <c r="AA221" s="18"/>
    </row>
    <row r="222" ht="15.75" customHeight="1">
      <c r="F222" s="4"/>
      <c r="G222" s="18"/>
      <c r="L222" s="4"/>
      <c r="M222" s="18"/>
      <c r="AA222" s="18"/>
    </row>
    <row r="223" ht="15.75" customHeight="1">
      <c r="F223" s="4"/>
      <c r="G223" s="18"/>
      <c r="L223" s="4"/>
      <c r="M223" s="18"/>
      <c r="AA223" s="18"/>
    </row>
    <row r="224" ht="15.75" customHeight="1">
      <c r="F224" s="4"/>
      <c r="G224" s="18"/>
      <c r="L224" s="4"/>
      <c r="M224" s="18"/>
      <c r="AA224" s="18"/>
    </row>
    <row r="225" ht="15.75" customHeight="1">
      <c r="F225" s="4"/>
      <c r="G225" s="18"/>
      <c r="L225" s="4"/>
      <c r="M225" s="18"/>
      <c r="AA225" s="18"/>
    </row>
    <row r="226" ht="15.75" customHeight="1">
      <c r="F226" s="4"/>
      <c r="G226" s="18"/>
      <c r="L226" s="4"/>
      <c r="M226" s="18"/>
      <c r="AA226" s="18"/>
    </row>
    <row r="227" ht="15.75" customHeight="1">
      <c r="F227" s="4"/>
      <c r="G227" s="18"/>
      <c r="L227" s="4"/>
      <c r="M227" s="18"/>
      <c r="AA227" s="18"/>
    </row>
    <row r="228" ht="15.75" customHeight="1">
      <c r="F228" s="4"/>
      <c r="G228" s="18"/>
      <c r="L228" s="4"/>
      <c r="M228" s="18"/>
      <c r="AA228" s="18"/>
    </row>
    <row r="229" ht="15.75" customHeight="1">
      <c r="F229" s="4"/>
      <c r="G229" s="18"/>
      <c r="L229" s="4"/>
      <c r="M229" s="18"/>
      <c r="AA229" s="18"/>
    </row>
    <row r="230" ht="15.75" customHeight="1">
      <c r="F230" s="4"/>
      <c r="G230" s="18"/>
      <c r="L230" s="4"/>
      <c r="M230" s="18"/>
      <c r="AA230" s="18"/>
    </row>
    <row r="231" ht="15.75" customHeight="1">
      <c r="F231" s="4"/>
      <c r="G231" s="18"/>
      <c r="L231" s="4"/>
      <c r="M231" s="18"/>
      <c r="AA231" s="18"/>
    </row>
    <row r="232" ht="15.75" customHeight="1">
      <c r="F232" s="4"/>
      <c r="G232" s="18"/>
      <c r="L232" s="4"/>
      <c r="M232" s="18"/>
      <c r="AA232" s="18"/>
    </row>
    <row r="233" ht="15.75" customHeight="1">
      <c r="F233" s="4"/>
      <c r="G233" s="18"/>
      <c r="L233" s="4"/>
      <c r="M233" s="18"/>
      <c r="AA233" s="18"/>
    </row>
    <row r="234" ht="15.75" customHeight="1">
      <c r="F234" s="4"/>
      <c r="G234" s="18"/>
      <c r="L234" s="4"/>
      <c r="M234" s="18"/>
      <c r="AA234" s="18"/>
    </row>
    <row r="235" ht="15.75" customHeight="1">
      <c r="F235" s="4"/>
      <c r="G235" s="18"/>
      <c r="L235" s="4"/>
      <c r="M235" s="18"/>
      <c r="AA235" s="18"/>
    </row>
    <row r="236" ht="15.75" customHeight="1">
      <c r="F236" s="4"/>
      <c r="G236" s="18"/>
      <c r="L236" s="4"/>
      <c r="M236" s="18"/>
      <c r="AA236" s="18"/>
    </row>
    <row r="237" ht="15.75" customHeight="1">
      <c r="F237" s="4"/>
      <c r="G237" s="18"/>
      <c r="L237" s="4"/>
      <c r="M237" s="18"/>
      <c r="AA237" s="18"/>
    </row>
    <row r="238" ht="15.75" customHeight="1">
      <c r="F238" s="4"/>
      <c r="G238" s="18"/>
      <c r="L238" s="4"/>
      <c r="M238" s="18"/>
      <c r="AA238" s="18"/>
    </row>
    <row r="239" ht="15.75" customHeight="1">
      <c r="F239" s="4"/>
      <c r="G239" s="18"/>
      <c r="L239" s="4"/>
      <c r="M239" s="18"/>
      <c r="AA239" s="18"/>
    </row>
    <row r="240" ht="15.75" customHeight="1">
      <c r="F240" s="4"/>
      <c r="G240" s="18"/>
      <c r="L240" s="4"/>
      <c r="M240" s="18"/>
      <c r="AA240" s="18"/>
    </row>
    <row r="241" ht="15.75" customHeight="1">
      <c r="F241" s="4"/>
      <c r="G241" s="18"/>
      <c r="L241" s="4"/>
      <c r="M241" s="18"/>
      <c r="AA241" s="18"/>
    </row>
    <row r="242" ht="15.75" customHeight="1">
      <c r="F242" s="4"/>
      <c r="G242" s="18"/>
      <c r="L242" s="4"/>
      <c r="M242" s="18"/>
      <c r="AA242" s="18"/>
    </row>
    <row r="243" ht="15.75" customHeight="1">
      <c r="F243" s="4"/>
      <c r="G243" s="18"/>
      <c r="L243" s="4"/>
      <c r="M243" s="18"/>
      <c r="AA243" s="18"/>
    </row>
    <row r="244" ht="15.75" customHeight="1">
      <c r="F244" s="4"/>
      <c r="G244" s="18"/>
      <c r="L244" s="4"/>
      <c r="M244" s="18"/>
      <c r="AA244" s="18"/>
    </row>
    <row r="245" ht="15.75" customHeight="1">
      <c r="F245" s="4"/>
      <c r="G245" s="18"/>
      <c r="L245" s="4"/>
      <c r="M245" s="18"/>
      <c r="AA245" s="18"/>
    </row>
    <row r="246" ht="15.75" customHeight="1">
      <c r="F246" s="4"/>
      <c r="G246" s="18"/>
      <c r="L246" s="4"/>
      <c r="M246" s="18"/>
      <c r="AA246" s="18"/>
    </row>
    <row r="247" ht="15.75" customHeight="1">
      <c r="F247" s="4"/>
      <c r="G247" s="18"/>
      <c r="L247" s="4"/>
      <c r="M247" s="18"/>
      <c r="AA247" s="18"/>
    </row>
    <row r="248" ht="15.75" customHeight="1">
      <c r="F248" s="4"/>
      <c r="G248" s="18"/>
      <c r="L248" s="4"/>
      <c r="M248" s="18"/>
      <c r="AA248" s="18"/>
    </row>
    <row r="249" ht="15.75" customHeight="1">
      <c r="F249" s="4"/>
      <c r="G249" s="18"/>
      <c r="L249" s="4"/>
      <c r="M249" s="18"/>
      <c r="AA249" s="18"/>
    </row>
    <row r="250" ht="15.75" customHeight="1">
      <c r="F250" s="4"/>
      <c r="G250" s="18"/>
      <c r="L250" s="4"/>
      <c r="M250" s="18"/>
      <c r="AA250" s="18"/>
    </row>
    <row r="251" ht="15.75" customHeight="1">
      <c r="F251" s="4"/>
      <c r="G251" s="18"/>
      <c r="L251" s="4"/>
      <c r="M251" s="18"/>
      <c r="AA251" s="18"/>
    </row>
    <row r="252" ht="15.75" customHeight="1">
      <c r="F252" s="4"/>
      <c r="G252" s="18"/>
      <c r="L252" s="4"/>
      <c r="M252" s="18"/>
      <c r="AA252" s="18"/>
    </row>
    <row r="253" ht="15.75" customHeight="1">
      <c r="F253" s="4"/>
      <c r="G253" s="18"/>
      <c r="L253" s="4"/>
      <c r="M253" s="18"/>
      <c r="AA253" s="18"/>
    </row>
    <row r="254" ht="15.75" customHeight="1">
      <c r="F254" s="4"/>
      <c r="G254" s="18"/>
      <c r="L254" s="4"/>
      <c r="M254" s="18"/>
      <c r="AA254" s="18"/>
    </row>
    <row r="255" ht="15.75" customHeight="1">
      <c r="F255" s="4"/>
      <c r="G255" s="18"/>
      <c r="L255" s="4"/>
      <c r="M255" s="18"/>
      <c r="AA255" s="18"/>
    </row>
    <row r="256" ht="15.75" customHeight="1">
      <c r="F256" s="4"/>
      <c r="G256" s="18"/>
      <c r="L256" s="4"/>
      <c r="M256" s="18"/>
      <c r="AA256" s="18"/>
    </row>
    <row r="257" ht="15.75" customHeight="1">
      <c r="F257" s="4"/>
      <c r="G257" s="18"/>
      <c r="L257" s="4"/>
      <c r="M257" s="18"/>
      <c r="AA257" s="18"/>
    </row>
    <row r="258" ht="15.75" customHeight="1">
      <c r="F258" s="4"/>
      <c r="G258" s="18"/>
      <c r="L258" s="4"/>
      <c r="M258" s="18"/>
      <c r="AA258" s="18"/>
    </row>
    <row r="259" ht="15.75" customHeight="1">
      <c r="F259" s="4"/>
      <c r="G259" s="18"/>
      <c r="L259" s="4"/>
      <c r="M259" s="18"/>
      <c r="AA259" s="18"/>
    </row>
    <row r="260" ht="15.75" customHeight="1">
      <c r="F260" s="4"/>
      <c r="G260" s="18"/>
      <c r="L260" s="4"/>
      <c r="M260" s="18"/>
      <c r="AA260" s="18"/>
    </row>
    <row r="261" ht="15.75" customHeight="1">
      <c r="F261" s="4"/>
      <c r="G261" s="18"/>
      <c r="L261" s="4"/>
      <c r="M261" s="18"/>
      <c r="AA261" s="18"/>
    </row>
    <row r="262" ht="15.75" customHeight="1">
      <c r="F262" s="4"/>
      <c r="G262" s="18"/>
      <c r="L262" s="4"/>
      <c r="M262" s="18"/>
      <c r="AA262" s="18"/>
    </row>
    <row r="263" ht="15.75" customHeight="1">
      <c r="F263" s="4"/>
      <c r="G263" s="18"/>
      <c r="L263" s="4"/>
      <c r="M263" s="18"/>
      <c r="AA263" s="18"/>
    </row>
    <row r="264" ht="15.75" customHeight="1">
      <c r="F264" s="4"/>
      <c r="G264" s="18"/>
      <c r="L264" s="4"/>
      <c r="M264" s="18"/>
      <c r="AA264" s="18"/>
    </row>
    <row r="265" ht="15.75" customHeight="1">
      <c r="F265" s="4"/>
      <c r="G265" s="18"/>
      <c r="L265" s="4"/>
      <c r="M265" s="18"/>
      <c r="AA265" s="18"/>
    </row>
    <row r="266" ht="15.75" customHeight="1">
      <c r="F266" s="4"/>
      <c r="G266" s="18"/>
      <c r="L266" s="4"/>
      <c r="M266" s="18"/>
      <c r="AA266" s="18"/>
    </row>
    <row r="267" ht="15.75" customHeight="1">
      <c r="F267" s="4"/>
      <c r="G267" s="18"/>
      <c r="L267" s="4"/>
      <c r="M267" s="18"/>
      <c r="AA267" s="18"/>
    </row>
    <row r="268" ht="15.75" customHeight="1">
      <c r="F268" s="4"/>
      <c r="G268" s="18"/>
      <c r="L268" s="4"/>
      <c r="M268" s="18"/>
      <c r="AA268" s="18"/>
    </row>
    <row r="269" ht="15.75" customHeight="1">
      <c r="F269" s="4"/>
      <c r="G269" s="18"/>
      <c r="L269" s="4"/>
      <c r="M269" s="18"/>
      <c r="AA269" s="18"/>
    </row>
    <row r="270" ht="15.75" customHeight="1">
      <c r="F270" s="4"/>
      <c r="G270" s="18"/>
      <c r="L270" s="4"/>
      <c r="M270" s="18"/>
      <c r="AA270" s="18"/>
    </row>
    <row r="271" ht="15.75" customHeight="1">
      <c r="F271" s="4"/>
      <c r="G271" s="18"/>
      <c r="L271" s="4"/>
      <c r="M271" s="18"/>
      <c r="AA271" s="18"/>
    </row>
    <row r="272" ht="15.75" customHeight="1">
      <c r="F272" s="4"/>
      <c r="G272" s="18"/>
      <c r="L272" s="4"/>
      <c r="M272" s="18"/>
      <c r="AA272" s="18"/>
    </row>
    <row r="273" ht="15.75" customHeight="1">
      <c r="F273" s="4"/>
      <c r="G273" s="18"/>
      <c r="L273" s="4"/>
      <c r="M273" s="18"/>
      <c r="AA273" s="18"/>
    </row>
    <row r="274" ht="15.75" customHeight="1">
      <c r="F274" s="4"/>
      <c r="G274" s="18"/>
      <c r="L274" s="4"/>
      <c r="M274" s="18"/>
      <c r="AA274" s="18"/>
    </row>
    <row r="275" ht="15.75" customHeight="1">
      <c r="F275" s="4"/>
      <c r="G275" s="18"/>
      <c r="L275" s="4"/>
      <c r="M275" s="18"/>
      <c r="AA275" s="18"/>
    </row>
    <row r="276" ht="15.75" customHeight="1">
      <c r="F276" s="4"/>
      <c r="G276" s="18"/>
      <c r="L276" s="4"/>
      <c r="M276" s="18"/>
      <c r="AA276" s="18"/>
    </row>
    <row r="277" ht="15.75" customHeight="1">
      <c r="F277" s="4"/>
      <c r="G277" s="18"/>
      <c r="L277" s="4"/>
      <c r="M277" s="18"/>
      <c r="AA277" s="18"/>
    </row>
    <row r="278" ht="15.75" customHeight="1">
      <c r="F278" s="4"/>
      <c r="G278" s="18"/>
      <c r="L278" s="4"/>
      <c r="M278" s="18"/>
      <c r="AA278" s="18"/>
    </row>
    <row r="279" ht="15.75" customHeight="1">
      <c r="F279" s="4"/>
      <c r="G279" s="18"/>
      <c r="L279" s="4"/>
      <c r="M279" s="18"/>
      <c r="AA279" s="18"/>
    </row>
    <row r="280" ht="15.75" customHeight="1">
      <c r="F280" s="4"/>
      <c r="G280" s="18"/>
      <c r="L280" s="4"/>
      <c r="M280" s="18"/>
      <c r="AA280" s="18"/>
    </row>
    <row r="281" ht="15.75" customHeight="1">
      <c r="F281" s="4"/>
      <c r="G281" s="18"/>
      <c r="L281" s="4"/>
      <c r="M281" s="18"/>
      <c r="AA281" s="18"/>
    </row>
    <row r="282" ht="15.75" customHeight="1">
      <c r="F282" s="4"/>
      <c r="G282" s="18"/>
      <c r="L282" s="4"/>
      <c r="M282" s="18"/>
      <c r="AA282" s="18"/>
    </row>
    <row r="283" ht="15.75" customHeight="1">
      <c r="F283" s="4"/>
      <c r="G283" s="18"/>
      <c r="L283" s="4"/>
      <c r="M283" s="18"/>
      <c r="AA283" s="18"/>
    </row>
    <row r="284" ht="15.75" customHeight="1">
      <c r="F284" s="4"/>
      <c r="G284" s="18"/>
      <c r="L284" s="4"/>
      <c r="M284" s="18"/>
      <c r="AA284" s="18"/>
    </row>
    <row r="285" ht="15.75" customHeight="1">
      <c r="F285" s="4"/>
      <c r="G285" s="18"/>
      <c r="L285" s="4"/>
      <c r="M285" s="18"/>
      <c r="AA285" s="18"/>
    </row>
    <row r="286" ht="15.75" customHeight="1">
      <c r="F286" s="4"/>
      <c r="G286" s="18"/>
      <c r="L286" s="4"/>
      <c r="M286" s="18"/>
      <c r="AA286" s="18"/>
    </row>
    <row r="287" ht="15.75" customHeight="1">
      <c r="F287" s="4"/>
      <c r="G287" s="18"/>
      <c r="L287" s="4"/>
      <c r="M287" s="18"/>
      <c r="AA287" s="18"/>
    </row>
    <row r="288" ht="15.75" customHeight="1">
      <c r="F288" s="4"/>
      <c r="G288" s="18"/>
      <c r="L288" s="4"/>
      <c r="M288" s="18"/>
      <c r="AA288" s="18"/>
    </row>
    <row r="289" ht="15.75" customHeight="1">
      <c r="F289" s="4"/>
      <c r="G289" s="18"/>
      <c r="L289" s="4"/>
      <c r="M289" s="18"/>
      <c r="AA289" s="18"/>
    </row>
    <row r="290" ht="15.75" customHeight="1">
      <c r="F290" s="4"/>
      <c r="G290" s="18"/>
      <c r="L290" s="4"/>
      <c r="M290" s="18"/>
      <c r="AA290" s="18"/>
    </row>
    <row r="291" ht="15.75" customHeight="1">
      <c r="F291" s="4"/>
      <c r="G291" s="18"/>
      <c r="L291" s="4"/>
      <c r="M291" s="18"/>
      <c r="AA291" s="18"/>
    </row>
    <row r="292" ht="15.75" customHeight="1">
      <c r="F292" s="4"/>
      <c r="G292" s="18"/>
      <c r="L292" s="4"/>
      <c r="M292" s="18"/>
      <c r="AA292" s="18"/>
    </row>
    <row r="293" ht="15.75" customHeight="1">
      <c r="F293" s="4"/>
      <c r="G293" s="18"/>
      <c r="L293" s="4"/>
      <c r="M293" s="18"/>
      <c r="AA293" s="18"/>
    </row>
    <row r="294" ht="15.75" customHeight="1">
      <c r="F294" s="4"/>
      <c r="G294" s="18"/>
      <c r="L294" s="4"/>
      <c r="M294" s="18"/>
      <c r="AA294" s="18"/>
    </row>
    <row r="295" ht="15.75" customHeight="1">
      <c r="F295" s="4"/>
      <c r="G295" s="18"/>
      <c r="L295" s="4"/>
      <c r="M295" s="18"/>
      <c r="AA295" s="18"/>
    </row>
    <row r="296" ht="15.75" customHeight="1">
      <c r="F296" s="4"/>
      <c r="G296" s="18"/>
      <c r="L296" s="4"/>
      <c r="M296" s="18"/>
      <c r="AA296" s="18"/>
    </row>
    <row r="297" ht="15.75" customHeight="1">
      <c r="F297" s="4"/>
      <c r="G297" s="18"/>
      <c r="L297" s="4"/>
      <c r="M297" s="18"/>
      <c r="AA297" s="18"/>
    </row>
    <row r="298" ht="15.75" customHeight="1">
      <c r="F298" s="4"/>
      <c r="G298" s="18"/>
      <c r="L298" s="4"/>
      <c r="M298" s="18"/>
      <c r="AA298" s="18"/>
    </row>
    <row r="299" ht="15.75" customHeight="1">
      <c r="F299" s="4"/>
      <c r="G299" s="18"/>
      <c r="L299" s="4"/>
      <c r="M299" s="18"/>
      <c r="AA299" s="18"/>
    </row>
    <row r="300" ht="15.75" customHeight="1">
      <c r="F300" s="4"/>
      <c r="G300" s="18"/>
      <c r="L300" s="4"/>
      <c r="M300" s="18"/>
      <c r="AA300" s="18"/>
    </row>
    <row r="301" ht="15.75" customHeight="1">
      <c r="F301" s="4"/>
      <c r="G301" s="18"/>
      <c r="L301" s="4"/>
      <c r="M301" s="18"/>
      <c r="AA301" s="18"/>
    </row>
    <row r="302" ht="15.75" customHeight="1">
      <c r="F302" s="4"/>
      <c r="G302" s="18"/>
      <c r="L302" s="4"/>
      <c r="M302" s="18"/>
      <c r="AA302" s="18"/>
    </row>
    <row r="303" ht="15.75" customHeight="1">
      <c r="F303" s="4"/>
      <c r="G303" s="18"/>
      <c r="L303" s="4"/>
      <c r="M303" s="18"/>
      <c r="AA303" s="18"/>
    </row>
    <row r="304" ht="15.75" customHeight="1">
      <c r="F304" s="4"/>
      <c r="G304" s="18"/>
      <c r="L304" s="4"/>
      <c r="M304" s="18"/>
      <c r="AA304" s="18"/>
    </row>
    <row r="305" ht="15.75" customHeight="1">
      <c r="F305" s="4"/>
      <c r="G305" s="18"/>
      <c r="L305" s="4"/>
      <c r="M305" s="18"/>
      <c r="AA305" s="18"/>
    </row>
    <row r="306" ht="15.75" customHeight="1">
      <c r="F306" s="4"/>
      <c r="G306" s="18"/>
      <c r="L306" s="4"/>
      <c r="M306" s="18"/>
      <c r="AA306" s="18"/>
    </row>
    <row r="307" ht="15.75" customHeight="1">
      <c r="F307" s="4"/>
      <c r="G307" s="18"/>
      <c r="L307" s="4"/>
      <c r="M307" s="18"/>
      <c r="AA307" s="18"/>
    </row>
    <row r="308" ht="15.75" customHeight="1">
      <c r="F308" s="4"/>
      <c r="G308" s="18"/>
      <c r="L308" s="4"/>
      <c r="M308" s="18"/>
      <c r="AA308" s="18"/>
    </row>
    <row r="309" ht="15.75" customHeight="1">
      <c r="F309" s="4"/>
      <c r="G309" s="18"/>
      <c r="L309" s="4"/>
      <c r="M309" s="18"/>
      <c r="AA309" s="18"/>
    </row>
    <row r="310" ht="15.75" customHeight="1">
      <c r="F310" s="4"/>
      <c r="G310" s="18"/>
      <c r="L310" s="4"/>
      <c r="M310" s="18"/>
      <c r="AA310" s="18"/>
    </row>
    <row r="311" ht="15.75" customHeight="1">
      <c r="F311" s="4"/>
      <c r="G311" s="18"/>
      <c r="L311" s="4"/>
      <c r="M311" s="18"/>
      <c r="AA311" s="18"/>
    </row>
    <row r="312" ht="15.75" customHeight="1">
      <c r="F312" s="4"/>
      <c r="G312" s="18"/>
      <c r="L312" s="4"/>
      <c r="M312" s="18"/>
      <c r="AA312" s="18"/>
    </row>
    <row r="313" ht="15.75" customHeight="1">
      <c r="F313" s="4"/>
      <c r="G313" s="18"/>
      <c r="L313" s="4"/>
      <c r="M313" s="18"/>
      <c r="AA313" s="18"/>
    </row>
    <row r="314" ht="15.75" customHeight="1">
      <c r="F314" s="4"/>
      <c r="G314" s="18"/>
      <c r="L314" s="4"/>
      <c r="M314" s="18"/>
      <c r="AA314" s="18"/>
    </row>
    <row r="315" ht="15.75" customHeight="1">
      <c r="F315" s="4"/>
      <c r="G315" s="18"/>
      <c r="L315" s="4"/>
      <c r="M315" s="18"/>
      <c r="AA315" s="18"/>
    </row>
    <row r="316" ht="15.75" customHeight="1">
      <c r="F316" s="4"/>
      <c r="G316" s="18"/>
      <c r="L316" s="4"/>
      <c r="M316" s="18"/>
      <c r="AA316" s="18"/>
    </row>
    <row r="317" ht="15.75" customHeight="1">
      <c r="F317" s="4"/>
      <c r="G317" s="18"/>
      <c r="L317" s="4"/>
      <c r="M317" s="18"/>
      <c r="AA317" s="18"/>
    </row>
    <row r="318" ht="15.75" customHeight="1">
      <c r="F318" s="4"/>
      <c r="G318" s="18"/>
      <c r="L318" s="4"/>
      <c r="M318" s="18"/>
      <c r="AA318" s="18"/>
    </row>
    <row r="319" ht="15.75" customHeight="1">
      <c r="F319" s="4"/>
      <c r="G319" s="18"/>
      <c r="L319" s="4"/>
      <c r="M319" s="18"/>
      <c r="AA319" s="18"/>
    </row>
    <row r="320" ht="15.75" customHeight="1">
      <c r="F320" s="4"/>
      <c r="G320" s="18"/>
      <c r="L320" s="4"/>
      <c r="M320" s="18"/>
      <c r="AA320" s="18"/>
    </row>
    <row r="321" ht="15.75" customHeight="1">
      <c r="F321" s="4"/>
      <c r="G321" s="18"/>
      <c r="L321" s="4"/>
      <c r="M321" s="18"/>
      <c r="AA321" s="18"/>
    </row>
    <row r="322" ht="15.75" customHeight="1">
      <c r="F322" s="4"/>
      <c r="G322" s="18"/>
      <c r="L322" s="4"/>
      <c r="M322" s="18"/>
      <c r="AA322" s="18"/>
    </row>
    <row r="323" ht="15.75" customHeight="1">
      <c r="F323" s="4"/>
      <c r="G323" s="18"/>
      <c r="L323" s="4"/>
      <c r="M323" s="18"/>
      <c r="AA323" s="18"/>
    </row>
    <row r="324" ht="15.75" customHeight="1">
      <c r="F324" s="4"/>
      <c r="G324" s="18"/>
      <c r="L324" s="4"/>
      <c r="M324" s="18"/>
      <c r="AA324" s="18"/>
    </row>
    <row r="325" ht="15.75" customHeight="1">
      <c r="F325" s="4"/>
      <c r="G325" s="18"/>
      <c r="L325" s="4"/>
      <c r="M325" s="18"/>
      <c r="AA325" s="18"/>
    </row>
    <row r="326" ht="15.75" customHeight="1">
      <c r="F326" s="4"/>
      <c r="G326" s="18"/>
      <c r="L326" s="4"/>
      <c r="M326" s="18"/>
      <c r="AA326" s="18"/>
    </row>
    <row r="327" ht="15.75" customHeight="1">
      <c r="F327" s="4"/>
      <c r="G327" s="18"/>
      <c r="L327" s="4"/>
      <c r="M327" s="18"/>
      <c r="AA327" s="18"/>
    </row>
    <row r="328" ht="15.75" customHeight="1">
      <c r="F328" s="4"/>
      <c r="G328" s="18"/>
      <c r="L328" s="4"/>
      <c r="M328" s="18"/>
      <c r="AA328" s="18"/>
    </row>
    <row r="329" ht="15.75" customHeight="1">
      <c r="F329" s="4"/>
      <c r="G329" s="18"/>
      <c r="L329" s="4"/>
      <c r="M329" s="18"/>
      <c r="AA329" s="18"/>
    </row>
    <row r="330" ht="15.75" customHeight="1">
      <c r="F330" s="4"/>
      <c r="G330" s="18"/>
      <c r="L330" s="4"/>
      <c r="M330" s="18"/>
      <c r="AA330" s="18"/>
    </row>
    <row r="331" ht="15.75" customHeight="1">
      <c r="F331" s="4"/>
      <c r="G331" s="18"/>
      <c r="L331" s="4"/>
      <c r="M331" s="18"/>
      <c r="AA331" s="18"/>
    </row>
    <row r="332" ht="15.75" customHeight="1">
      <c r="F332" s="4"/>
      <c r="G332" s="18"/>
      <c r="L332" s="4"/>
      <c r="M332" s="18"/>
      <c r="AA332" s="18"/>
    </row>
    <row r="333" ht="15.75" customHeight="1">
      <c r="F333" s="4"/>
      <c r="G333" s="18"/>
      <c r="L333" s="4"/>
      <c r="M333" s="18"/>
      <c r="AA333" s="18"/>
    </row>
    <row r="334" ht="15.75" customHeight="1">
      <c r="F334" s="4"/>
      <c r="G334" s="18"/>
      <c r="L334" s="4"/>
      <c r="M334" s="18"/>
      <c r="AA334" s="18"/>
    </row>
    <row r="335" ht="15.75" customHeight="1">
      <c r="F335" s="4"/>
      <c r="G335" s="18"/>
      <c r="L335" s="4"/>
      <c r="M335" s="18"/>
      <c r="AA335" s="18"/>
    </row>
    <row r="336" ht="15.75" customHeight="1">
      <c r="F336" s="4"/>
      <c r="G336" s="18"/>
      <c r="L336" s="4"/>
      <c r="M336" s="18"/>
      <c r="AA336" s="18"/>
    </row>
    <row r="337" ht="15.75" customHeight="1">
      <c r="F337" s="4"/>
      <c r="G337" s="18"/>
      <c r="L337" s="4"/>
      <c r="M337" s="18"/>
      <c r="AA337" s="18"/>
    </row>
    <row r="338" ht="15.75" customHeight="1">
      <c r="F338" s="4"/>
      <c r="G338" s="18"/>
      <c r="L338" s="4"/>
      <c r="M338" s="18"/>
      <c r="AA338" s="18"/>
    </row>
    <row r="339" ht="15.75" customHeight="1">
      <c r="F339" s="4"/>
      <c r="G339" s="18"/>
      <c r="L339" s="4"/>
      <c r="M339" s="18"/>
      <c r="AA339" s="18"/>
    </row>
    <row r="340" ht="15.75" customHeight="1">
      <c r="F340" s="4"/>
      <c r="G340" s="18"/>
      <c r="L340" s="4"/>
      <c r="M340" s="18"/>
      <c r="AA340" s="18"/>
    </row>
    <row r="341" ht="15.75" customHeight="1">
      <c r="F341" s="4"/>
      <c r="G341" s="18"/>
      <c r="L341" s="4"/>
      <c r="M341" s="18"/>
      <c r="AA341" s="18"/>
    </row>
    <row r="342" ht="15.75" customHeight="1">
      <c r="F342" s="4"/>
      <c r="G342" s="18"/>
      <c r="L342" s="4"/>
      <c r="M342" s="18"/>
      <c r="AA342" s="18"/>
    </row>
    <row r="343" ht="15.75" customHeight="1">
      <c r="F343" s="4"/>
      <c r="G343" s="18"/>
      <c r="L343" s="4"/>
      <c r="M343" s="18"/>
      <c r="AA343" s="18"/>
    </row>
    <row r="344" ht="15.75" customHeight="1">
      <c r="F344" s="4"/>
      <c r="G344" s="18"/>
      <c r="L344" s="4"/>
      <c r="M344" s="18"/>
      <c r="AA344" s="18"/>
    </row>
    <row r="345" ht="15.75" customHeight="1">
      <c r="F345" s="4"/>
      <c r="G345" s="18"/>
      <c r="L345" s="4"/>
      <c r="M345" s="18"/>
      <c r="AA345" s="18"/>
    </row>
    <row r="346" ht="15.75" customHeight="1">
      <c r="F346" s="4"/>
      <c r="G346" s="18"/>
      <c r="L346" s="4"/>
      <c r="M346" s="18"/>
      <c r="AA346" s="18"/>
    </row>
    <row r="347" ht="15.75" customHeight="1">
      <c r="F347" s="4"/>
      <c r="G347" s="18"/>
      <c r="L347" s="4"/>
      <c r="M347" s="18"/>
      <c r="AA347" s="18"/>
    </row>
    <row r="348" ht="15.75" customHeight="1">
      <c r="F348" s="4"/>
      <c r="G348" s="18"/>
      <c r="L348" s="4"/>
      <c r="M348" s="18"/>
      <c r="AA348" s="18"/>
    </row>
    <row r="349" ht="15.75" customHeight="1">
      <c r="F349" s="4"/>
      <c r="G349" s="18"/>
      <c r="L349" s="4"/>
      <c r="M349" s="18"/>
      <c r="AA349" s="18"/>
    </row>
    <row r="350" ht="15.75" customHeight="1">
      <c r="F350" s="4"/>
      <c r="G350" s="18"/>
      <c r="L350" s="4"/>
      <c r="M350" s="18"/>
      <c r="AA350" s="18"/>
    </row>
    <row r="351" ht="15.75" customHeight="1">
      <c r="F351" s="4"/>
      <c r="G351" s="18"/>
      <c r="L351" s="4"/>
      <c r="M351" s="18"/>
      <c r="AA351" s="18"/>
    </row>
    <row r="352" ht="15.75" customHeight="1">
      <c r="F352" s="4"/>
      <c r="G352" s="18"/>
      <c r="L352" s="4"/>
      <c r="M352" s="18"/>
      <c r="AA352" s="18"/>
    </row>
    <row r="353" ht="15.75" customHeight="1">
      <c r="F353" s="4"/>
      <c r="G353" s="18"/>
      <c r="L353" s="4"/>
      <c r="M353" s="18"/>
      <c r="AA353" s="18"/>
    </row>
    <row r="354" ht="15.75" customHeight="1">
      <c r="F354" s="4"/>
      <c r="G354" s="18"/>
      <c r="L354" s="4"/>
      <c r="M354" s="18"/>
      <c r="AA354" s="18"/>
    </row>
    <row r="355" ht="15.75" customHeight="1">
      <c r="F355" s="4"/>
      <c r="G355" s="18"/>
      <c r="L355" s="4"/>
      <c r="M355" s="18"/>
      <c r="AA355" s="18"/>
    </row>
    <row r="356" ht="15.75" customHeight="1">
      <c r="F356" s="4"/>
      <c r="G356" s="18"/>
      <c r="L356" s="4"/>
      <c r="M356" s="18"/>
      <c r="AA356" s="18"/>
    </row>
    <row r="357" ht="15.75" customHeight="1">
      <c r="F357" s="4"/>
      <c r="G357" s="18"/>
      <c r="L357" s="4"/>
      <c r="M357" s="18"/>
      <c r="AA357" s="18"/>
    </row>
    <row r="358" ht="15.75" customHeight="1">
      <c r="F358" s="4"/>
      <c r="G358" s="18"/>
      <c r="L358" s="4"/>
      <c r="M358" s="18"/>
      <c r="AA358" s="18"/>
    </row>
    <row r="359" ht="15.75" customHeight="1">
      <c r="F359" s="4"/>
      <c r="G359" s="18"/>
      <c r="L359" s="4"/>
      <c r="M359" s="18"/>
      <c r="AA359" s="18"/>
    </row>
    <row r="360" ht="15.75" customHeight="1">
      <c r="F360" s="4"/>
      <c r="G360" s="18"/>
      <c r="L360" s="4"/>
      <c r="M360" s="18"/>
      <c r="AA360" s="18"/>
    </row>
    <row r="361" ht="15.75" customHeight="1">
      <c r="F361" s="4"/>
      <c r="G361" s="18"/>
      <c r="L361" s="4"/>
      <c r="M361" s="18"/>
      <c r="AA361" s="18"/>
    </row>
    <row r="362" ht="15.75" customHeight="1">
      <c r="F362" s="4"/>
      <c r="G362" s="18"/>
      <c r="L362" s="4"/>
      <c r="M362" s="18"/>
      <c r="AA362" s="18"/>
    </row>
    <row r="363" ht="15.75" customHeight="1">
      <c r="F363" s="4"/>
      <c r="G363" s="18"/>
      <c r="L363" s="4"/>
      <c r="M363" s="18"/>
      <c r="AA363" s="18"/>
    </row>
    <row r="364" ht="15.75" customHeight="1">
      <c r="F364" s="4"/>
      <c r="G364" s="18"/>
      <c r="L364" s="4"/>
      <c r="M364" s="18"/>
      <c r="AA364" s="18"/>
    </row>
    <row r="365" ht="15.75" customHeight="1">
      <c r="F365" s="4"/>
      <c r="G365" s="18"/>
      <c r="L365" s="4"/>
      <c r="M365" s="18"/>
      <c r="AA365" s="18"/>
    </row>
    <row r="366" ht="15.75" customHeight="1">
      <c r="F366" s="4"/>
      <c r="G366" s="18"/>
      <c r="L366" s="4"/>
      <c r="M366" s="18"/>
      <c r="AA366" s="18"/>
    </row>
    <row r="367" ht="15.75" customHeight="1">
      <c r="F367" s="4"/>
      <c r="G367" s="18"/>
      <c r="L367" s="4"/>
      <c r="M367" s="18"/>
      <c r="AA367" s="18"/>
    </row>
    <row r="368" ht="15.75" customHeight="1">
      <c r="F368" s="4"/>
      <c r="G368" s="18"/>
      <c r="L368" s="4"/>
      <c r="M368" s="18"/>
      <c r="AA368" s="18"/>
    </row>
    <row r="369" ht="15.75" customHeight="1">
      <c r="F369" s="4"/>
      <c r="G369" s="18"/>
      <c r="L369" s="4"/>
      <c r="M369" s="18"/>
      <c r="AA369" s="18"/>
    </row>
    <row r="370" ht="15.75" customHeight="1">
      <c r="F370" s="4"/>
      <c r="G370" s="18"/>
      <c r="L370" s="4"/>
      <c r="M370" s="18"/>
      <c r="AA370" s="18"/>
    </row>
    <row r="371" ht="15.75" customHeight="1">
      <c r="F371" s="4"/>
      <c r="G371" s="18"/>
      <c r="L371" s="4"/>
      <c r="M371" s="18"/>
      <c r="AA371" s="18"/>
    </row>
    <row r="372" ht="15.75" customHeight="1">
      <c r="F372" s="4"/>
      <c r="G372" s="18"/>
      <c r="L372" s="4"/>
      <c r="M372" s="18"/>
      <c r="AA372" s="18"/>
    </row>
    <row r="373" ht="15.75" customHeight="1">
      <c r="F373" s="4"/>
      <c r="G373" s="18"/>
      <c r="L373" s="4"/>
      <c r="M373" s="18"/>
      <c r="AA373" s="18"/>
    </row>
    <row r="374" ht="15.75" customHeight="1">
      <c r="F374" s="4"/>
      <c r="G374" s="18"/>
      <c r="L374" s="4"/>
      <c r="M374" s="18"/>
      <c r="AA374" s="18"/>
    </row>
    <row r="375" ht="15.75" customHeight="1">
      <c r="F375" s="4"/>
      <c r="G375" s="18"/>
      <c r="L375" s="4"/>
      <c r="M375" s="18"/>
      <c r="AA375" s="18"/>
    </row>
    <row r="376" ht="15.75" customHeight="1">
      <c r="F376" s="4"/>
      <c r="G376" s="18"/>
      <c r="L376" s="4"/>
      <c r="M376" s="18"/>
      <c r="AA376" s="18"/>
    </row>
    <row r="377" ht="15.75" customHeight="1">
      <c r="F377" s="4"/>
      <c r="G377" s="18"/>
      <c r="L377" s="4"/>
      <c r="M377" s="18"/>
      <c r="AA377" s="18"/>
    </row>
    <row r="378" ht="15.75" customHeight="1">
      <c r="F378" s="4"/>
      <c r="G378" s="18"/>
      <c r="L378" s="4"/>
      <c r="M378" s="18"/>
      <c r="AA378" s="18"/>
    </row>
    <row r="379" ht="15.75" customHeight="1">
      <c r="F379" s="4"/>
      <c r="G379" s="18"/>
      <c r="L379" s="4"/>
      <c r="M379" s="18"/>
      <c r="AA379" s="18"/>
    </row>
    <row r="380" ht="15.75" customHeight="1">
      <c r="F380" s="4"/>
      <c r="G380" s="18"/>
      <c r="L380" s="4"/>
      <c r="M380" s="18"/>
      <c r="AA380" s="18"/>
    </row>
    <row r="381" ht="15.75" customHeight="1">
      <c r="F381" s="4"/>
      <c r="G381" s="18"/>
      <c r="L381" s="4"/>
      <c r="M381" s="18"/>
      <c r="AA381" s="18"/>
    </row>
    <row r="382" ht="15.75" customHeight="1">
      <c r="F382" s="4"/>
      <c r="G382" s="18"/>
      <c r="L382" s="4"/>
      <c r="M382" s="18"/>
      <c r="AA382" s="18"/>
    </row>
    <row r="383" ht="15.75" customHeight="1">
      <c r="F383" s="4"/>
      <c r="G383" s="18"/>
      <c r="L383" s="4"/>
      <c r="M383" s="18"/>
      <c r="AA383" s="18"/>
    </row>
    <row r="384" ht="15.75" customHeight="1">
      <c r="F384" s="4"/>
      <c r="G384" s="18"/>
      <c r="L384" s="4"/>
      <c r="M384" s="18"/>
      <c r="AA384" s="18"/>
    </row>
    <row r="385" ht="15.75" customHeight="1">
      <c r="F385" s="4"/>
      <c r="G385" s="18"/>
      <c r="L385" s="4"/>
      <c r="M385" s="18"/>
      <c r="AA385" s="18"/>
    </row>
    <row r="386" ht="15.75" customHeight="1">
      <c r="F386" s="4"/>
      <c r="G386" s="18"/>
      <c r="L386" s="4"/>
      <c r="M386" s="18"/>
      <c r="AA386" s="18"/>
    </row>
    <row r="387" ht="15.75" customHeight="1">
      <c r="F387" s="4"/>
      <c r="G387" s="18"/>
      <c r="L387" s="4"/>
      <c r="M387" s="18"/>
      <c r="AA387" s="18"/>
    </row>
    <row r="388" ht="15.75" customHeight="1">
      <c r="F388" s="4"/>
      <c r="G388" s="18"/>
      <c r="L388" s="4"/>
      <c r="M388" s="18"/>
      <c r="AA388" s="18"/>
    </row>
    <row r="389" ht="15.75" customHeight="1">
      <c r="F389" s="4"/>
      <c r="G389" s="18"/>
      <c r="L389" s="4"/>
      <c r="M389" s="18"/>
      <c r="AA389" s="18"/>
    </row>
    <row r="390" ht="15.75" customHeight="1">
      <c r="F390" s="4"/>
      <c r="G390" s="18"/>
      <c r="L390" s="4"/>
      <c r="M390" s="18"/>
      <c r="AA390" s="18"/>
    </row>
    <row r="391" ht="15.75" customHeight="1">
      <c r="F391" s="4"/>
      <c r="G391" s="18"/>
      <c r="L391" s="4"/>
      <c r="M391" s="18"/>
      <c r="AA391" s="18"/>
    </row>
    <row r="392" ht="15.75" customHeight="1">
      <c r="F392" s="4"/>
      <c r="G392" s="18"/>
      <c r="L392" s="4"/>
      <c r="M392" s="18"/>
      <c r="AA392" s="18"/>
    </row>
    <row r="393" ht="15.75" customHeight="1">
      <c r="F393" s="4"/>
      <c r="G393" s="18"/>
      <c r="L393" s="4"/>
      <c r="M393" s="18"/>
      <c r="AA393" s="18"/>
    </row>
    <row r="394" ht="15.75" customHeight="1">
      <c r="F394" s="4"/>
      <c r="G394" s="18"/>
      <c r="L394" s="4"/>
      <c r="M394" s="18"/>
      <c r="AA394" s="18"/>
    </row>
    <row r="395" ht="15.75" customHeight="1">
      <c r="F395" s="4"/>
      <c r="G395" s="18"/>
      <c r="L395" s="4"/>
      <c r="M395" s="18"/>
      <c r="AA395" s="18"/>
    </row>
    <row r="396" ht="15.75" customHeight="1">
      <c r="F396" s="4"/>
      <c r="G396" s="18"/>
      <c r="L396" s="4"/>
      <c r="M396" s="18"/>
      <c r="AA396" s="18"/>
    </row>
    <row r="397" ht="15.75" customHeight="1">
      <c r="F397" s="4"/>
      <c r="G397" s="18"/>
      <c r="L397" s="4"/>
      <c r="M397" s="18"/>
      <c r="AA397" s="18"/>
    </row>
    <row r="398" ht="15.75" customHeight="1">
      <c r="F398" s="4"/>
      <c r="G398" s="18"/>
      <c r="L398" s="4"/>
      <c r="M398" s="18"/>
      <c r="AA398" s="18"/>
    </row>
    <row r="399" ht="15.75" customHeight="1">
      <c r="F399" s="4"/>
      <c r="G399" s="18"/>
      <c r="L399" s="4"/>
      <c r="M399" s="18"/>
      <c r="AA399" s="18"/>
    </row>
    <row r="400" ht="15.75" customHeight="1">
      <c r="F400" s="4"/>
      <c r="G400" s="18"/>
      <c r="L400" s="4"/>
      <c r="M400" s="18"/>
      <c r="AA400" s="18"/>
    </row>
    <row r="401" ht="15.75" customHeight="1">
      <c r="F401" s="4"/>
      <c r="G401" s="18"/>
      <c r="L401" s="4"/>
      <c r="M401" s="18"/>
      <c r="AA401" s="18"/>
    </row>
    <row r="402" ht="15.75" customHeight="1">
      <c r="F402" s="4"/>
      <c r="G402" s="18"/>
      <c r="L402" s="4"/>
      <c r="M402" s="18"/>
      <c r="AA402" s="18"/>
    </row>
    <row r="403" ht="15.75" customHeight="1">
      <c r="F403" s="4"/>
      <c r="G403" s="18"/>
      <c r="L403" s="4"/>
      <c r="M403" s="18"/>
      <c r="AA403" s="18"/>
    </row>
    <row r="404" ht="15.75" customHeight="1">
      <c r="F404" s="4"/>
      <c r="G404" s="18"/>
      <c r="L404" s="4"/>
      <c r="M404" s="18"/>
      <c r="AA404" s="18"/>
    </row>
    <row r="405" ht="15.75" customHeight="1">
      <c r="F405" s="4"/>
      <c r="G405" s="18"/>
      <c r="L405" s="4"/>
      <c r="M405" s="18"/>
      <c r="AA405" s="18"/>
    </row>
    <row r="406" ht="15.75" customHeight="1">
      <c r="F406" s="4"/>
      <c r="G406" s="18"/>
      <c r="L406" s="4"/>
      <c r="M406" s="18"/>
      <c r="AA406" s="18"/>
    </row>
    <row r="407" ht="15.75" customHeight="1">
      <c r="F407" s="4"/>
      <c r="G407" s="18"/>
      <c r="L407" s="4"/>
      <c r="M407" s="18"/>
      <c r="AA407" s="18"/>
    </row>
    <row r="408" ht="15.75" customHeight="1">
      <c r="F408" s="4"/>
      <c r="G408" s="18"/>
      <c r="L408" s="4"/>
      <c r="M408" s="18"/>
      <c r="AA408" s="18"/>
    </row>
    <row r="409" ht="15.75" customHeight="1">
      <c r="F409" s="4"/>
      <c r="G409" s="18"/>
      <c r="L409" s="4"/>
      <c r="M409" s="18"/>
      <c r="AA409" s="18"/>
    </row>
    <row r="410" ht="15.75" customHeight="1">
      <c r="F410" s="4"/>
      <c r="G410" s="18"/>
      <c r="L410" s="4"/>
      <c r="M410" s="18"/>
      <c r="AA410" s="18"/>
    </row>
    <row r="411" ht="15.75" customHeight="1">
      <c r="F411" s="4"/>
      <c r="G411" s="18"/>
      <c r="L411" s="4"/>
      <c r="M411" s="18"/>
      <c r="AA411" s="18"/>
    </row>
    <row r="412" ht="15.75" customHeight="1">
      <c r="F412" s="4"/>
      <c r="G412" s="18"/>
      <c r="L412" s="4"/>
      <c r="M412" s="18"/>
      <c r="AA412" s="18"/>
    </row>
    <row r="413" ht="15.75" customHeight="1">
      <c r="F413" s="4"/>
      <c r="G413" s="18"/>
      <c r="L413" s="4"/>
      <c r="M413" s="18"/>
      <c r="AA413" s="18"/>
    </row>
    <row r="414" ht="15.75" customHeight="1">
      <c r="F414" s="4"/>
      <c r="G414" s="18"/>
      <c r="L414" s="4"/>
      <c r="M414" s="18"/>
      <c r="AA414" s="18"/>
    </row>
    <row r="415" ht="15.75" customHeight="1">
      <c r="F415" s="4"/>
      <c r="G415" s="18"/>
      <c r="L415" s="4"/>
      <c r="M415" s="18"/>
      <c r="AA415" s="18"/>
    </row>
    <row r="416" ht="15.75" customHeight="1">
      <c r="F416" s="4"/>
      <c r="G416" s="18"/>
      <c r="L416" s="4"/>
      <c r="M416" s="18"/>
      <c r="AA416" s="18"/>
    </row>
    <row r="417" ht="15.75" customHeight="1">
      <c r="F417" s="4"/>
      <c r="G417" s="18"/>
      <c r="L417" s="4"/>
      <c r="M417" s="18"/>
      <c r="AA417" s="18"/>
    </row>
    <row r="418" ht="15.75" customHeight="1">
      <c r="F418" s="4"/>
      <c r="G418" s="18"/>
      <c r="L418" s="4"/>
      <c r="M418" s="18"/>
      <c r="AA418" s="18"/>
    </row>
    <row r="419" ht="15.75" customHeight="1">
      <c r="F419" s="4"/>
      <c r="G419" s="18"/>
      <c r="L419" s="4"/>
      <c r="M419" s="18"/>
      <c r="AA419" s="18"/>
    </row>
    <row r="420" ht="15.75" customHeight="1">
      <c r="F420" s="4"/>
      <c r="G420" s="18"/>
      <c r="L420" s="4"/>
      <c r="M420" s="18"/>
      <c r="AA420" s="18"/>
    </row>
    <row r="421" ht="15.75" customHeight="1">
      <c r="F421" s="4"/>
      <c r="G421" s="18"/>
      <c r="L421" s="4"/>
      <c r="M421" s="18"/>
      <c r="AA421" s="18"/>
    </row>
    <row r="422" ht="15.75" customHeight="1">
      <c r="F422" s="4"/>
      <c r="G422" s="18"/>
      <c r="L422" s="4"/>
      <c r="M422" s="18"/>
      <c r="AA422" s="18"/>
    </row>
    <row r="423" ht="15.75" customHeight="1">
      <c r="F423" s="4"/>
      <c r="G423" s="18"/>
      <c r="L423" s="4"/>
      <c r="M423" s="18"/>
      <c r="AA423" s="18"/>
    </row>
    <row r="424" ht="15.75" customHeight="1">
      <c r="F424" s="4"/>
      <c r="G424" s="18"/>
      <c r="L424" s="4"/>
      <c r="M424" s="18"/>
      <c r="AA424" s="18"/>
    </row>
    <row r="425" ht="15.75" customHeight="1">
      <c r="F425" s="4"/>
      <c r="G425" s="18"/>
      <c r="L425" s="4"/>
      <c r="M425" s="18"/>
      <c r="AA425" s="18"/>
    </row>
    <row r="426" ht="15.75" customHeight="1">
      <c r="F426" s="4"/>
      <c r="G426" s="18"/>
      <c r="L426" s="4"/>
      <c r="M426" s="18"/>
      <c r="AA426" s="18"/>
    </row>
    <row r="427" ht="15.75" customHeight="1">
      <c r="F427" s="4"/>
      <c r="G427" s="18"/>
      <c r="L427" s="4"/>
      <c r="M427" s="18"/>
      <c r="AA427" s="18"/>
    </row>
    <row r="428" ht="15.75" customHeight="1">
      <c r="F428" s="4"/>
      <c r="G428" s="18"/>
      <c r="L428" s="4"/>
      <c r="M428" s="18"/>
      <c r="AA428" s="18"/>
    </row>
    <row r="429" ht="15.75" customHeight="1">
      <c r="F429" s="4"/>
      <c r="G429" s="18"/>
      <c r="L429" s="4"/>
      <c r="M429" s="18"/>
      <c r="AA429" s="18"/>
    </row>
    <row r="430" ht="15.75" customHeight="1">
      <c r="F430" s="4"/>
      <c r="G430" s="18"/>
      <c r="L430" s="4"/>
      <c r="M430" s="18"/>
      <c r="AA430" s="18"/>
    </row>
    <row r="431" ht="15.75" customHeight="1">
      <c r="F431" s="4"/>
      <c r="G431" s="18"/>
      <c r="L431" s="4"/>
      <c r="M431" s="18"/>
      <c r="AA431" s="18"/>
    </row>
    <row r="432" ht="15.75" customHeight="1">
      <c r="F432" s="4"/>
      <c r="G432" s="18"/>
      <c r="L432" s="4"/>
      <c r="M432" s="18"/>
      <c r="AA432" s="18"/>
    </row>
    <row r="433" ht="15.75" customHeight="1">
      <c r="F433" s="4"/>
      <c r="G433" s="18"/>
      <c r="L433" s="4"/>
      <c r="M433" s="18"/>
      <c r="AA433" s="18"/>
    </row>
    <row r="434" ht="15.75" customHeight="1">
      <c r="F434" s="4"/>
      <c r="G434" s="18"/>
      <c r="L434" s="4"/>
      <c r="M434" s="18"/>
      <c r="AA434" s="18"/>
    </row>
    <row r="435" ht="15.75" customHeight="1">
      <c r="F435" s="4"/>
      <c r="G435" s="18"/>
      <c r="L435" s="4"/>
      <c r="M435" s="18"/>
      <c r="AA435" s="18"/>
    </row>
    <row r="436" ht="15.75" customHeight="1">
      <c r="F436" s="4"/>
      <c r="G436" s="18"/>
      <c r="L436" s="4"/>
      <c r="M436" s="18"/>
      <c r="AA436" s="18"/>
    </row>
    <row r="437" ht="15.75" customHeight="1">
      <c r="F437" s="4"/>
      <c r="G437" s="18"/>
      <c r="L437" s="4"/>
      <c r="M437" s="18"/>
      <c r="AA437" s="18"/>
    </row>
    <row r="438" ht="15.75" customHeight="1">
      <c r="F438" s="4"/>
      <c r="G438" s="18"/>
      <c r="L438" s="4"/>
      <c r="M438" s="18"/>
      <c r="AA438" s="18"/>
    </row>
    <row r="439" ht="15.75" customHeight="1">
      <c r="F439" s="4"/>
      <c r="G439" s="18"/>
      <c r="L439" s="4"/>
      <c r="M439" s="18"/>
      <c r="AA439" s="18"/>
    </row>
    <row r="440" ht="15.75" customHeight="1">
      <c r="F440" s="4"/>
      <c r="G440" s="18"/>
      <c r="L440" s="4"/>
      <c r="M440" s="18"/>
      <c r="AA440" s="18"/>
    </row>
    <row r="441" ht="15.75" customHeight="1">
      <c r="F441" s="4"/>
      <c r="G441" s="18"/>
      <c r="L441" s="4"/>
      <c r="M441" s="18"/>
      <c r="AA441" s="18"/>
    </row>
    <row r="442" ht="15.75" customHeight="1">
      <c r="F442" s="4"/>
      <c r="G442" s="18"/>
      <c r="L442" s="4"/>
      <c r="M442" s="18"/>
      <c r="AA442" s="18"/>
    </row>
    <row r="443" ht="15.75" customHeight="1">
      <c r="F443" s="4"/>
      <c r="G443" s="18"/>
      <c r="L443" s="4"/>
      <c r="M443" s="18"/>
      <c r="AA443" s="18"/>
    </row>
    <row r="444" ht="15.75" customHeight="1">
      <c r="F444" s="4"/>
      <c r="G444" s="18"/>
      <c r="L444" s="4"/>
      <c r="M444" s="18"/>
      <c r="AA444" s="18"/>
    </row>
    <row r="445" ht="15.75" customHeight="1">
      <c r="F445" s="4"/>
      <c r="G445" s="18"/>
      <c r="L445" s="4"/>
      <c r="M445" s="18"/>
      <c r="AA445" s="18"/>
    </row>
    <row r="446" ht="15.75" customHeight="1">
      <c r="F446" s="4"/>
      <c r="G446" s="18"/>
      <c r="L446" s="4"/>
      <c r="M446" s="18"/>
      <c r="AA446" s="18"/>
    </row>
    <row r="447" ht="15.75" customHeight="1">
      <c r="F447" s="4"/>
      <c r="G447" s="18"/>
      <c r="L447" s="4"/>
      <c r="M447" s="18"/>
      <c r="AA447" s="18"/>
    </row>
    <row r="448" ht="15.75" customHeight="1">
      <c r="F448" s="4"/>
      <c r="G448" s="18"/>
      <c r="L448" s="4"/>
      <c r="M448" s="18"/>
      <c r="AA448" s="18"/>
    </row>
    <row r="449" ht="15.75" customHeight="1">
      <c r="F449" s="4"/>
      <c r="G449" s="18"/>
      <c r="L449" s="4"/>
      <c r="M449" s="18"/>
      <c r="AA449" s="18"/>
    </row>
    <row r="450" ht="15.75" customHeight="1">
      <c r="F450" s="4"/>
      <c r="G450" s="18"/>
      <c r="L450" s="4"/>
      <c r="M450" s="18"/>
      <c r="AA450" s="18"/>
    </row>
    <row r="451" ht="15.75" customHeight="1">
      <c r="F451" s="4"/>
      <c r="G451" s="18"/>
      <c r="L451" s="4"/>
      <c r="M451" s="18"/>
      <c r="AA451" s="18"/>
    </row>
    <row r="452" ht="15.75" customHeight="1">
      <c r="F452" s="4"/>
      <c r="G452" s="18"/>
      <c r="L452" s="4"/>
      <c r="M452" s="18"/>
      <c r="AA452" s="18"/>
    </row>
    <row r="453" ht="15.75" customHeight="1">
      <c r="F453" s="4"/>
      <c r="G453" s="18"/>
      <c r="L453" s="4"/>
      <c r="M453" s="18"/>
      <c r="AA453" s="18"/>
    </row>
    <row r="454" ht="15.75" customHeight="1">
      <c r="F454" s="4"/>
      <c r="G454" s="18"/>
      <c r="L454" s="4"/>
      <c r="M454" s="18"/>
      <c r="AA454" s="18"/>
    </row>
    <row r="455" ht="15.75" customHeight="1">
      <c r="F455" s="4"/>
      <c r="G455" s="18"/>
      <c r="L455" s="4"/>
      <c r="M455" s="18"/>
      <c r="AA455" s="18"/>
    </row>
    <row r="456" ht="15.75" customHeight="1">
      <c r="F456" s="4"/>
      <c r="G456" s="18"/>
      <c r="L456" s="4"/>
      <c r="M456" s="18"/>
      <c r="AA456" s="18"/>
    </row>
    <row r="457" ht="15.75" customHeight="1">
      <c r="F457" s="4"/>
      <c r="G457" s="18"/>
      <c r="L457" s="4"/>
      <c r="M457" s="18"/>
      <c r="AA457" s="18"/>
    </row>
    <row r="458" ht="15.75" customHeight="1">
      <c r="F458" s="4"/>
      <c r="G458" s="18"/>
      <c r="L458" s="4"/>
      <c r="M458" s="18"/>
      <c r="AA458" s="18"/>
    </row>
    <row r="459" ht="15.75" customHeight="1">
      <c r="F459" s="4"/>
      <c r="G459" s="18"/>
      <c r="L459" s="4"/>
      <c r="M459" s="18"/>
      <c r="AA459" s="18"/>
    </row>
    <row r="460" ht="15.75" customHeight="1">
      <c r="F460" s="4"/>
      <c r="G460" s="18"/>
      <c r="L460" s="4"/>
      <c r="M460" s="18"/>
      <c r="AA460" s="18"/>
    </row>
    <row r="461" ht="15.75" customHeight="1">
      <c r="F461" s="4"/>
      <c r="G461" s="18"/>
      <c r="L461" s="4"/>
      <c r="M461" s="18"/>
      <c r="AA461" s="18"/>
    </row>
    <row r="462" ht="15.75" customHeight="1">
      <c r="F462" s="4"/>
      <c r="G462" s="18"/>
      <c r="L462" s="4"/>
      <c r="M462" s="18"/>
      <c r="AA462" s="18"/>
    </row>
    <row r="463" ht="15.75" customHeight="1">
      <c r="F463" s="4"/>
      <c r="G463" s="18"/>
      <c r="L463" s="4"/>
      <c r="M463" s="18"/>
      <c r="AA463" s="18"/>
    </row>
    <row r="464" ht="15.75" customHeight="1">
      <c r="F464" s="4"/>
      <c r="G464" s="18"/>
      <c r="L464" s="4"/>
      <c r="M464" s="18"/>
      <c r="AA464" s="18"/>
    </row>
    <row r="465" ht="15.75" customHeight="1">
      <c r="F465" s="4"/>
      <c r="G465" s="18"/>
      <c r="L465" s="4"/>
      <c r="M465" s="18"/>
      <c r="AA465" s="18"/>
    </row>
    <row r="466" ht="15.75" customHeight="1">
      <c r="F466" s="4"/>
      <c r="G466" s="18"/>
      <c r="L466" s="4"/>
      <c r="M466" s="18"/>
      <c r="AA466" s="18"/>
    </row>
    <row r="467" ht="15.75" customHeight="1">
      <c r="F467" s="4"/>
      <c r="G467" s="18"/>
      <c r="L467" s="4"/>
      <c r="M467" s="18"/>
      <c r="AA467" s="18"/>
    </row>
    <row r="468" ht="15.75" customHeight="1">
      <c r="F468" s="4"/>
      <c r="G468" s="18"/>
      <c r="L468" s="4"/>
      <c r="M468" s="18"/>
      <c r="AA468" s="18"/>
    </row>
    <row r="469" ht="15.75" customHeight="1">
      <c r="F469" s="4"/>
      <c r="G469" s="18"/>
      <c r="L469" s="4"/>
      <c r="M469" s="18"/>
      <c r="AA469" s="18"/>
    </row>
    <row r="470" ht="15.75" customHeight="1">
      <c r="F470" s="4"/>
      <c r="G470" s="18"/>
      <c r="L470" s="4"/>
      <c r="M470" s="18"/>
      <c r="AA470" s="18"/>
    </row>
    <row r="471" ht="15.75" customHeight="1">
      <c r="F471" s="4"/>
      <c r="G471" s="18"/>
      <c r="L471" s="4"/>
      <c r="M471" s="18"/>
      <c r="AA471" s="18"/>
    </row>
    <row r="472" ht="15.75" customHeight="1">
      <c r="F472" s="4"/>
      <c r="G472" s="18"/>
      <c r="L472" s="4"/>
      <c r="M472" s="18"/>
      <c r="AA472" s="18"/>
    </row>
    <row r="473" ht="15.75" customHeight="1">
      <c r="F473" s="4"/>
      <c r="G473" s="18"/>
      <c r="L473" s="4"/>
      <c r="M473" s="18"/>
      <c r="AA473" s="18"/>
    </row>
    <row r="474" ht="15.75" customHeight="1">
      <c r="F474" s="4"/>
      <c r="G474" s="18"/>
      <c r="L474" s="4"/>
      <c r="M474" s="18"/>
      <c r="AA474" s="18"/>
    </row>
    <row r="475" ht="15.75" customHeight="1">
      <c r="F475" s="4"/>
      <c r="G475" s="18"/>
      <c r="L475" s="4"/>
      <c r="M475" s="18"/>
      <c r="AA475" s="18"/>
    </row>
    <row r="476" ht="15.75" customHeight="1">
      <c r="F476" s="4"/>
      <c r="G476" s="18"/>
      <c r="L476" s="4"/>
      <c r="M476" s="18"/>
      <c r="AA476" s="18"/>
    </row>
    <row r="477" ht="15.75" customHeight="1">
      <c r="F477" s="4"/>
      <c r="G477" s="18"/>
      <c r="L477" s="4"/>
      <c r="M477" s="18"/>
      <c r="AA477" s="18"/>
    </row>
    <row r="478" ht="15.75" customHeight="1">
      <c r="F478" s="4"/>
      <c r="G478" s="18"/>
      <c r="L478" s="4"/>
      <c r="M478" s="18"/>
      <c r="AA478" s="18"/>
    </row>
    <row r="479" ht="15.75" customHeight="1">
      <c r="F479" s="4"/>
      <c r="G479" s="18"/>
      <c r="L479" s="4"/>
      <c r="M479" s="18"/>
      <c r="AA479" s="18"/>
    </row>
    <row r="480" ht="15.75" customHeight="1">
      <c r="F480" s="4"/>
      <c r="G480" s="18"/>
      <c r="L480" s="4"/>
      <c r="M480" s="18"/>
      <c r="AA480" s="18"/>
    </row>
    <row r="481" ht="15.75" customHeight="1">
      <c r="F481" s="4"/>
      <c r="G481" s="18"/>
      <c r="L481" s="4"/>
      <c r="M481" s="18"/>
      <c r="AA481" s="18"/>
    </row>
    <row r="482" ht="15.75" customHeight="1">
      <c r="F482" s="4"/>
      <c r="G482" s="18"/>
      <c r="L482" s="4"/>
      <c r="M482" s="18"/>
      <c r="AA482" s="18"/>
    </row>
    <row r="483" ht="15.75" customHeight="1">
      <c r="F483" s="4"/>
      <c r="G483" s="18"/>
      <c r="L483" s="4"/>
      <c r="M483" s="18"/>
      <c r="AA483" s="18"/>
    </row>
    <row r="484" ht="15.75" customHeight="1">
      <c r="F484" s="4"/>
      <c r="G484" s="18"/>
      <c r="L484" s="4"/>
      <c r="M484" s="18"/>
      <c r="AA484" s="18"/>
    </row>
    <row r="485" ht="15.75" customHeight="1">
      <c r="F485" s="4"/>
      <c r="G485" s="18"/>
      <c r="L485" s="4"/>
      <c r="M485" s="18"/>
      <c r="AA485" s="18"/>
    </row>
    <row r="486" ht="15.75" customHeight="1">
      <c r="F486" s="4"/>
      <c r="G486" s="18"/>
      <c r="L486" s="4"/>
      <c r="M486" s="18"/>
      <c r="AA486" s="18"/>
    </row>
    <row r="487" ht="15.75" customHeight="1">
      <c r="F487" s="4"/>
      <c r="G487" s="18"/>
      <c r="L487" s="4"/>
      <c r="M487" s="18"/>
      <c r="AA487" s="18"/>
    </row>
    <row r="488" ht="15.75" customHeight="1">
      <c r="F488" s="4"/>
      <c r="G488" s="18"/>
      <c r="L488" s="4"/>
      <c r="M488" s="18"/>
      <c r="AA488" s="18"/>
    </row>
    <row r="489" ht="15.75" customHeight="1">
      <c r="F489" s="4"/>
      <c r="G489" s="18"/>
      <c r="L489" s="4"/>
      <c r="M489" s="18"/>
      <c r="AA489" s="18"/>
    </row>
    <row r="490" ht="15.75" customHeight="1">
      <c r="F490" s="4"/>
      <c r="G490" s="18"/>
      <c r="L490" s="4"/>
      <c r="M490" s="18"/>
      <c r="AA490" s="18"/>
    </row>
    <row r="491" ht="15.75" customHeight="1">
      <c r="F491" s="4"/>
      <c r="G491" s="18"/>
      <c r="L491" s="4"/>
      <c r="M491" s="18"/>
      <c r="AA491" s="18"/>
    </row>
    <row r="492" ht="15.75" customHeight="1">
      <c r="F492" s="4"/>
      <c r="G492" s="18"/>
      <c r="L492" s="4"/>
      <c r="M492" s="18"/>
      <c r="AA492" s="18"/>
    </row>
    <row r="493" ht="15.75" customHeight="1">
      <c r="F493" s="4"/>
      <c r="G493" s="18"/>
      <c r="L493" s="4"/>
      <c r="M493" s="18"/>
      <c r="AA493" s="18"/>
    </row>
    <row r="494" ht="15.75" customHeight="1">
      <c r="F494" s="4"/>
      <c r="G494" s="18"/>
      <c r="L494" s="4"/>
      <c r="M494" s="18"/>
      <c r="AA494" s="18"/>
    </row>
    <row r="495" ht="15.75" customHeight="1">
      <c r="F495" s="4"/>
      <c r="G495" s="18"/>
      <c r="L495" s="4"/>
      <c r="M495" s="18"/>
      <c r="AA495" s="18"/>
    </row>
    <row r="496" ht="15.75" customHeight="1">
      <c r="F496" s="4"/>
      <c r="G496" s="18"/>
      <c r="L496" s="4"/>
      <c r="M496" s="18"/>
      <c r="AA496" s="18"/>
    </row>
    <row r="497" ht="15.75" customHeight="1">
      <c r="F497" s="4"/>
      <c r="G497" s="18"/>
      <c r="L497" s="4"/>
      <c r="M497" s="18"/>
      <c r="AA497" s="18"/>
    </row>
    <row r="498" ht="15.75" customHeight="1">
      <c r="F498" s="4"/>
      <c r="G498" s="18"/>
      <c r="L498" s="4"/>
      <c r="M498" s="18"/>
      <c r="AA498" s="18"/>
    </row>
    <row r="499" ht="15.75" customHeight="1">
      <c r="F499" s="4"/>
      <c r="G499" s="18"/>
      <c r="L499" s="4"/>
      <c r="M499" s="18"/>
      <c r="AA499" s="18"/>
    </row>
    <row r="500" ht="15.75" customHeight="1">
      <c r="F500" s="4"/>
      <c r="G500" s="18"/>
      <c r="L500" s="4"/>
      <c r="M500" s="18"/>
      <c r="AA500" s="18"/>
    </row>
    <row r="501" ht="15.75" customHeight="1">
      <c r="F501" s="4"/>
      <c r="G501" s="18"/>
      <c r="L501" s="4"/>
      <c r="M501" s="18"/>
      <c r="AA501" s="18"/>
    </row>
    <row r="502" ht="15.75" customHeight="1">
      <c r="F502" s="4"/>
      <c r="G502" s="18"/>
      <c r="L502" s="4"/>
      <c r="M502" s="18"/>
      <c r="AA502" s="18"/>
    </row>
    <row r="503" ht="15.75" customHeight="1">
      <c r="F503" s="4"/>
      <c r="G503" s="18"/>
      <c r="L503" s="4"/>
      <c r="M503" s="18"/>
      <c r="AA503" s="18"/>
    </row>
    <row r="504" ht="15.75" customHeight="1">
      <c r="F504" s="4"/>
      <c r="G504" s="18"/>
      <c r="L504" s="4"/>
      <c r="M504" s="18"/>
      <c r="AA504" s="18"/>
    </row>
    <row r="505" ht="15.75" customHeight="1">
      <c r="F505" s="4"/>
      <c r="G505" s="18"/>
      <c r="L505" s="4"/>
      <c r="M505" s="18"/>
      <c r="AA505" s="18"/>
    </row>
    <row r="506" ht="15.75" customHeight="1">
      <c r="F506" s="4"/>
      <c r="G506" s="18"/>
      <c r="L506" s="4"/>
      <c r="M506" s="18"/>
      <c r="AA506" s="18"/>
    </row>
    <row r="507" ht="15.75" customHeight="1">
      <c r="F507" s="4"/>
      <c r="G507" s="18"/>
      <c r="L507" s="4"/>
      <c r="M507" s="18"/>
      <c r="AA507" s="18"/>
    </row>
    <row r="508" ht="15.75" customHeight="1">
      <c r="F508" s="4"/>
      <c r="G508" s="18"/>
      <c r="L508" s="4"/>
      <c r="M508" s="18"/>
      <c r="AA508" s="18"/>
    </row>
    <row r="509" ht="15.75" customHeight="1">
      <c r="F509" s="4"/>
      <c r="G509" s="18"/>
      <c r="L509" s="4"/>
      <c r="M509" s="18"/>
      <c r="AA509" s="18"/>
    </row>
    <row r="510" ht="15.75" customHeight="1">
      <c r="F510" s="4"/>
      <c r="G510" s="18"/>
      <c r="L510" s="4"/>
      <c r="M510" s="18"/>
      <c r="AA510" s="18"/>
    </row>
    <row r="511" ht="15.75" customHeight="1">
      <c r="F511" s="4"/>
      <c r="G511" s="18"/>
      <c r="L511" s="4"/>
      <c r="M511" s="18"/>
      <c r="AA511" s="18"/>
    </row>
    <row r="512" ht="15.75" customHeight="1">
      <c r="F512" s="4"/>
      <c r="G512" s="18"/>
      <c r="L512" s="4"/>
      <c r="M512" s="18"/>
      <c r="AA512" s="18"/>
    </row>
    <row r="513" ht="15.75" customHeight="1">
      <c r="F513" s="4"/>
      <c r="G513" s="18"/>
      <c r="L513" s="4"/>
      <c r="M513" s="18"/>
      <c r="AA513" s="18"/>
    </row>
    <row r="514" ht="15.75" customHeight="1">
      <c r="F514" s="4"/>
      <c r="G514" s="18"/>
      <c r="L514" s="4"/>
      <c r="M514" s="18"/>
      <c r="AA514" s="18"/>
    </row>
    <row r="515" ht="15.75" customHeight="1">
      <c r="F515" s="4"/>
      <c r="G515" s="18"/>
      <c r="L515" s="4"/>
      <c r="M515" s="18"/>
      <c r="AA515" s="18"/>
    </row>
    <row r="516" ht="15.75" customHeight="1">
      <c r="F516" s="4"/>
      <c r="G516" s="18"/>
      <c r="L516" s="4"/>
      <c r="M516" s="18"/>
      <c r="AA516" s="18"/>
    </row>
    <row r="517" ht="15.75" customHeight="1">
      <c r="F517" s="4"/>
      <c r="G517" s="18"/>
      <c r="L517" s="4"/>
      <c r="M517" s="18"/>
      <c r="AA517" s="18"/>
    </row>
    <row r="518" ht="15.75" customHeight="1">
      <c r="F518" s="4"/>
      <c r="G518" s="18"/>
      <c r="L518" s="4"/>
      <c r="M518" s="18"/>
      <c r="AA518" s="18"/>
    </row>
    <row r="519" ht="15.75" customHeight="1">
      <c r="F519" s="4"/>
      <c r="G519" s="18"/>
      <c r="L519" s="4"/>
      <c r="M519" s="18"/>
      <c r="AA519" s="18"/>
    </row>
    <row r="520" ht="15.75" customHeight="1">
      <c r="F520" s="4"/>
      <c r="G520" s="18"/>
      <c r="L520" s="4"/>
      <c r="M520" s="18"/>
      <c r="AA520" s="18"/>
    </row>
    <row r="521" ht="15.75" customHeight="1">
      <c r="F521" s="4"/>
      <c r="G521" s="18"/>
      <c r="L521" s="4"/>
      <c r="M521" s="18"/>
      <c r="AA521" s="18"/>
    </row>
    <row r="522" ht="15.75" customHeight="1">
      <c r="F522" s="4"/>
      <c r="G522" s="18"/>
      <c r="L522" s="4"/>
      <c r="M522" s="18"/>
      <c r="AA522" s="18"/>
    </row>
    <row r="523" ht="15.75" customHeight="1">
      <c r="F523" s="4"/>
      <c r="G523" s="18"/>
      <c r="L523" s="4"/>
      <c r="M523" s="18"/>
      <c r="AA523" s="18"/>
    </row>
    <row r="524" ht="15.75" customHeight="1">
      <c r="F524" s="4"/>
      <c r="G524" s="18"/>
      <c r="L524" s="4"/>
      <c r="M524" s="18"/>
      <c r="AA524" s="18"/>
    </row>
    <row r="525" ht="15.75" customHeight="1">
      <c r="F525" s="4"/>
      <c r="G525" s="18"/>
      <c r="L525" s="4"/>
      <c r="M525" s="18"/>
      <c r="AA525" s="18"/>
    </row>
    <row r="526" ht="15.75" customHeight="1">
      <c r="F526" s="4"/>
      <c r="G526" s="18"/>
      <c r="L526" s="4"/>
      <c r="M526" s="18"/>
      <c r="AA526" s="18"/>
    </row>
    <row r="527" ht="15.75" customHeight="1">
      <c r="F527" s="4"/>
      <c r="G527" s="18"/>
      <c r="L527" s="4"/>
      <c r="M527" s="18"/>
      <c r="AA527" s="18"/>
    </row>
    <row r="528" ht="15.75" customHeight="1">
      <c r="F528" s="4"/>
      <c r="G528" s="18"/>
      <c r="L528" s="4"/>
      <c r="M528" s="18"/>
      <c r="AA528" s="18"/>
    </row>
    <row r="529" ht="15.75" customHeight="1">
      <c r="F529" s="4"/>
      <c r="G529" s="18"/>
      <c r="L529" s="4"/>
      <c r="M529" s="18"/>
      <c r="AA529" s="18"/>
    </row>
    <row r="530" ht="15.75" customHeight="1">
      <c r="F530" s="4"/>
      <c r="G530" s="18"/>
      <c r="L530" s="4"/>
      <c r="M530" s="18"/>
      <c r="AA530" s="18"/>
    </row>
    <row r="531" ht="15.75" customHeight="1">
      <c r="F531" s="4"/>
      <c r="G531" s="18"/>
      <c r="L531" s="4"/>
      <c r="M531" s="18"/>
      <c r="AA531" s="18"/>
    </row>
    <row r="532" ht="15.75" customHeight="1">
      <c r="F532" s="4"/>
      <c r="G532" s="18"/>
      <c r="L532" s="4"/>
      <c r="M532" s="18"/>
      <c r="AA532" s="18"/>
    </row>
    <row r="533" ht="15.75" customHeight="1">
      <c r="F533" s="4"/>
      <c r="G533" s="18"/>
      <c r="L533" s="4"/>
      <c r="M533" s="18"/>
      <c r="AA533" s="18"/>
    </row>
    <row r="534" ht="15.75" customHeight="1">
      <c r="F534" s="4"/>
      <c r="G534" s="18"/>
      <c r="L534" s="4"/>
      <c r="M534" s="18"/>
      <c r="AA534" s="18"/>
    </row>
    <row r="535" ht="15.75" customHeight="1">
      <c r="F535" s="4"/>
      <c r="G535" s="18"/>
      <c r="L535" s="4"/>
      <c r="M535" s="18"/>
      <c r="AA535" s="18"/>
    </row>
    <row r="536" ht="15.75" customHeight="1">
      <c r="F536" s="4"/>
      <c r="G536" s="18"/>
      <c r="L536" s="4"/>
      <c r="M536" s="18"/>
      <c r="AA536" s="18"/>
    </row>
    <row r="537" ht="15.75" customHeight="1">
      <c r="F537" s="4"/>
      <c r="G537" s="18"/>
      <c r="L537" s="4"/>
      <c r="M537" s="18"/>
      <c r="AA537" s="18"/>
    </row>
    <row r="538" ht="15.75" customHeight="1">
      <c r="F538" s="4"/>
      <c r="G538" s="18"/>
      <c r="L538" s="4"/>
      <c r="M538" s="18"/>
      <c r="AA538" s="18"/>
    </row>
    <row r="539" ht="15.75" customHeight="1">
      <c r="F539" s="4"/>
      <c r="G539" s="18"/>
      <c r="L539" s="4"/>
      <c r="M539" s="18"/>
      <c r="AA539" s="18"/>
    </row>
    <row r="540" ht="15.75" customHeight="1">
      <c r="F540" s="4"/>
      <c r="G540" s="18"/>
      <c r="L540" s="4"/>
      <c r="M540" s="18"/>
      <c r="AA540" s="18"/>
    </row>
    <row r="541" ht="15.75" customHeight="1">
      <c r="F541" s="4"/>
      <c r="G541" s="18"/>
      <c r="L541" s="4"/>
      <c r="M541" s="18"/>
      <c r="AA541" s="18"/>
    </row>
    <row r="542" ht="15.75" customHeight="1">
      <c r="F542" s="4"/>
      <c r="G542" s="18"/>
      <c r="L542" s="4"/>
      <c r="M542" s="18"/>
      <c r="AA542" s="18"/>
    </row>
    <row r="543" ht="15.75" customHeight="1">
      <c r="F543" s="4"/>
      <c r="G543" s="18"/>
      <c r="L543" s="4"/>
      <c r="M543" s="18"/>
      <c r="AA543" s="18"/>
    </row>
    <row r="544" ht="15.75" customHeight="1">
      <c r="F544" s="4"/>
      <c r="G544" s="18"/>
      <c r="L544" s="4"/>
      <c r="M544" s="18"/>
      <c r="AA544" s="18"/>
    </row>
    <row r="545" ht="15.75" customHeight="1">
      <c r="F545" s="4"/>
      <c r="G545" s="18"/>
      <c r="L545" s="4"/>
      <c r="M545" s="18"/>
      <c r="AA545" s="18"/>
    </row>
    <row r="546" ht="15.75" customHeight="1">
      <c r="F546" s="4"/>
      <c r="G546" s="18"/>
      <c r="L546" s="4"/>
      <c r="M546" s="18"/>
      <c r="AA546" s="18"/>
    </row>
    <row r="547" ht="15.75" customHeight="1">
      <c r="F547" s="4"/>
      <c r="G547" s="18"/>
      <c r="L547" s="4"/>
      <c r="M547" s="18"/>
      <c r="AA547" s="18"/>
    </row>
    <row r="548" ht="15.75" customHeight="1">
      <c r="F548" s="4"/>
      <c r="G548" s="18"/>
      <c r="L548" s="4"/>
      <c r="M548" s="18"/>
      <c r="AA548" s="18"/>
    </row>
    <row r="549" ht="15.75" customHeight="1">
      <c r="F549" s="4"/>
      <c r="G549" s="18"/>
      <c r="L549" s="4"/>
      <c r="M549" s="18"/>
      <c r="AA549" s="18"/>
    </row>
    <row r="550" ht="15.75" customHeight="1">
      <c r="F550" s="4"/>
      <c r="G550" s="18"/>
      <c r="L550" s="4"/>
      <c r="M550" s="18"/>
      <c r="AA550" s="18"/>
    </row>
    <row r="551" ht="15.75" customHeight="1">
      <c r="F551" s="4"/>
      <c r="G551" s="18"/>
      <c r="L551" s="4"/>
      <c r="M551" s="18"/>
      <c r="AA551" s="18"/>
    </row>
    <row r="552" ht="15.75" customHeight="1">
      <c r="F552" s="4"/>
      <c r="G552" s="18"/>
      <c r="L552" s="4"/>
      <c r="M552" s="18"/>
      <c r="AA552" s="18"/>
    </row>
    <row r="553" ht="15.75" customHeight="1">
      <c r="F553" s="4"/>
      <c r="G553" s="18"/>
      <c r="L553" s="4"/>
      <c r="M553" s="18"/>
      <c r="AA553" s="18"/>
    </row>
    <row r="554" ht="15.75" customHeight="1">
      <c r="F554" s="4"/>
      <c r="G554" s="18"/>
      <c r="L554" s="4"/>
      <c r="M554" s="18"/>
      <c r="AA554" s="18"/>
    </row>
    <row r="555" ht="15.75" customHeight="1">
      <c r="F555" s="4"/>
      <c r="G555" s="18"/>
      <c r="L555" s="4"/>
      <c r="M555" s="18"/>
      <c r="AA555" s="18"/>
    </row>
    <row r="556" ht="15.75" customHeight="1">
      <c r="F556" s="4"/>
      <c r="G556" s="18"/>
      <c r="L556" s="4"/>
      <c r="M556" s="18"/>
      <c r="AA556" s="18"/>
    </row>
    <row r="557" ht="15.75" customHeight="1">
      <c r="F557" s="4"/>
      <c r="G557" s="18"/>
      <c r="L557" s="4"/>
      <c r="M557" s="18"/>
      <c r="AA557" s="18"/>
    </row>
    <row r="558" ht="15.75" customHeight="1">
      <c r="F558" s="4"/>
      <c r="G558" s="18"/>
      <c r="L558" s="4"/>
      <c r="M558" s="18"/>
      <c r="AA558" s="18"/>
    </row>
    <row r="559" ht="15.75" customHeight="1">
      <c r="F559" s="4"/>
      <c r="G559" s="18"/>
      <c r="L559" s="4"/>
      <c r="M559" s="18"/>
      <c r="AA559" s="18"/>
    </row>
    <row r="560" ht="15.75" customHeight="1">
      <c r="F560" s="4"/>
      <c r="G560" s="18"/>
      <c r="L560" s="4"/>
      <c r="M560" s="18"/>
      <c r="AA560" s="18"/>
    </row>
    <row r="561" ht="15.75" customHeight="1">
      <c r="F561" s="4"/>
      <c r="G561" s="18"/>
      <c r="L561" s="4"/>
      <c r="M561" s="18"/>
      <c r="AA561" s="18"/>
    </row>
    <row r="562" ht="15.75" customHeight="1">
      <c r="F562" s="4"/>
      <c r="G562" s="18"/>
      <c r="L562" s="4"/>
      <c r="M562" s="18"/>
      <c r="AA562" s="18"/>
    </row>
    <row r="563" ht="15.75" customHeight="1">
      <c r="F563" s="4"/>
      <c r="G563" s="18"/>
      <c r="L563" s="4"/>
      <c r="M563" s="18"/>
      <c r="AA563" s="18"/>
    </row>
    <row r="564" ht="15.75" customHeight="1">
      <c r="F564" s="4"/>
      <c r="G564" s="18"/>
      <c r="L564" s="4"/>
      <c r="M564" s="18"/>
      <c r="AA564" s="18"/>
    </row>
    <row r="565" ht="15.75" customHeight="1">
      <c r="F565" s="4"/>
      <c r="G565" s="18"/>
      <c r="L565" s="4"/>
      <c r="M565" s="18"/>
      <c r="AA565" s="18"/>
    </row>
    <row r="566" ht="15.75" customHeight="1">
      <c r="F566" s="4"/>
      <c r="G566" s="18"/>
      <c r="L566" s="4"/>
      <c r="M566" s="18"/>
      <c r="AA566" s="18"/>
    </row>
    <row r="567" ht="15.75" customHeight="1">
      <c r="F567" s="4"/>
      <c r="G567" s="18"/>
      <c r="L567" s="4"/>
      <c r="M567" s="18"/>
      <c r="AA567" s="18"/>
    </row>
    <row r="568" ht="15.75" customHeight="1">
      <c r="F568" s="4"/>
      <c r="G568" s="18"/>
      <c r="L568" s="4"/>
      <c r="M568" s="18"/>
      <c r="AA568" s="18"/>
    </row>
    <row r="569" ht="15.75" customHeight="1">
      <c r="F569" s="4"/>
      <c r="G569" s="18"/>
      <c r="L569" s="4"/>
      <c r="M569" s="18"/>
      <c r="AA569" s="18"/>
    </row>
    <row r="570" ht="15.75" customHeight="1">
      <c r="F570" s="4"/>
      <c r="G570" s="18"/>
      <c r="L570" s="4"/>
      <c r="M570" s="18"/>
      <c r="AA570" s="18"/>
    </row>
    <row r="571" ht="15.75" customHeight="1">
      <c r="F571" s="4"/>
      <c r="G571" s="18"/>
      <c r="L571" s="4"/>
      <c r="M571" s="18"/>
      <c r="AA571" s="18"/>
    </row>
    <row r="572" ht="15.75" customHeight="1">
      <c r="F572" s="4"/>
      <c r="G572" s="18"/>
      <c r="L572" s="4"/>
      <c r="M572" s="18"/>
      <c r="AA572" s="18"/>
    </row>
    <row r="573" ht="15.75" customHeight="1">
      <c r="F573" s="4"/>
      <c r="G573" s="18"/>
      <c r="L573" s="4"/>
      <c r="M573" s="18"/>
      <c r="AA573" s="18"/>
    </row>
    <row r="574" ht="15.75" customHeight="1">
      <c r="F574" s="4"/>
      <c r="G574" s="18"/>
      <c r="L574" s="4"/>
      <c r="M574" s="18"/>
      <c r="AA574" s="18"/>
    </row>
    <row r="575" ht="15.75" customHeight="1">
      <c r="F575" s="4"/>
      <c r="G575" s="18"/>
      <c r="L575" s="4"/>
      <c r="M575" s="18"/>
      <c r="AA575" s="18"/>
    </row>
    <row r="576" ht="15.75" customHeight="1">
      <c r="F576" s="4"/>
      <c r="G576" s="18"/>
      <c r="L576" s="4"/>
      <c r="M576" s="18"/>
      <c r="AA576" s="18"/>
    </row>
    <row r="577" ht="15.75" customHeight="1">
      <c r="F577" s="4"/>
      <c r="G577" s="18"/>
      <c r="L577" s="4"/>
      <c r="M577" s="18"/>
      <c r="AA577" s="18"/>
    </row>
    <row r="578" ht="15.75" customHeight="1">
      <c r="F578" s="4"/>
      <c r="G578" s="18"/>
      <c r="L578" s="4"/>
      <c r="M578" s="18"/>
      <c r="AA578" s="18"/>
    </row>
    <row r="579" ht="15.75" customHeight="1">
      <c r="F579" s="4"/>
      <c r="G579" s="18"/>
      <c r="L579" s="4"/>
      <c r="M579" s="18"/>
      <c r="AA579" s="18"/>
    </row>
    <row r="580" ht="15.75" customHeight="1">
      <c r="F580" s="4"/>
      <c r="G580" s="18"/>
      <c r="L580" s="4"/>
      <c r="M580" s="18"/>
      <c r="AA580" s="18"/>
    </row>
    <row r="581" ht="15.75" customHeight="1">
      <c r="F581" s="4"/>
      <c r="G581" s="18"/>
      <c r="L581" s="4"/>
      <c r="M581" s="18"/>
      <c r="AA581" s="18"/>
    </row>
    <row r="582" ht="15.75" customHeight="1">
      <c r="F582" s="4"/>
      <c r="G582" s="18"/>
      <c r="L582" s="4"/>
      <c r="M582" s="18"/>
      <c r="AA582" s="18"/>
    </row>
    <row r="583" ht="15.75" customHeight="1">
      <c r="F583" s="4"/>
      <c r="G583" s="18"/>
      <c r="L583" s="4"/>
      <c r="M583" s="18"/>
      <c r="AA583" s="18"/>
    </row>
    <row r="584" ht="15.75" customHeight="1">
      <c r="F584" s="4"/>
      <c r="G584" s="18"/>
      <c r="L584" s="4"/>
      <c r="M584" s="18"/>
      <c r="AA584" s="18"/>
    </row>
    <row r="585" ht="15.75" customHeight="1">
      <c r="F585" s="4"/>
      <c r="G585" s="18"/>
      <c r="L585" s="4"/>
      <c r="M585" s="18"/>
      <c r="AA585" s="18"/>
    </row>
    <row r="586" ht="15.75" customHeight="1">
      <c r="F586" s="4"/>
      <c r="G586" s="18"/>
      <c r="L586" s="4"/>
      <c r="M586" s="18"/>
      <c r="AA586" s="18"/>
    </row>
    <row r="587" ht="15.75" customHeight="1">
      <c r="F587" s="4"/>
      <c r="G587" s="18"/>
      <c r="L587" s="4"/>
      <c r="M587" s="18"/>
      <c r="AA587" s="18"/>
    </row>
    <row r="588" ht="15.75" customHeight="1">
      <c r="F588" s="4"/>
      <c r="G588" s="18"/>
      <c r="L588" s="4"/>
      <c r="M588" s="18"/>
      <c r="AA588" s="18"/>
    </row>
    <row r="589" ht="15.75" customHeight="1">
      <c r="F589" s="4"/>
      <c r="G589" s="18"/>
      <c r="L589" s="4"/>
      <c r="M589" s="18"/>
      <c r="AA589" s="18"/>
    </row>
    <row r="590" ht="15.75" customHeight="1">
      <c r="F590" s="4"/>
      <c r="G590" s="18"/>
      <c r="L590" s="4"/>
      <c r="M590" s="18"/>
      <c r="AA590" s="18"/>
    </row>
    <row r="591" ht="15.75" customHeight="1">
      <c r="F591" s="4"/>
      <c r="G591" s="18"/>
      <c r="L591" s="4"/>
      <c r="M591" s="18"/>
      <c r="AA591" s="18"/>
    </row>
    <row r="592" ht="15.75" customHeight="1">
      <c r="F592" s="4"/>
      <c r="G592" s="18"/>
      <c r="L592" s="4"/>
      <c r="M592" s="18"/>
      <c r="AA592" s="18"/>
    </row>
    <row r="593" ht="15.75" customHeight="1">
      <c r="F593" s="4"/>
      <c r="G593" s="18"/>
      <c r="L593" s="4"/>
      <c r="M593" s="18"/>
      <c r="AA593" s="18"/>
    </row>
    <row r="594" ht="15.75" customHeight="1">
      <c r="F594" s="4"/>
      <c r="G594" s="18"/>
      <c r="L594" s="4"/>
      <c r="M594" s="18"/>
      <c r="AA594" s="18"/>
    </row>
    <row r="595" ht="15.75" customHeight="1">
      <c r="F595" s="4"/>
      <c r="G595" s="18"/>
      <c r="L595" s="4"/>
      <c r="M595" s="18"/>
      <c r="AA595" s="18"/>
    </row>
    <row r="596" ht="15.75" customHeight="1">
      <c r="F596" s="4"/>
      <c r="G596" s="18"/>
      <c r="L596" s="4"/>
      <c r="M596" s="18"/>
      <c r="AA596" s="18"/>
    </row>
    <row r="597" ht="15.75" customHeight="1">
      <c r="F597" s="4"/>
      <c r="G597" s="18"/>
      <c r="L597" s="4"/>
      <c r="M597" s="18"/>
      <c r="AA597" s="18"/>
    </row>
    <row r="598" ht="15.75" customHeight="1">
      <c r="F598" s="4"/>
      <c r="G598" s="18"/>
      <c r="L598" s="4"/>
      <c r="M598" s="18"/>
      <c r="AA598" s="18"/>
    </row>
    <row r="599" ht="15.75" customHeight="1">
      <c r="F599" s="4"/>
      <c r="G599" s="18"/>
      <c r="L599" s="4"/>
      <c r="M599" s="18"/>
      <c r="AA599" s="18"/>
    </row>
    <row r="600" ht="15.75" customHeight="1">
      <c r="F600" s="4"/>
      <c r="G600" s="18"/>
      <c r="L600" s="4"/>
      <c r="M600" s="18"/>
      <c r="AA600" s="18"/>
    </row>
    <row r="601" ht="15.75" customHeight="1">
      <c r="F601" s="4"/>
      <c r="G601" s="18"/>
      <c r="L601" s="4"/>
      <c r="M601" s="18"/>
      <c r="AA601" s="18"/>
    </row>
    <row r="602" ht="15.75" customHeight="1">
      <c r="F602" s="4"/>
      <c r="G602" s="18"/>
      <c r="L602" s="4"/>
      <c r="M602" s="18"/>
      <c r="AA602" s="18"/>
    </row>
    <row r="603" ht="15.75" customHeight="1">
      <c r="F603" s="4"/>
      <c r="G603" s="18"/>
      <c r="L603" s="4"/>
      <c r="M603" s="18"/>
      <c r="AA603" s="18"/>
    </row>
    <row r="604" ht="15.75" customHeight="1">
      <c r="F604" s="4"/>
      <c r="G604" s="18"/>
      <c r="L604" s="4"/>
      <c r="M604" s="18"/>
      <c r="AA604" s="18"/>
    </row>
    <row r="605" ht="15.75" customHeight="1">
      <c r="F605" s="4"/>
      <c r="G605" s="18"/>
      <c r="L605" s="4"/>
      <c r="M605" s="18"/>
      <c r="AA605" s="18"/>
    </row>
    <row r="606" ht="15.75" customHeight="1">
      <c r="F606" s="4"/>
      <c r="G606" s="18"/>
      <c r="L606" s="4"/>
      <c r="M606" s="18"/>
      <c r="AA606" s="18"/>
    </row>
    <row r="607" ht="15.75" customHeight="1">
      <c r="F607" s="4"/>
      <c r="G607" s="18"/>
      <c r="L607" s="4"/>
      <c r="M607" s="18"/>
      <c r="AA607" s="18"/>
    </row>
    <row r="608" ht="15.75" customHeight="1">
      <c r="F608" s="4"/>
      <c r="G608" s="18"/>
      <c r="L608" s="4"/>
      <c r="M608" s="18"/>
      <c r="AA608" s="18"/>
    </row>
    <row r="609" ht="15.75" customHeight="1">
      <c r="F609" s="4"/>
      <c r="G609" s="18"/>
      <c r="L609" s="4"/>
      <c r="M609" s="18"/>
      <c r="AA609" s="18"/>
    </row>
    <row r="610" ht="15.75" customHeight="1">
      <c r="F610" s="4"/>
      <c r="G610" s="18"/>
      <c r="L610" s="4"/>
      <c r="M610" s="18"/>
      <c r="AA610" s="18"/>
    </row>
    <row r="611" ht="15.75" customHeight="1">
      <c r="F611" s="4"/>
      <c r="G611" s="18"/>
      <c r="L611" s="4"/>
      <c r="M611" s="18"/>
      <c r="AA611" s="18"/>
    </row>
    <row r="612" ht="15.75" customHeight="1">
      <c r="F612" s="4"/>
      <c r="G612" s="18"/>
      <c r="L612" s="4"/>
      <c r="M612" s="18"/>
      <c r="AA612" s="18"/>
    </row>
    <row r="613" ht="15.75" customHeight="1">
      <c r="F613" s="4"/>
      <c r="G613" s="18"/>
      <c r="L613" s="4"/>
      <c r="M613" s="18"/>
      <c r="AA613" s="18"/>
    </row>
    <row r="614" ht="15.75" customHeight="1">
      <c r="F614" s="4"/>
      <c r="G614" s="18"/>
      <c r="L614" s="4"/>
      <c r="M614" s="18"/>
      <c r="AA614" s="18"/>
    </row>
    <row r="615" ht="15.75" customHeight="1">
      <c r="F615" s="4"/>
      <c r="G615" s="18"/>
      <c r="L615" s="4"/>
      <c r="M615" s="18"/>
      <c r="AA615" s="18"/>
    </row>
    <row r="616" ht="15.75" customHeight="1">
      <c r="F616" s="4"/>
      <c r="G616" s="18"/>
      <c r="L616" s="4"/>
      <c r="M616" s="18"/>
      <c r="AA616" s="18"/>
    </row>
    <row r="617" ht="15.75" customHeight="1">
      <c r="F617" s="4"/>
      <c r="G617" s="18"/>
      <c r="L617" s="4"/>
      <c r="M617" s="18"/>
      <c r="AA617" s="18"/>
    </row>
    <row r="618" ht="15.75" customHeight="1">
      <c r="F618" s="4"/>
      <c r="G618" s="18"/>
      <c r="L618" s="4"/>
      <c r="M618" s="18"/>
      <c r="AA618" s="18"/>
    </row>
    <row r="619" ht="15.75" customHeight="1">
      <c r="F619" s="4"/>
      <c r="G619" s="18"/>
      <c r="L619" s="4"/>
      <c r="M619" s="18"/>
      <c r="AA619" s="18"/>
    </row>
    <row r="620" ht="15.75" customHeight="1">
      <c r="F620" s="4"/>
      <c r="G620" s="18"/>
      <c r="L620" s="4"/>
      <c r="M620" s="18"/>
      <c r="AA620" s="18"/>
    </row>
    <row r="621" ht="15.75" customHeight="1">
      <c r="F621" s="4"/>
      <c r="G621" s="18"/>
      <c r="L621" s="4"/>
      <c r="M621" s="18"/>
      <c r="AA621" s="18"/>
    </row>
    <row r="622" ht="15.75" customHeight="1">
      <c r="F622" s="4"/>
      <c r="G622" s="18"/>
      <c r="L622" s="4"/>
      <c r="M622" s="18"/>
      <c r="AA622" s="18"/>
    </row>
    <row r="623" ht="15.75" customHeight="1">
      <c r="F623" s="4"/>
      <c r="G623" s="18"/>
      <c r="L623" s="4"/>
      <c r="M623" s="18"/>
      <c r="AA623" s="18"/>
    </row>
    <row r="624" ht="15.75" customHeight="1">
      <c r="F624" s="4"/>
      <c r="G624" s="18"/>
      <c r="L624" s="4"/>
      <c r="M624" s="18"/>
      <c r="AA624" s="18"/>
    </row>
    <row r="625" ht="15.75" customHeight="1">
      <c r="F625" s="4"/>
      <c r="G625" s="18"/>
      <c r="L625" s="4"/>
      <c r="M625" s="18"/>
      <c r="AA625" s="18"/>
    </row>
    <row r="626" ht="15.75" customHeight="1">
      <c r="F626" s="4"/>
      <c r="G626" s="18"/>
      <c r="L626" s="4"/>
      <c r="M626" s="18"/>
      <c r="AA626" s="18"/>
    </row>
    <row r="627" ht="15.75" customHeight="1">
      <c r="F627" s="4"/>
      <c r="G627" s="18"/>
      <c r="L627" s="4"/>
      <c r="M627" s="18"/>
      <c r="AA627" s="18"/>
    </row>
    <row r="628" ht="15.75" customHeight="1">
      <c r="F628" s="4"/>
      <c r="G628" s="18"/>
      <c r="L628" s="4"/>
      <c r="M628" s="18"/>
      <c r="AA628" s="18"/>
    </row>
    <row r="629" ht="15.75" customHeight="1">
      <c r="F629" s="4"/>
      <c r="G629" s="18"/>
      <c r="L629" s="4"/>
      <c r="M629" s="18"/>
      <c r="AA629" s="18"/>
    </row>
    <row r="630" ht="15.75" customHeight="1">
      <c r="F630" s="4"/>
      <c r="G630" s="18"/>
      <c r="L630" s="4"/>
      <c r="M630" s="18"/>
      <c r="AA630" s="18"/>
    </row>
    <row r="631" ht="15.75" customHeight="1">
      <c r="F631" s="4"/>
      <c r="G631" s="18"/>
      <c r="L631" s="4"/>
      <c r="M631" s="18"/>
      <c r="AA631" s="18"/>
    </row>
    <row r="632" ht="15.75" customHeight="1">
      <c r="F632" s="4"/>
      <c r="G632" s="18"/>
      <c r="L632" s="4"/>
      <c r="M632" s="18"/>
      <c r="AA632" s="18"/>
    </row>
    <row r="633" ht="15.75" customHeight="1">
      <c r="F633" s="4"/>
      <c r="G633" s="18"/>
      <c r="L633" s="4"/>
      <c r="M633" s="18"/>
      <c r="AA633" s="18"/>
    </row>
    <row r="634" ht="15.75" customHeight="1">
      <c r="F634" s="4"/>
      <c r="G634" s="18"/>
      <c r="L634" s="4"/>
      <c r="M634" s="18"/>
      <c r="AA634" s="18"/>
    </row>
    <row r="635" ht="15.75" customHeight="1">
      <c r="F635" s="4"/>
      <c r="G635" s="18"/>
      <c r="L635" s="4"/>
      <c r="M635" s="18"/>
      <c r="AA635" s="18"/>
    </row>
    <row r="636" ht="15.75" customHeight="1">
      <c r="F636" s="4"/>
      <c r="G636" s="18"/>
      <c r="L636" s="4"/>
      <c r="M636" s="18"/>
      <c r="AA636" s="18"/>
    </row>
    <row r="637" ht="15.75" customHeight="1">
      <c r="F637" s="4"/>
      <c r="G637" s="18"/>
      <c r="L637" s="4"/>
      <c r="M637" s="18"/>
      <c r="AA637" s="18"/>
    </row>
    <row r="638" ht="15.75" customHeight="1">
      <c r="F638" s="4"/>
      <c r="G638" s="18"/>
      <c r="L638" s="4"/>
      <c r="M638" s="18"/>
      <c r="AA638" s="18"/>
    </row>
    <row r="639" ht="15.75" customHeight="1">
      <c r="F639" s="4"/>
      <c r="G639" s="18"/>
      <c r="L639" s="4"/>
      <c r="M639" s="18"/>
      <c r="AA639" s="18"/>
    </row>
    <row r="640" ht="15.75" customHeight="1">
      <c r="F640" s="4"/>
      <c r="G640" s="18"/>
      <c r="L640" s="4"/>
      <c r="M640" s="18"/>
      <c r="AA640" s="18"/>
    </row>
    <row r="641" ht="15.75" customHeight="1">
      <c r="F641" s="4"/>
      <c r="G641" s="18"/>
      <c r="L641" s="4"/>
      <c r="M641" s="18"/>
      <c r="AA641" s="18"/>
    </row>
    <row r="642" ht="15.75" customHeight="1">
      <c r="F642" s="4"/>
      <c r="G642" s="18"/>
      <c r="L642" s="4"/>
      <c r="M642" s="18"/>
      <c r="AA642" s="18"/>
    </row>
    <row r="643" ht="15.75" customHeight="1">
      <c r="F643" s="4"/>
      <c r="G643" s="18"/>
      <c r="L643" s="4"/>
      <c r="M643" s="18"/>
      <c r="AA643" s="18"/>
    </row>
    <row r="644" ht="15.75" customHeight="1">
      <c r="F644" s="4"/>
      <c r="G644" s="18"/>
      <c r="L644" s="4"/>
      <c r="M644" s="18"/>
      <c r="AA644" s="18"/>
    </row>
    <row r="645" ht="15.75" customHeight="1">
      <c r="F645" s="4"/>
      <c r="G645" s="18"/>
      <c r="L645" s="4"/>
      <c r="M645" s="18"/>
      <c r="AA645" s="18"/>
    </row>
    <row r="646" ht="15.75" customHeight="1">
      <c r="F646" s="4"/>
      <c r="G646" s="18"/>
      <c r="L646" s="4"/>
      <c r="M646" s="18"/>
      <c r="AA646" s="18"/>
    </row>
    <row r="647" ht="15.75" customHeight="1">
      <c r="F647" s="4"/>
      <c r="G647" s="18"/>
      <c r="L647" s="4"/>
      <c r="M647" s="18"/>
      <c r="AA647" s="18"/>
    </row>
    <row r="648" ht="15.75" customHeight="1">
      <c r="F648" s="4"/>
      <c r="G648" s="18"/>
      <c r="L648" s="4"/>
      <c r="M648" s="18"/>
      <c r="AA648" s="18"/>
    </row>
    <row r="649" ht="15.75" customHeight="1">
      <c r="F649" s="4"/>
      <c r="G649" s="18"/>
      <c r="L649" s="4"/>
      <c r="M649" s="18"/>
      <c r="AA649" s="18"/>
    </row>
    <row r="650" ht="15.75" customHeight="1">
      <c r="F650" s="4"/>
      <c r="G650" s="18"/>
      <c r="L650" s="4"/>
      <c r="M650" s="18"/>
      <c r="AA650" s="18"/>
    </row>
    <row r="651" ht="15.75" customHeight="1">
      <c r="F651" s="4"/>
      <c r="G651" s="18"/>
      <c r="L651" s="4"/>
      <c r="M651" s="18"/>
      <c r="AA651" s="18"/>
    </row>
    <row r="652" ht="15.75" customHeight="1">
      <c r="F652" s="4"/>
      <c r="G652" s="18"/>
      <c r="L652" s="4"/>
      <c r="M652" s="18"/>
      <c r="AA652" s="18"/>
    </row>
    <row r="653" ht="15.75" customHeight="1">
      <c r="F653" s="4"/>
      <c r="G653" s="18"/>
      <c r="L653" s="4"/>
      <c r="M653" s="18"/>
      <c r="AA653" s="18"/>
    </row>
    <row r="654" ht="15.75" customHeight="1">
      <c r="F654" s="4"/>
      <c r="G654" s="18"/>
      <c r="L654" s="4"/>
      <c r="M654" s="18"/>
      <c r="AA654" s="18"/>
    </row>
    <row r="655" ht="15.75" customHeight="1">
      <c r="F655" s="4"/>
      <c r="G655" s="18"/>
      <c r="L655" s="4"/>
      <c r="M655" s="18"/>
      <c r="AA655" s="18"/>
    </row>
    <row r="656" ht="15.75" customHeight="1">
      <c r="F656" s="4"/>
      <c r="G656" s="18"/>
      <c r="L656" s="4"/>
      <c r="M656" s="18"/>
      <c r="AA656" s="18"/>
    </row>
    <row r="657" ht="15.75" customHeight="1">
      <c r="F657" s="4"/>
      <c r="G657" s="18"/>
      <c r="L657" s="4"/>
      <c r="M657" s="18"/>
      <c r="AA657" s="18"/>
    </row>
    <row r="658" ht="15.75" customHeight="1">
      <c r="F658" s="4"/>
      <c r="G658" s="18"/>
      <c r="L658" s="4"/>
      <c r="M658" s="18"/>
      <c r="AA658" s="18"/>
    </row>
    <row r="659" ht="15.75" customHeight="1">
      <c r="F659" s="4"/>
      <c r="G659" s="18"/>
      <c r="L659" s="4"/>
      <c r="M659" s="18"/>
      <c r="AA659" s="18"/>
    </row>
    <row r="660" ht="15.75" customHeight="1">
      <c r="F660" s="4"/>
      <c r="G660" s="18"/>
      <c r="L660" s="4"/>
      <c r="M660" s="18"/>
      <c r="AA660" s="18"/>
    </row>
    <row r="661" ht="15.75" customHeight="1">
      <c r="F661" s="4"/>
      <c r="G661" s="18"/>
      <c r="L661" s="4"/>
      <c r="M661" s="18"/>
      <c r="AA661" s="18"/>
    </row>
    <row r="662" ht="15.75" customHeight="1">
      <c r="F662" s="4"/>
      <c r="G662" s="18"/>
      <c r="L662" s="4"/>
      <c r="M662" s="18"/>
      <c r="AA662" s="18"/>
    </row>
    <row r="663" ht="15.75" customHeight="1">
      <c r="F663" s="4"/>
      <c r="G663" s="18"/>
      <c r="L663" s="4"/>
      <c r="M663" s="18"/>
      <c r="AA663" s="18"/>
    </row>
    <row r="664" ht="15.75" customHeight="1">
      <c r="F664" s="4"/>
      <c r="G664" s="18"/>
      <c r="L664" s="4"/>
      <c r="M664" s="18"/>
      <c r="AA664" s="18"/>
    </row>
    <row r="665" ht="15.75" customHeight="1">
      <c r="F665" s="4"/>
      <c r="G665" s="18"/>
      <c r="L665" s="4"/>
      <c r="M665" s="18"/>
      <c r="AA665" s="18"/>
    </row>
    <row r="666" ht="15.75" customHeight="1">
      <c r="F666" s="4"/>
      <c r="G666" s="18"/>
      <c r="L666" s="4"/>
      <c r="M666" s="18"/>
      <c r="AA666" s="18"/>
    </row>
    <row r="667" ht="15.75" customHeight="1">
      <c r="F667" s="4"/>
      <c r="G667" s="18"/>
      <c r="L667" s="4"/>
      <c r="M667" s="18"/>
      <c r="AA667" s="18"/>
    </row>
    <row r="668" ht="15.75" customHeight="1">
      <c r="F668" s="4"/>
      <c r="G668" s="18"/>
      <c r="L668" s="4"/>
      <c r="M668" s="18"/>
      <c r="AA668" s="18"/>
    </row>
    <row r="669" ht="15.75" customHeight="1">
      <c r="F669" s="4"/>
      <c r="G669" s="18"/>
      <c r="L669" s="4"/>
      <c r="M669" s="18"/>
      <c r="AA669" s="18"/>
    </row>
    <row r="670" ht="15.75" customHeight="1">
      <c r="F670" s="4"/>
      <c r="G670" s="18"/>
      <c r="L670" s="4"/>
      <c r="M670" s="18"/>
      <c r="AA670" s="18"/>
    </row>
    <row r="671" ht="15.75" customHeight="1">
      <c r="F671" s="4"/>
      <c r="G671" s="18"/>
      <c r="L671" s="4"/>
      <c r="M671" s="18"/>
      <c r="AA671" s="18"/>
    </row>
    <row r="672" ht="15.75" customHeight="1">
      <c r="F672" s="4"/>
      <c r="G672" s="18"/>
      <c r="L672" s="4"/>
      <c r="M672" s="18"/>
      <c r="AA672" s="18"/>
    </row>
    <row r="673" ht="15.75" customHeight="1">
      <c r="F673" s="4"/>
      <c r="G673" s="18"/>
      <c r="L673" s="4"/>
      <c r="M673" s="18"/>
      <c r="AA673" s="18"/>
    </row>
    <row r="674" ht="15.75" customHeight="1">
      <c r="F674" s="4"/>
      <c r="G674" s="18"/>
      <c r="L674" s="4"/>
      <c r="M674" s="18"/>
      <c r="AA674" s="18"/>
    </row>
    <row r="675" ht="15.75" customHeight="1">
      <c r="F675" s="4"/>
      <c r="G675" s="18"/>
      <c r="L675" s="4"/>
      <c r="M675" s="18"/>
      <c r="AA675" s="18"/>
    </row>
    <row r="676" ht="15.75" customHeight="1">
      <c r="F676" s="4"/>
      <c r="G676" s="18"/>
      <c r="L676" s="4"/>
      <c r="M676" s="18"/>
      <c r="AA676" s="18"/>
    </row>
    <row r="677" ht="15.75" customHeight="1">
      <c r="F677" s="4"/>
      <c r="G677" s="18"/>
      <c r="L677" s="4"/>
      <c r="M677" s="18"/>
      <c r="AA677" s="18"/>
    </row>
    <row r="678" ht="15.75" customHeight="1">
      <c r="F678" s="4"/>
      <c r="G678" s="18"/>
      <c r="L678" s="4"/>
      <c r="M678" s="18"/>
      <c r="AA678" s="18"/>
    </row>
    <row r="679" ht="15.75" customHeight="1">
      <c r="F679" s="4"/>
      <c r="G679" s="18"/>
      <c r="L679" s="4"/>
      <c r="M679" s="18"/>
      <c r="AA679" s="18"/>
    </row>
    <row r="680" ht="15.75" customHeight="1">
      <c r="F680" s="4"/>
      <c r="G680" s="18"/>
      <c r="L680" s="4"/>
      <c r="M680" s="18"/>
      <c r="AA680" s="18"/>
    </row>
    <row r="681" ht="15.75" customHeight="1">
      <c r="F681" s="4"/>
      <c r="G681" s="18"/>
      <c r="L681" s="4"/>
      <c r="M681" s="18"/>
      <c r="AA681" s="18"/>
    </row>
    <row r="682" ht="15.75" customHeight="1">
      <c r="F682" s="4"/>
      <c r="G682" s="18"/>
      <c r="L682" s="4"/>
      <c r="M682" s="18"/>
      <c r="AA682" s="18"/>
    </row>
    <row r="683" ht="15.75" customHeight="1">
      <c r="F683" s="4"/>
      <c r="G683" s="18"/>
      <c r="L683" s="4"/>
      <c r="M683" s="18"/>
      <c r="AA683" s="18"/>
    </row>
    <row r="684" ht="15.75" customHeight="1">
      <c r="F684" s="4"/>
      <c r="G684" s="18"/>
      <c r="L684" s="4"/>
      <c r="M684" s="18"/>
      <c r="AA684" s="18"/>
    </row>
    <row r="685" ht="15.75" customHeight="1">
      <c r="F685" s="4"/>
      <c r="G685" s="18"/>
      <c r="L685" s="4"/>
      <c r="M685" s="18"/>
      <c r="AA685" s="18"/>
    </row>
    <row r="686" ht="15.75" customHeight="1">
      <c r="F686" s="4"/>
      <c r="G686" s="18"/>
      <c r="L686" s="4"/>
      <c r="M686" s="18"/>
      <c r="AA686" s="18"/>
    </row>
    <row r="687" ht="15.75" customHeight="1">
      <c r="F687" s="4"/>
      <c r="G687" s="18"/>
      <c r="L687" s="4"/>
      <c r="M687" s="18"/>
      <c r="AA687" s="18"/>
    </row>
    <row r="688" ht="15.75" customHeight="1">
      <c r="F688" s="4"/>
      <c r="G688" s="18"/>
      <c r="L688" s="4"/>
      <c r="M688" s="18"/>
      <c r="AA688" s="18"/>
    </row>
    <row r="689" ht="15.75" customHeight="1">
      <c r="F689" s="4"/>
      <c r="G689" s="18"/>
      <c r="L689" s="4"/>
      <c r="M689" s="18"/>
      <c r="AA689" s="18"/>
    </row>
    <row r="690" ht="15.75" customHeight="1">
      <c r="F690" s="4"/>
      <c r="G690" s="18"/>
      <c r="L690" s="4"/>
      <c r="M690" s="18"/>
      <c r="AA690" s="18"/>
    </row>
    <row r="691" ht="15.75" customHeight="1">
      <c r="F691" s="4"/>
      <c r="G691" s="18"/>
      <c r="L691" s="4"/>
      <c r="M691" s="18"/>
      <c r="AA691" s="18"/>
    </row>
    <row r="692" ht="15.75" customHeight="1">
      <c r="F692" s="4"/>
      <c r="G692" s="18"/>
      <c r="L692" s="4"/>
      <c r="M692" s="18"/>
      <c r="AA692" s="18"/>
    </row>
    <row r="693" ht="15.75" customHeight="1">
      <c r="F693" s="4"/>
      <c r="G693" s="18"/>
      <c r="L693" s="4"/>
      <c r="M693" s="18"/>
      <c r="AA693" s="18"/>
    </row>
    <row r="694" ht="15.75" customHeight="1">
      <c r="F694" s="4"/>
      <c r="G694" s="18"/>
      <c r="L694" s="4"/>
      <c r="M694" s="18"/>
      <c r="AA694" s="18"/>
    </row>
    <row r="695" ht="15.75" customHeight="1">
      <c r="F695" s="4"/>
      <c r="G695" s="18"/>
      <c r="L695" s="4"/>
      <c r="M695" s="18"/>
      <c r="AA695" s="18"/>
    </row>
    <row r="696" ht="15.75" customHeight="1">
      <c r="F696" s="4"/>
      <c r="G696" s="18"/>
      <c r="L696" s="4"/>
      <c r="M696" s="18"/>
      <c r="AA696" s="18"/>
    </row>
    <row r="697" ht="15.75" customHeight="1">
      <c r="F697" s="4"/>
      <c r="G697" s="18"/>
      <c r="L697" s="4"/>
      <c r="M697" s="18"/>
      <c r="AA697" s="18"/>
    </row>
    <row r="698" ht="15.75" customHeight="1">
      <c r="F698" s="4"/>
      <c r="G698" s="18"/>
      <c r="L698" s="4"/>
      <c r="M698" s="18"/>
      <c r="AA698" s="18"/>
    </row>
    <row r="699" ht="15.75" customHeight="1">
      <c r="F699" s="4"/>
      <c r="G699" s="18"/>
      <c r="L699" s="4"/>
      <c r="M699" s="18"/>
      <c r="AA699" s="18"/>
    </row>
    <row r="700" ht="15.75" customHeight="1">
      <c r="F700" s="4"/>
      <c r="G700" s="18"/>
      <c r="L700" s="4"/>
      <c r="M700" s="18"/>
      <c r="AA700" s="18"/>
    </row>
    <row r="701" ht="15.75" customHeight="1">
      <c r="F701" s="4"/>
      <c r="G701" s="18"/>
      <c r="L701" s="4"/>
      <c r="M701" s="18"/>
      <c r="AA701" s="18"/>
    </row>
    <row r="702" ht="15.75" customHeight="1">
      <c r="F702" s="4"/>
      <c r="G702" s="18"/>
      <c r="L702" s="4"/>
      <c r="M702" s="18"/>
      <c r="AA702" s="18"/>
    </row>
    <row r="703" ht="15.75" customHeight="1">
      <c r="F703" s="4"/>
      <c r="G703" s="18"/>
      <c r="L703" s="4"/>
      <c r="M703" s="18"/>
      <c r="AA703" s="18"/>
    </row>
    <row r="704" ht="15.75" customHeight="1">
      <c r="F704" s="4"/>
      <c r="G704" s="18"/>
      <c r="L704" s="4"/>
      <c r="M704" s="18"/>
      <c r="AA704" s="18"/>
    </row>
    <row r="705" ht="15.75" customHeight="1">
      <c r="F705" s="4"/>
      <c r="G705" s="18"/>
      <c r="L705" s="4"/>
      <c r="M705" s="18"/>
      <c r="AA705" s="18"/>
    </row>
    <row r="706" ht="15.75" customHeight="1">
      <c r="F706" s="4"/>
      <c r="G706" s="18"/>
      <c r="L706" s="4"/>
      <c r="M706" s="18"/>
      <c r="AA706" s="18"/>
    </row>
    <row r="707" ht="15.75" customHeight="1">
      <c r="F707" s="4"/>
      <c r="G707" s="18"/>
      <c r="L707" s="4"/>
      <c r="M707" s="18"/>
      <c r="AA707" s="18"/>
    </row>
    <row r="708" ht="15.75" customHeight="1">
      <c r="F708" s="4"/>
      <c r="G708" s="18"/>
      <c r="L708" s="4"/>
      <c r="M708" s="18"/>
      <c r="AA708" s="18"/>
    </row>
    <row r="709" ht="15.75" customHeight="1">
      <c r="F709" s="4"/>
      <c r="G709" s="18"/>
      <c r="L709" s="4"/>
      <c r="M709" s="18"/>
      <c r="AA709" s="18"/>
    </row>
    <row r="710" ht="15.75" customHeight="1">
      <c r="F710" s="4"/>
      <c r="G710" s="18"/>
      <c r="L710" s="4"/>
      <c r="M710" s="18"/>
      <c r="AA710" s="18"/>
    </row>
    <row r="711" ht="15.75" customHeight="1">
      <c r="F711" s="4"/>
      <c r="G711" s="18"/>
      <c r="L711" s="4"/>
      <c r="M711" s="18"/>
      <c r="AA711" s="18"/>
    </row>
    <row r="712" ht="15.75" customHeight="1">
      <c r="F712" s="4"/>
      <c r="G712" s="18"/>
      <c r="L712" s="4"/>
      <c r="M712" s="18"/>
      <c r="AA712" s="18"/>
    </row>
    <row r="713" ht="15.75" customHeight="1">
      <c r="F713" s="4"/>
      <c r="G713" s="18"/>
      <c r="L713" s="4"/>
      <c r="M713" s="18"/>
      <c r="AA713" s="18"/>
    </row>
    <row r="714" ht="15.75" customHeight="1">
      <c r="F714" s="4"/>
      <c r="G714" s="18"/>
      <c r="L714" s="4"/>
      <c r="M714" s="18"/>
      <c r="AA714" s="18"/>
    </row>
    <row r="715" ht="15.75" customHeight="1">
      <c r="F715" s="4"/>
      <c r="G715" s="18"/>
      <c r="L715" s="4"/>
      <c r="M715" s="18"/>
      <c r="AA715" s="18"/>
    </row>
    <row r="716" ht="15.75" customHeight="1">
      <c r="F716" s="4"/>
      <c r="G716" s="18"/>
      <c r="L716" s="4"/>
      <c r="M716" s="18"/>
      <c r="AA716" s="18"/>
    </row>
    <row r="717" ht="15.75" customHeight="1">
      <c r="F717" s="4"/>
      <c r="G717" s="18"/>
      <c r="L717" s="4"/>
      <c r="M717" s="18"/>
      <c r="AA717" s="18"/>
    </row>
    <row r="718" ht="15.75" customHeight="1">
      <c r="F718" s="4"/>
      <c r="G718" s="18"/>
      <c r="L718" s="4"/>
      <c r="M718" s="18"/>
      <c r="AA718" s="18"/>
    </row>
    <row r="719" ht="15.75" customHeight="1">
      <c r="F719" s="4"/>
      <c r="G719" s="18"/>
      <c r="L719" s="4"/>
      <c r="M719" s="18"/>
      <c r="AA719" s="18"/>
    </row>
    <row r="720" ht="15.75" customHeight="1">
      <c r="F720" s="4"/>
      <c r="G720" s="18"/>
      <c r="L720" s="4"/>
      <c r="M720" s="18"/>
      <c r="AA720" s="18"/>
    </row>
    <row r="721" ht="15.75" customHeight="1">
      <c r="F721" s="4"/>
      <c r="G721" s="18"/>
      <c r="L721" s="4"/>
      <c r="M721" s="18"/>
      <c r="AA721" s="18"/>
    </row>
    <row r="722" ht="15.75" customHeight="1">
      <c r="F722" s="4"/>
      <c r="G722" s="18"/>
      <c r="L722" s="4"/>
      <c r="M722" s="18"/>
      <c r="AA722" s="18"/>
    </row>
    <row r="723" ht="15.75" customHeight="1">
      <c r="F723" s="4"/>
      <c r="G723" s="18"/>
      <c r="L723" s="4"/>
      <c r="M723" s="18"/>
      <c r="AA723" s="18"/>
    </row>
    <row r="724" ht="15.75" customHeight="1">
      <c r="F724" s="4"/>
      <c r="G724" s="18"/>
      <c r="L724" s="4"/>
      <c r="M724" s="18"/>
      <c r="AA724" s="18"/>
    </row>
    <row r="725" ht="15.75" customHeight="1">
      <c r="F725" s="4"/>
      <c r="G725" s="18"/>
      <c r="L725" s="4"/>
      <c r="M725" s="18"/>
      <c r="AA725" s="18"/>
    </row>
    <row r="726" ht="15.75" customHeight="1">
      <c r="F726" s="4"/>
      <c r="G726" s="18"/>
      <c r="L726" s="4"/>
      <c r="M726" s="18"/>
      <c r="AA726" s="18"/>
    </row>
    <row r="727" ht="15.75" customHeight="1">
      <c r="F727" s="4"/>
      <c r="G727" s="18"/>
      <c r="L727" s="4"/>
      <c r="M727" s="18"/>
      <c r="AA727" s="18"/>
    </row>
    <row r="728" ht="15.75" customHeight="1">
      <c r="F728" s="4"/>
      <c r="G728" s="18"/>
      <c r="L728" s="4"/>
      <c r="M728" s="18"/>
      <c r="AA728" s="18"/>
    </row>
    <row r="729" ht="15.75" customHeight="1">
      <c r="F729" s="4"/>
      <c r="G729" s="18"/>
      <c r="L729" s="4"/>
      <c r="M729" s="18"/>
      <c r="AA729" s="18"/>
    </row>
    <row r="730" ht="15.75" customHeight="1">
      <c r="F730" s="4"/>
      <c r="G730" s="18"/>
      <c r="L730" s="4"/>
      <c r="M730" s="18"/>
      <c r="AA730" s="18"/>
    </row>
    <row r="731" ht="15.75" customHeight="1">
      <c r="F731" s="4"/>
      <c r="G731" s="18"/>
      <c r="L731" s="4"/>
      <c r="M731" s="18"/>
      <c r="AA731" s="18"/>
    </row>
    <row r="732" ht="15.75" customHeight="1">
      <c r="F732" s="4"/>
      <c r="G732" s="18"/>
      <c r="L732" s="4"/>
      <c r="M732" s="18"/>
      <c r="AA732" s="18"/>
    </row>
    <row r="733" ht="15.75" customHeight="1">
      <c r="F733" s="4"/>
      <c r="G733" s="18"/>
      <c r="L733" s="4"/>
      <c r="M733" s="18"/>
      <c r="AA733" s="18"/>
    </row>
    <row r="734" ht="15.75" customHeight="1">
      <c r="F734" s="4"/>
      <c r="G734" s="18"/>
      <c r="L734" s="4"/>
      <c r="M734" s="18"/>
      <c r="AA734" s="18"/>
    </row>
    <row r="735" ht="15.75" customHeight="1">
      <c r="F735" s="4"/>
      <c r="G735" s="18"/>
      <c r="L735" s="4"/>
      <c r="M735" s="18"/>
      <c r="AA735" s="18"/>
    </row>
    <row r="736" ht="15.75" customHeight="1">
      <c r="F736" s="4"/>
      <c r="G736" s="18"/>
      <c r="L736" s="4"/>
      <c r="M736" s="18"/>
      <c r="AA736" s="18"/>
    </row>
    <row r="737" ht="15.75" customHeight="1">
      <c r="F737" s="4"/>
      <c r="G737" s="18"/>
      <c r="L737" s="4"/>
      <c r="M737" s="18"/>
      <c r="AA737" s="18"/>
    </row>
    <row r="738" ht="15.75" customHeight="1">
      <c r="F738" s="4"/>
      <c r="G738" s="18"/>
      <c r="L738" s="4"/>
      <c r="M738" s="18"/>
      <c r="AA738" s="18"/>
    </row>
    <row r="739" ht="15.75" customHeight="1">
      <c r="F739" s="4"/>
      <c r="G739" s="18"/>
      <c r="L739" s="4"/>
      <c r="M739" s="18"/>
      <c r="AA739" s="18"/>
    </row>
    <row r="740" ht="15.75" customHeight="1">
      <c r="F740" s="4"/>
      <c r="G740" s="18"/>
      <c r="L740" s="4"/>
      <c r="M740" s="18"/>
      <c r="AA740" s="18"/>
    </row>
    <row r="741" ht="15.75" customHeight="1">
      <c r="F741" s="4"/>
      <c r="G741" s="18"/>
      <c r="L741" s="4"/>
      <c r="M741" s="18"/>
      <c r="AA741" s="18"/>
    </row>
    <row r="742" ht="15.75" customHeight="1">
      <c r="F742" s="4"/>
      <c r="G742" s="18"/>
      <c r="L742" s="4"/>
      <c r="M742" s="18"/>
      <c r="AA742" s="18"/>
    </row>
    <row r="743" ht="15.75" customHeight="1">
      <c r="F743" s="4"/>
      <c r="G743" s="18"/>
      <c r="L743" s="4"/>
      <c r="M743" s="18"/>
      <c r="AA743" s="18"/>
    </row>
    <row r="744" ht="15.75" customHeight="1">
      <c r="F744" s="4"/>
      <c r="G744" s="18"/>
      <c r="L744" s="4"/>
      <c r="M744" s="18"/>
      <c r="AA744" s="18"/>
    </row>
    <row r="745" ht="15.75" customHeight="1">
      <c r="F745" s="4"/>
      <c r="G745" s="18"/>
      <c r="L745" s="4"/>
      <c r="M745" s="18"/>
      <c r="AA745" s="18"/>
    </row>
    <row r="746" ht="15.75" customHeight="1">
      <c r="F746" s="4"/>
      <c r="G746" s="18"/>
      <c r="L746" s="4"/>
      <c r="M746" s="18"/>
      <c r="AA746" s="18"/>
    </row>
    <row r="747" ht="15.75" customHeight="1">
      <c r="F747" s="4"/>
      <c r="G747" s="18"/>
      <c r="L747" s="4"/>
      <c r="M747" s="18"/>
      <c r="AA747" s="18"/>
    </row>
    <row r="748" ht="15.75" customHeight="1">
      <c r="F748" s="4"/>
      <c r="G748" s="18"/>
      <c r="L748" s="4"/>
      <c r="M748" s="18"/>
      <c r="AA748" s="18"/>
    </row>
    <row r="749" ht="15.75" customHeight="1">
      <c r="F749" s="4"/>
      <c r="G749" s="18"/>
      <c r="L749" s="4"/>
      <c r="M749" s="18"/>
      <c r="AA749" s="18"/>
    </row>
    <row r="750" ht="15.75" customHeight="1">
      <c r="F750" s="4"/>
      <c r="G750" s="18"/>
      <c r="L750" s="4"/>
      <c r="M750" s="18"/>
      <c r="AA750" s="18"/>
    </row>
    <row r="751" ht="15.75" customHeight="1">
      <c r="F751" s="4"/>
      <c r="G751" s="18"/>
      <c r="L751" s="4"/>
      <c r="M751" s="18"/>
      <c r="AA751" s="18"/>
    </row>
    <row r="752" ht="15.75" customHeight="1">
      <c r="F752" s="4"/>
      <c r="G752" s="18"/>
      <c r="L752" s="4"/>
      <c r="M752" s="18"/>
      <c r="AA752" s="18"/>
    </row>
    <row r="753" ht="15.75" customHeight="1">
      <c r="F753" s="4"/>
      <c r="G753" s="18"/>
      <c r="L753" s="4"/>
      <c r="M753" s="18"/>
      <c r="AA753" s="18"/>
    </row>
    <row r="754" ht="15.75" customHeight="1">
      <c r="F754" s="4"/>
      <c r="G754" s="18"/>
      <c r="L754" s="4"/>
      <c r="M754" s="18"/>
      <c r="AA754" s="18"/>
    </row>
    <row r="755" ht="15.75" customHeight="1">
      <c r="F755" s="4"/>
      <c r="G755" s="18"/>
      <c r="L755" s="4"/>
      <c r="M755" s="18"/>
      <c r="AA755" s="18"/>
    </row>
    <row r="756" ht="15.75" customHeight="1">
      <c r="F756" s="4"/>
      <c r="G756" s="18"/>
      <c r="L756" s="4"/>
      <c r="M756" s="18"/>
      <c r="AA756" s="18"/>
    </row>
    <row r="757" ht="15.75" customHeight="1">
      <c r="F757" s="4"/>
      <c r="G757" s="18"/>
      <c r="L757" s="4"/>
      <c r="M757" s="18"/>
      <c r="AA757" s="18"/>
    </row>
    <row r="758" ht="15.75" customHeight="1">
      <c r="F758" s="4"/>
      <c r="G758" s="18"/>
      <c r="L758" s="4"/>
      <c r="M758" s="18"/>
      <c r="AA758" s="18"/>
    </row>
    <row r="759" ht="15.75" customHeight="1">
      <c r="F759" s="4"/>
      <c r="G759" s="18"/>
      <c r="L759" s="4"/>
      <c r="M759" s="18"/>
      <c r="AA759" s="18"/>
    </row>
    <row r="760" ht="15.75" customHeight="1">
      <c r="F760" s="4"/>
      <c r="G760" s="18"/>
      <c r="L760" s="4"/>
      <c r="M760" s="18"/>
      <c r="AA760" s="18"/>
    </row>
    <row r="761" ht="15.75" customHeight="1">
      <c r="F761" s="4"/>
      <c r="G761" s="18"/>
      <c r="L761" s="4"/>
      <c r="M761" s="18"/>
      <c r="AA761" s="18"/>
    </row>
    <row r="762" ht="15.75" customHeight="1">
      <c r="F762" s="4"/>
      <c r="G762" s="18"/>
      <c r="L762" s="4"/>
      <c r="M762" s="18"/>
      <c r="AA762" s="18"/>
    </row>
    <row r="763" ht="15.75" customHeight="1">
      <c r="F763" s="4"/>
      <c r="G763" s="18"/>
      <c r="L763" s="4"/>
      <c r="M763" s="18"/>
      <c r="AA763" s="18"/>
    </row>
    <row r="764" ht="15.75" customHeight="1">
      <c r="F764" s="4"/>
      <c r="G764" s="18"/>
      <c r="L764" s="4"/>
      <c r="M764" s="18"/>
      <c r="AA764" s="18"/>
    </row>
    <row r="765" ht="15.75" customHeight="1">
      <c r="F765" s="4"/>
      <c r="G765" s="18"/>
      <c r="L765" s="4"/>
      <c r="M765" s="18"/>
      <c r="AA765" s="18"/>
    </row>
    <row r="766" ht="15.75" customHeight="1">
      <c r="F766" s="4"/>
      <c r="G766" s="18"/>
      <c r="L766" s="4"/>
      <c r="M766" s="18"/>
      <c r="AA766" s="18"/>
    </row>
    <row r="767" ht="15.75" customHeight="1">
      <c r="F767" s="4"/>
      <c r="G767" s="18"/>
      <c r="L767" s="4"/>
      <c r="M767" s="18"/>
      <c r="AA767" s="18"/>
    </row>
    <row r="768" ht="15.75" customHeight="1">
      <c r="F768" s="4"/>
      <c r="G768" s="18"/>
      <c r="L768" s="4"/>
      <c r="M768" s="18"/>
      <c r="AA768" s="18"/>
    </row>
    <row r="769" ht="15.75" customHeight="1">
      <c r="F769" s="4"/>
      <c r="G769" s="18"/>
      <c r="L769" s="4"/>
      <c r="M769" s="18"/>
      <c r="AA769" s="18"/>
    </row>
    <row r="770" ht="15.75" customHeight="1">
      <c r="F770" s="4"/>
      <c r="G770" s="18"/>
      <c r="L770" s="4"/>
      <c r="M770" s="18"/>
      <c r="AA770" s="18"/>
    </row>
    <row r="771" ht="15.75" customHeight="1">
      <c r="F771" s="4"/>
      <c r="G771" s="18"/>
      <c r="L771" s="4"/>
      <c r="M771" s="18"/>
      <c r="AA771" s="18"/>
    </row>
    <row r="772" ht="15.75" customHeight="1">
      <c r="F772" s="4"/>
      <c r="G772" s="18"/>
      <c r="L772" s="4"/>
      <c r="M772" s="18"/>
      <c r="AA772" s="18"/>
    </row>
    <row r="773" ht="15.75" customHeight="1">
      <c r="F773" s="4"/>
      <c r="G773" s="18"/>
      <c r="L773" s="4"/>
      <c r="M773" s="18"/>
      <c r="AA773" s="18"/>
    </row>
    <row r="774" ht="15.75" customHeight="1">
      <c r="F774" s="4"/>
      <c r="G774" s="18"/>
      <c r="L774" s="4"/>
      <c r="M774" s="18"/>
      <c r="AA774" s="18"/>
    </row>
    <row r="775" ht="15.75" customHeight="1">
      <c r="F775" s="4"/>
      <c r="G775" s="18"/>
      <c r="L775" s="4"/>
      <c r="M775" s="18"/>
      <c r="AA775" s="18"/>
    </row>
    <row r="776" ht="15.75" customHeight="1">
      <c r="F776" s="4"/>
      <c r="G776" s="18"/>
      <c r="L776" s="4"/>
      <c r="M776" s="18"/>
      <c r="AA776" s="18"/>
    </row>
    <row r="777" ht="15.75" customHeight="1">
      <c r="F777" s="4"/>
      <c r="G777" s="18"/>
      <c r="L777" s="4"/>
      <c r="M777" s="18"/>
      <c r="AA777" s="18"/>
    </row>
    <row r="778" ht="15.75" customHeight="1">
      <c r="F778" s="4"/>
      <c r="G778" s="18"/>
      <c r="L778" s="4"/>
      <c r="M778" s="18"/>
      <c r="AA778" s="18"/>
    </row>
    <row r="779" ht="15.75" customHeight="1">
      <c r="F779" s="4"/>
      <c r="G779" s="18"/>
      <c r="L779" s="4"/>
      <c r="M779" s="18"/>
      <c r="AA779" s="18"/>
    </row>
    <row r="780" ht="15.75" customHeight="1">
      <c r="F780" s="4"/>
      <c r="G780" s="18"/>
      <c r="L780" s="4"/>
      <c r="M780" s="18"/>
      <c r="AA780" s="18"/>
    </row>
    <row r="781" ht="15.75" customHeight="1">
      <c r="F781" s="4"/>
      <c r="G781" s="18"/>
      <c r="L781" s="4"/>
      <c r="M781" s="18"/>
      <c r="AA781" s="18"/>
    </row>
    <row r="782" ht="15.75" customHeight="1">
      <c r="F782" s="4"/>
      <c r="G782" s="18"/>
      <c r="L782" s="4"/>
      <c r="M782" s="18"/>
      <c r="AA782" s="18"/>
    </row>
    <row r="783" ht="15.75" customHeight="1">
      <c r="F783" s="4"/>
      <c r="G783" s="18"/>
      <c r="L783" s="4"/>
      <c r="M783" s="18"/>
      <c r="AA783" s="18"/>
    </row>
    <row r="784" ht="15.75" customHeight="1">
      <c r="F784" s="4"/>
      <c r="G784" s="18"/>
      <c r="L784" s="4"/>
      <c r="M784" s="18"/>
      <c r="AA784" s="18"/>
    </row>
    <row r="785" ht="15.75" customHeight="1">
      <c r="F785" s="4"/>
      <c r="G785" s="18"/>
      <c r="L785" s="4"/>
      <c r="M785" s="18"/>
      <c r="AA785" s="18"/>
    </row>
    <row r="786" ht="15.75" customHeight="1">
      <c r="F786" s="4"/>
      <c r="G786" s="18"/>
      <c r="L786" s="4"/>
      <c r="M786" s="18"/>
      <c r="AA786" s="18"/>
    </row>
    <row r="787" ht="15.75" customHeight="1">
      <c r="F787" s="4"/>
      <c r="G787" s="18"/>
      <c r="L787" s="4"/>
      <c r="M787" s="18"/>
      <c r="AA787" s="18"/>
    </row>
    <row r="788" ht="15.75" customHeight="1">
      <c r="F788" s="4"/>
      <c r="G788" s="18"/>
      <c r="L788" s="4"/>
      <c r="M788" s="18"/>
      <c r="AA788" s="18"/>
    </row>
    <row r="789" ht="15.75" customHeight="1">
      <c r="F789" s="4"/>
      <c r="G789" s="18"/>
      <c r="L789" s="4"/>
      <c r="M789" s="18"/>
      <c r="AA789" s="18"/>
    </row>
    <row r="790" ht="15.75" customHeight="1">
      <c r="F790" s="4"/>
      <c r="G790" s="18"/>
      <c r="L790" s="4"/>
      <c r="M790" s="18"/>
      <c r="AA790" s="18"/>
    </row>
    <row r="791" ht="15.75" customHeight="1">
      <c r="F791" s="4"/>
      <c r="G791" s="18"/>
      <c r="L791" s="4"/>
      <c r="M791" s="18"/>
      <c r="AA791" s="18"/>
    </row>
    <row r="792" ht="15.75" customHeight="1">
      <c r="F792" s="4"/>
      <c r="G792" s="18"/>
      <c r="L792" s="4"/>
      <c r="M792" s="18"/>
      <c r="AA792" s="18"/>
    </row>
    <row r="793" ht="15.75" customHeight="1">
      <c r="F793" s="4"/>
      <c r="G793" s="18"/>
      <c r="L793" s="4"/>
      <c r="M793" s="18"/>
      <c r="AA793" s="18"/>
    </row>
    <row r="794" ht="15.75" customHeight="1">
      <c r="F794" s="4"/>
      <c r="G794" s="18"/>
      <c r="L794" s="4"/>
      <c r="M794" s="18"/>
      <c r="AA794" s="18"/>
    </row>
    <row r="795" ht="15.75" customHeight="1">
      <c r="F795" s="4"/>
      <c r="G795" s="18"/>
      <c r="L795" s="4"/>
      <c r="M795" s="18"/>
      <c r="AA795" s="18"/>
    </row>
    <row r="796" ht="15.75" customHeight="1">
      <c r="F796" s="4"/>
      <c r="G796" s="18"/>
      <c r="L796" s="4"/>
      <c r="M796" s="18"/>
      <c r="AA796" s="18"/>
    </row>
    <row r="797" ht="15.75" customHeight="1">
      <c r="F797" s="4"/>
      <c r="G797" s="18"/>
      <c r="L797" s="4"/>
      <c r="M797" s="18"/>
      <c r="AA797" s="18"/>
    </row>
    <row r="798" ht="15.75" customHeight="1">
      <c r="F798" s="4"/>
      <c r="G798" s="18"/>
      <c r="L798" s="4"/>
      <c r="M798" s="18"/>
      <c r="AA798" s="18"/>
    </row>
    <row r="799" ht="15.75" customHeight="1">
      <c r="F799" s="4"/>
      <c r="G799" s="18"/>
      <c r="L799" s="4"/>
      <c r="M799" s="18"/>
      <c r="AA799" s="18"/>
    </row>
    <row r="800" ht="15.75" customHeight="1">
      <c r="F800" s="4"/>
      <c r="G800" s="18"/>
      <c r="L800" s="4"/>
      <c r="M800" s="18"/>
      <c r="AA800" s="18"/>
    </row>
    <row r="801" ht="15.75" customHeight="1">
      <c r="F801" s="4"/>
      <c r="G801" s="18"/>
      <c r="L801" s="4"/>
      <c r="M801" s="18"/>
      <c r="AA801" s="18"/>
    </row>
    <row r="802" ht="15.75" customHeight="1">
      <c r="F802" s="4"/>
      <c r="G802" s="18"/>
      <c r="L802" s="4"/>
      <c r="M802" s="18"/>
      <c r="AA802" s="18"/>
    </row>
    <row r="803" ht="15.75" customHeight="1">
      <c r="F803" s="4"/>
      <c r="G803" s="18"/>
      <c r="L803" s="4"/>
      <c r="M803" s="18"/>
      <c r="AA803" s="18"/>
    </row>
    <row r="804" ht="15.75" customHeight="1">
      <c r="F804" s="4"/>
      <c r="G804" s="18"/>
      <c r="L804" s="4"/>
      <c r="M804" s="18"/>
      <c r="AA804" s="18"/>
    </row>
    <row r="805" ht="15.75" customHeight="1">
      <c r="F805" s="4"/>
      <c r="G805" s="18"/>
      <c r="L805" s="4"/>
      <c r="M805" s="18"/>
      <c r="AA805" s="18"/>
    </row>
    <row r="806" ht="15.75" customHeight="1">
      <c r="F806" s="4"/>
      <c r="G806" s="18"/>
      <c r="L806" s="4"/>
      <c r="M806" s="18"/>
      <c r="AA806" s="18"/>
    </row>
    <row r="807" ht="15.75" customHeight="1">
      <c r="F807" s="4"/>
      <c r="G807" s="18"/>
      <c r="L807" s="4"/>
      <c r="M807" s="18"/>
      <c r="AA807" s="18"/>
    </row>
    <row r="808" ht="15.75" customHeight="1">
      <c r="F808" s="4"/>
      <c r="G808" s="18"/>
      <c r="L808" s="4"/>
      <c r="M808" s="18"/>
      <c r="AA808" s="18"/>
    </row>
    <row r="809" ht="15.75" customHeight="1">
      <c r="F809" s="4"/>
      <c r="G809" s="18"/>
      <c r="L809" s="4"/>
      <c r="M809" s="18"/>
      <c r="AA809" s="18"/>
    </row>
    <row r="810" ht="15.75" customHeight="1">
      <c r="F810" s="4"/>
      <c r="G810" s="18"/>
      <c r="L810" s="4"/>
      <c r="M810" s="18"/>
      <c r="AA810" s="18"/>
    </row>
    <row r="811" ht="15.75" customHeight="1">
      <c r="F811" s="4"/>
      <c r="G811" s="18"/>
      <c r="L811" s="4"/>
      <c r="M811" s="18"/>
      <c r="AA811" s="18"/>
    </row>
    <row r="812" ht="15.75" customHeight="1">
      <c r="F812" s="4"/>
      <c r="G812" s="18"/>
      <c r="L812" s="4"/>
      <c r="M812" s="18"/>
      <c r="AA812" s="18"/>
    </row>
    <row r="813" ht="15.75" customHeight="1">
      <c r="F813" s="4"/>
      <c r="G813" s="18"/>
      <c r="L813" s="4"/>
      <c r="M813" s="18"/>
      <c r="AA813" s="18"/>
    </row>
    <row r="814" ht="15.75" customHeight="1">
      <c r="F814" s="4"/>
      <c r="G814" s="18"/>
      <c r="L814" s="4"/>
      <c r="M814" s="18"/>
      <c r="AA814" s="18"/>
    </row>
    <row r="815" ht="15.75" customHeight="1">
      <c r="F815" s="4"/>
      <c r="G815" s="18"/>
      <c r="L815" s="4"/>
      <c r="M815" s="18"/>
      <c r="AA815" s="18"/>
    </row>
    <row r="816" ht="15.75" customHeight="1">
      <c r="F816" s="4"/>
      <c r="G816" s="18"/>
      <c r="L816" s="4"/>
      <c r="M816" s="18"/>
      <c r="AA816" s="18"/>
    </row>
    <row r="817" ht="15.75" customHeight="1">
      <c r="F817" s="4"/>
      <c r="G817" s="18"/>
      <c r="L817" s="4"/>
      <c r="M817" s="18"/>
      <c r="AA817" s="18"/>
    </row>
    <row r="818" ht="15.75" customHeight="1">
      <c r="F818" s="4"/>
      <c r="G818" s="18"/>
      <c r="L818" s="4"/>
      <c r="M818" s="18"/>
      <c r="AA818" s="18"/>
    </row>
    <row r="819" ht="15.75" customHeight="1">
      <c r="F819" s="4"/>
      <c r="G819" s="18"/>
      <c r="L819" s="4"/>
      <c r="M819" s="18"/>
      <c r="AA819" s="18"/>
    </row>
    <row r="820" ht="15.75" customHeight="1">
      <c r="F820" s="4"/>
      <c r="G820" s="18"/>
      <c r="L820" s="4"/>
      <c r="M820" s="18"/>
      <c r="AA820" s="18"/>
    </row>
    <row r="821" ht="15.75" customHeight="1">
      <c r="F821" s="4"/>
      <c r="G821" s="18"/>
      <c r="L821" s="4"/>
      <c r="M821" s="18"/>
      <c r="AA821" s="18"/>
    </row>
    <row r="822" ht="15.75" customHeight="1">
      <c r="F822" s="4"/>
      <c r="G822" s="18"/>
      <c r="L822" s="4"/>
      <c r="M822" s="18"/>
      <c r="AA822" s="18"/>
    </row>
    <row r="823" ht="15.75" customHeight="1">
      <c r="F823" s="4"/>
      <c r="G823" s="18"/>
      <c r="L823" s="4"/>
      <c r="M823" s="18"/>
      <c r="AA823" s="18"/>
    </row>
    <row r="824" ht="15.75" customHeight="1">
      <c r="F824" s="4"/>
      <c r="G824" s="18"/>
      <c r="L824" s="4"/>
      <c r="M824" s="18"/>
      <c r="AA824" s="18"/>
    </row>
    <row r="825" ht="15.75" customHeight="1">
      <c r="F825" s="4"/>
      <c r="G825" s="18"/>
      <c r="L825" s="4"/>
      <c r="M825" s="18"/>
      <c r="AA825" s="18"/>
    </row>
    <row r="826" ht="15.75" customHeight="1">
      <c r="F826" s="4"/>
      <c r="G826" s="18"/>
      <c r="L826" s="4"/>
      <c r="M826" s="18"/>
      <c r="AA826" s="18"/>
    </row>
    <row r="827" ht="15.75" customHeight="1">
      <c r="F827" s="4"/>
      <c r="G827" s="18"/>
      <c r="L827" s="4"/>
      <c r="M827" s="18"/>
      <c r="AA827" s="18"/>
    </row>
    <row r="828" ht="15.75" customHeight="1">
      <c r="F828" s="4"/>
      <c r="G828" s="18"/>
      <c r="L828" s="4"/>
      <c r="M828" s="18"/>
      <c r="AA828" s="18"/>
    </row>
    <row r="829" ht="15.75" customHeight="1">
      <c r="F829" s="4"/>
      <c r="G829" s="18"/>
      <c r="L829" s="4"/>
      <c r="M829" s="18"/>
      <c r="AA829" s="18"/>
    </row>
    <row r="830" ht="15.75" customHeight="1">
      <c r="F830" s="4"/>
      <c r="G830" s="18"/>
      <c r="L830" s="4"/>
      <c r="M830" s="18"/>
      <c r="AA830" s="18"/>
    </row>
    <row r="831" ht="15.75" customHeight="1">
      <c r="F831" s="4"/>
      <c r="G831" s="18"/>
      <c r="L831" s="4"/>
      <c r="M831" s="18"/>
      <c r="AA831" s="18"/>
    </row>
    <row r="832" ht="15.75" customHeight="1">
      <c r="F832" s="4"/>
      <c r="G832" s="18"/>
      <c r="L832" s="4"/>
      <c r="M832" s="18"/>
      <c r="AA832" s="18"/>
    </row>
    <row r="833" ht="15.75" customHeight="1">
      <c r="F833" s="4"/>
      <c r="G833" s="18"/>
      <c r="L833" s="4"/>
      <c r="M833" s="18"/>
      <c r="AA833" s="18"/>
    </row>
    <row r="834" ht="15.75" customHeight="1">
      <c r="F834" s="4"/>
      <c r="G834" s="18"/>
      <c r="L834" s="4"/>
      <c r="M834" s="18"/>
      <c r="AA834" s="18"/>
    </row>
    <row r="835" ht="15.75" customHeight="1">
      <c r="F835" s="4"/>
      <c r="G835" s="18"/>
      <c r="L835" s="4"/>
      <c r="M835" s="18"/>
      <c r="AA835" s="18"/>
    </row>
    <row r="836" ht="15.75" customHeight="1">
      <c r="F836" s="4"/>
      <c r="G836" s="18"/>
      <c r="L836" s="4"/>
      <c r="M836" s="18"/>
      <c r="AA836" s="18"/>
    </row>
    <row r="837" ht="15.75" customHeight="1">
      <c r="F837" s="4"/>
      <c r="G837" s="18"/>
      <c r="L837" s="4"/>
      <c r="M837" s="18"/>
      <c r="AA837" s="18"/>
    </row>
    <row r="838" ht="15.75" customHeight="1">
      <c r="F838" s="4"/>
      <c r="G838" s="18"/>
      <c r="L838" s="4"/>
      <c r="M838" s="18"/>
      <c r="AA838" s="18"/>
    </row>
    <row r="839" ht="15.75" customHeight="1">
      <c r="F839" s="4"/>
      <c r="G839" s="18"/>
      <c r="L839" s="4"/>
      <c r="M839" s="18"/>
      <c r="AA839" s="18"/>
    </row>
    <row r="840" ht="15.75" customHeight="1">
      <c r="F840" s="4"/>
      <c r="G840" s="18"/>
      <c r="L840" s="4"/>
      <c r="M840" s="18"/>
      <c r="AA840" s="18"/>
    </row>
    <row r="841" ht="15.75" customHeight="1">
      <c r="F841" s="4"/>
      <c r="G841" s="18"/>
      <c r="L841" s="4"/>
      <c r="M841" s="18"/>
      <c r="AA841" s="18"/>
    </row>
    <row r="842" ht="15.75" customHeight="1">
      <c r="F842" s="4"/>
      <c r="G842" s="18"/>
      <c r="L842" s="4"/>
      <c r="M842" s="18"/>
      <c r="AA842" s="18"/>
    </row>
    <row r="843" ht="15.75" customHeight="1">
      <c r="F843" s="4"/>
      <c r="G843" s="18"/>
      <c r="L843" s="4"/>
      <c r="M843" s="18"/>
      <c r="AA843" s="18"/>
    </row>
    <row r="844" ht="15.75" customHeight="1">
      <c r="F844" s="4"/>
      <c r="G844" s="18"/>
      <c r="L844" s="4"/>
      <c r="M844" s="18"/>
      <c r="AA844" s="18"/>
    </row>
    <row r="845" ht="15.75" customHeight="1">
      <c r="F845" s="4"/>
      <c r="G845" s="18"/>
      <c r="L845" s="4"/>
      <c r="M845" s="18"/>
      <c r="AA845" s="18"/>
    </row>
    <row r="846" ht="15.75" customHeight="1">
      <c r="F846" s="4"/>
      <c r="G846" s="18"/>
      <c r="L846" s="4"/>
      <c r="M846" s="18"/>
      <c r="AA846" s="18"/>
    </row>
    <row r="847" ht="15.75" customHeight="1">
      <c r="F847" s="4"/>
      <c r="G847" s="18"/>
      <c r="L847" s="4"/>
      <c r="M847" s="18"/>
      <c r="AA847" s="18"/>
    </row>
    <row r="848" ht="15.75" customHeight="1">
      <c r="F848" s="4"/>
      <c r="G848" s="18"/>
      <c r="L848" s="4"/>
      <c r="M848" s="18"/>
      <c r="AA848" s="18"/>
    </row>
    <row r="849" ht="15.75" customHeight="1">
      <c r="F849" s="4"/>
      <c r="G849" s="18"/>
      <c r="L849" s="4"/>
      <c r="M849" s="18"/>
      <c r="AA849" s="18"/>
    </row>
    <row r="850" ht="15.75" customHeight="1">
      <c r="F850" s="4"/>
      <c r="G850" s="18"/>
      <c r="L850" s="4"/>
      <c r="M850" s="18"/>
      <c r="AA850" s="18"/>
    </row>
    <row r="851" ht="15.75" customHeight="1">
      <c r="F851" s="4"/>
      <c r="G851" s="18"/>
      <c r="L851" s="4"/>
      <c r="M851" s="18"/>
      <c r="AA851" s="18"/>
    </row>
    <row r="852" ht="15.75" customHeight="1">
      <c r="F852" s="4"/>
      <c r="G852" s="18"/>
      <c r="L852" s="4"/>
      <c r="M852" s="18"/>
      <c r="AA852" s="18"/>
    </row>
    <row r="853" ht="15.75" customHeight="1">
      <c r="F853" s="4"/>
      <c r="G853" s="18"/>
      <c r="L853" s="4"/>
      <c r="M853" s="18"/>
      <c r="AA853" s="18"/>
    </row>
    <row r="854" ht="15.75" customHeight="1">
      <c r="F854" s="4"/>
      <c r="G854" s="18"/>
      <c r="L854" s="4"/>
      <c r="M854" s="18"/>
      <c r="AA854" s="18"/>
    </row>
    <row r="855" ht="15.75" customHeight="1">
      <c r="F855" s="4"/>
      <c r="G855" s="18"/>
      <c r="L855" s="4"/>
      <c r="M855" s="18"/>
      <c r="AA855" s="18"/>
    </row>
    <row r="856" ht="15.75" customHeight="1">
      <c r="F856" s="4"/>
      <c r="G856" s="18"/>
      <c r="L856" s="4"/>
      <c r="M856" s="18"/>
      <c r="AA856" s="18"/>
    </row>
    <row r="857" ht="15.75" customHeight="1">
      <c r="F857" s="4"/>
      <c r="G857" s="18"/>
      <c r="L857" s="4"/>
      <c r="M857" s="18"/>
      <c r="AA857" s="18"/>
    </row>
    <row r="858" ht="15.75" customHeight="1">
      <c r="F858" s="4"/>
      <c r="G858" s="18"/>
      <c r="L858" s="4"/>
      <c r="M858" s="18"/>
      <c r="AA858" s="18"/>
    </row>
    <row r="859" ht="15.75" customHeight="1">
      <c r="F859" s="4"/>
      <c r="G859" s="18"/>
      <c r="L859" s="4"/>
      <c r="M859" s="18"/>
      <c r="AA859" s="18"/>
    </row>
    <row r="860" ht="15.75" customHeight="1">
      <c r="F860" s="4"/>
      <c r="G860" s="18"/>
      <c r="L860" s="4"/>
      <c r="M860" s="18"/>
      <c r="AA860" s="18"/>
    </row>
    <row r="861" ht="15.75" customHeight="1">
      <c r="F861" s="4"/>
      <c r="G861" s="18"/>
      <c r="L861" s="4"/>
      <c r="M861" s="18"/>
      <c r="AA861" s="18"/>
    </row>
    <row r="862" ht="15.75" customHeight="1">
      <c r="F862" s="4"/>
      <c r="G862" s="18"/>
      <c r="L862" s="4"/>
      <c r="M862" s="18"/>
      <c r="AA862" s="18"/>
    </row>
    <row r="863" ht="15.75" customHeight="1">
      <c r="F863" s="4"/>
      <c r="G863" s="18"/>
      <c r="L863" s="4"/>
      <c r="M863" s="18"/>
      <c r="AA863" s="18"/>
    </row>
    <row r="864" ht="15.75" customHeight="1">
      <c r="F864" s="4"/>
      <c r="G864" s="18"/>
      <c r="L864" s="4"/>
      <c r="M864" s="18"/>
      <c r="AA864" s="18"/>
    </row>
    <row r="865" ht="15.75" customHeight="1">
      <c r="F865" s="4"/>
      <c r="G865" s="18"/>
      <c r="L865" s="4"/>
      <c r="M865" s="18"/>
      <c r="AA865" s="18"/>
    </row>
    <row r="866" ht="15.75" customHeight="1">
      <c r="F866" s="4"/>
      <c r="G866" s="18"/>
      <c r="L866" s="4"/>
      <c r="M866" s="18"/>
      <c r="AA866" s="18"/>
    </row>
    <row r="867" ht="15.75" customHeight="1">
      <c r="F867" s="4"/>
      <c r="G867" s="18"/>
      <c r="L867" s="4"/>
      <c r="M867" s="18"/>
      <c r="AA867" s="18"/>
    </row>
    <row r="868" ht="15.75" customHeight="1">
      <c r="F868" s="4"/>
      <c r="G868" s="18"/>
      <c r="L868" s="4"/>
      <c r="M868" s="18"/>
      <c r="AA868" s="18"/>
    </row>
    <row r="869" ht="15.75" customHeight="1">
      <c r="F869" s="4"/>
      <c r="G869" s="18"/>
      <c r="L869" s="4"/>
      <c r="M869" s="18"/>
      <c r="AA869" s="18"/>
    </row>
    <row r="870" ht="15.75" customHeight="1">
      <c r="F870" s="4"/>
      <c r="G870" s="18"/>
      <c r="L870" s="4"/>
      <c r="M870" s="18"/>
      <c r="AA870" s="18"/>
    </row>
    <row r="871" ht="15.75" customHeight="1">
      <c r="F871" s="4"/>
      <c r="G871" s="18"/>
      <c r="L871" s="4"/>
      <c r="M871" s="18"/>
      <c r="AA871" s="18"/>
    </row>
    <row r="872" ht="15.75" customHeight="1">
      <c r="F872" s="4"/>
      <c r="G872" s="18"/>
      <c r="L872" s="4"/>
      <c r="M872" s="18"/>
      <c r="AA872" s="18"/>
    </row>
    <row r="873" ht="15.75" customHeight="1">
      <c r="F873" s="4"/>
      <c r="G873" s="18"/>
      <c r="L873" s="4"/>
      <c r="M873" s="18"/>
      <c r="AA873" s="18"/>
    </row>
    <row r="874" ht="15.75" customHeight="1">
      <c r="F874" s="4"/>
      <c r="G874" s="18"/>
      <c r="L874" s="4"/>
      <c r="M874" s="18"/>
      <c r="AA874" s="18"/>
    </row>
    <row r="875" ht="15.75" customHeight="1">
      <c r="F875" s="4"/>
      <c r="G875" s="18"/>
      <c r="L875" s="4"/>
      <c r="M875" s="18"/>
      <c r="AA875" s="18"/>
    </row>
    <row r="876" ht="15.75" customHeight="1">
      <c r="F876" s="4"/>
      <c r="G876" s="18"/>
      <c r="L876" s="4"/>
      <c r="M876" s="18"/>
      <c r="AA876" s="18"/>
    </row>
    <row r="877" ht="15.75" customHeight="1">
      <c r="F877" s="4"/>
      <c r="G877" s="18"/>
      <c r="L877" s="4"/>
      <c r="M877" s="18"/>
      <c r="AA877" s="18"/>
    </row>
    <row r="878" ht="15.75" customHeight="1">
      <c r="F878" s="4"/>
      <c r="G878" s="18"/>
      <c r="L878" s="4"/>
      <c r="M878" s="18"/>
      <c r="AA878" s="18"/>
    </row>
    <row r="879" ht="15.75" customHeight="1">
      <c r="F879" s="4"/>
      <c r="G879" s="18"/>
      <c r="L879" s="4"/>
      <c r="M879" s="18"/>
      <c r="AA879" s="18"/>
    </row>
    <row r="880" ht="15.75" customHeight="1">
      <c r="F880" s="4"/>
      <c r="G880" s="18"/>
      <c r="L880" s="4"/>
      <c r="M880" s="18"/>
      <c r="AA880" s="18"/>
    </row>
    <row r="881" ht="15.75" customHeight="1">
      <c r="F881" s="4"/>
      <c r="G881" s="18"/>
      <c r="L881" s="4"/>
      <c r="M881" s="18"/>
      <c r="AA881" s="18"/>
    </row>
    <row r="882" ht="15.75" customHeight="1">
      <c r="F882" s="4"/>
      <c r="G882" s="18"/>
      <c r="L882" s="4"/>
      <c r="M882" s="18"/>
      <c r="AA882" s="18"/>
    </row>
    <row r="883" ht="15.75" customHeight="1">
      <c r="F883" s="4"/>
      <c r="G883" s="18"/>
      <c r="L883" s="4"/>
      <c r="M883" s="18"/>
      <c r="AA883" s="18"/>
    </row>
    <row r="884" ht="15.75" customHeight="1">
      <c r="F884" s="4"/>
      <c r="G884" s="18"/>
      <c r="L884" s="4"/>
      <c r="M884" s="18"/>
      <c r="AA884" s="18"/>
    </row>
    <row r="885" ht="15.75" customHeight="1">
      <c r="F885" s="4"/>
      <c r="G885" s="18"/>
      <c r="L885" s="4"/>
      <c r="M885" s="18"/>
      <c r="AA885" s="18"/>
    </row>
    <row r="886" ht="15.75" customHeight="1">
      <c r="F886" s="4"/>
      <c r="G886" s="18"/>
      <c r="L886" s="4"/>
      <c r="M886" s="18"/>
      <c r="AA886" s="18"/>
    </row>
    <row r="887" ht="15.75" customHeight="1">
      <c r="F887" s="4"/>
      <c r="G887" s="18"/>
      <c r="L887" s="4"/>
      <c r="M887" s="18"/>
      <c r="AA887" s="18"/>
    </row>
    <row r="888" ht="15.75" customHeight="1">
      <c r="F888" s="4"/>
      <c r="G888" s="18"/>
      <c r="L888" s="4"/>
      <c r="M888" s="18"/>
      <c r="AA888" s="18"/>
    </row>
    <row r="889" ht="15.75" customHeight="1">
      <c r="F889" s="4"/>
      <c r="G889" s="18"/>
      <c r="L889" s="4"/>
      <c r="M889" s="18"/>
      <c r="AA889" s="18"/>
    </row>
    <row r="890" ht="15.75" customHeight="1">
      <c r="F890" s="4"/>
      <c r="G890" s="18"/>
      <c r="L890" s="4"/>
      <c r="M890" s="18"/>
      <c r="AA890" s="18"/>
    </row>
    <row r="891" ht="15.75" customHeight="1">
      <c r="F891" s="4"/>
      <c r="G891" s="18"/>
      <c r="L891" s="4"/>
      <c r="M891" s="18"/>
      <c r="AA891" s="18"/>
    </row>
    <row r="892" ht="15.75" customHeight="1">
      <c r="F892" s="4"/>
      <c r="G892" s="18"/>
      <c r="L892" s="4"/>
      <c r="M892" s="18"/>
      <c r="AA892" s="18"/>
    </row>
    <row r="893" ht="15.75" customHeight="1">
      <c r="F893" s="4"/>
      <c r="G893" s="18"/>
      <c r="L893" s="4"/>
      <c r="M893" s="18"/>
      <c r="AA893" s="18"/>
    </row>
    <row r="894" ht="15.75" customHeight="1">
      <c r="F894" s="4"/>
      <c r="G894" s="18"/>
      <c r="L894" s="4"/>
      <c r="M894" s="18"/>
      <c r="AA894" s="18"/>
    </row>
    <row r="895" ht="15.75" customHeight="1">
      <c r="F895" s="4"/>
      <c r="G895" s="18"/>
      <c r="L895" s="4"/>
      <c r="M895" s="18"/>
      <c r="AA895" s="18"/>
    </row>
    <row r="896" ht="15.75" customHeight="1">
      <c r="F896" s="4"/>
      <c r="G896" s="18"/>
      <c r="L896" s="4"/>
      <c r="M896" s="18"/>
      <c r="AA896" s="18"/>
    </row>
    <row r="897" ht="15.75" customHeight="1">
      <c r="F897" s="4"/>
      <c r="G897" s="18"/>
      <c r="L897" s="4"/>
      <c r="M897" s="18"/>
      <c r="AA897" s="18"/>
    </row>
    <row r="898" ht="15.75" customHeight="1">
      <c r="F898" s="4"/>
      <c r="G898" s="18"/>
      <c r="L898" s="4"/>
      <c r="M898" s="18"/>
      <c r="AA898" s="18"/>
    </row>
    <row r="899" ht="15.75" customHeight="1">
      <c r="F899" s="4"/>
      <c r="G899" s="18"/>
      <c r="L899" s="4"/>
      <c r="M899" s="18"/>
      <c r="AA899" s="18"/>
    </row>
    <row r="900" ht="15.75" customHeight="1">
      <c r="F900" s="4"/>
      <c r="G900" s="18"/>
      <c r="L900" s="4"/>
      <c r="M900" s="18"/>
      <c r="AA900" s="18"/>
    </row>
    <row r="901" ht="15.75" customHeight="1">
      <c r="F901" s="4"/>
      <c r="G901" s="18"/>
      <c r="L901" s="4"/>
      <c r="M901" s="18"/>
      <c r="AA901" s="18"/>
    </row>
    <row r="902" ht="15.75" customHeight="1">
      <c r="F902" s="4"/>
      <c r="G902" s="18"/>
      <c r="L902" s="4"/>
      <c r="M902" s="18"/>
      <c r="AA902" s="18"/>
    </row>
    <row r="903" ht="15.75" customHeight="1">
      <c r="F903" s="4"/>
      <c r="G903" s="18"/>
      <c r="L903" s="4"/>
      <c r="M903" s="18"/>
      <c r="AA903" s="18"/>
    </row>
    <row r="904" ht="15.75" customHeight="1">
      <c r="F904" s="4"/>
      <c r="G904" s="18"/>
      <c r="L904" s="4"/>
      <c r="M904" s="18"/>
      <c r="AA904" s="18"/>
    </row>
    <row r="905" ht="15.75" customHeight="1">
      <c r="F905" s="4"/>
      <c r="G905" s="18"/>
      <c r="L905" s="4"/>
      <c r="M905" s="18"/>
      <c r="AA905" s="18"/>
    </row>
    <row r="906" ht="15.75" customHeight="1">
      <c r="F906" s="4"/>
      <c r="G906" s="18"/>
      <c r="L906" s="4"/>
      <c r="M906" s="18"/>
      <c r="AA906" s="18"/>
    </row>
    <row r="907" ht="15.75" customHeight="1">
      <c r="F907" s="4"/>
      <c r="G907" s="18"/>
      <c r="L907" s="4"/>
      <c r="M907" s="18"/>
      <c r="AA907" s="18"/>
    </row>
    <row r="908" ht="15.75" customHeight="1">
      <c r="F908" s="4"/>
      <c r="G908" s="18"/>
      <c r="L908" s="4"/>
      <c r="M908" s="18"/>
      <c r="AA908" s="18"/>
    </row>
    <row r="909" ht="15.75" customHeight="1">
      <c r="F909" s="4"/>
      <c r="G909" s="18"/>
      <c r="L909" s="4"/>
      <c r="M909" s="18"/>
      <c r="AA909" s="18"/>
    </row>
    <row r="910" ht="15.75" customHeight="1">
      <c r="F910" s="4"/>
      <c r="G910" s="18"/>
      <c r="L910" s="4"/>
      <c r="M910" s="18"/>
      <c r="AA910" s="18"/>
    </row>
    <row r="911" ht="15.75" customHeight="1">
      <c r="F911" s="4"/>
      <c r="G911" s="18"/>
      <c r="L911" s="4"/>
      <c r="M911" s="18"/>
      <c r="AA911" s="18"/>
    </row>
    <row r="912" ht="15.75" customHeight="1">
      <c r="F912" s="4"/>
      <c r="G912" s="18"/>
      <c r="L912" s="4"/>
      <c r="M912" s="18"/>
      <c r="AA912" s="18"/>
    </row>
    <row r="913" ht="15.75" customHeight="1">
      <c r="F913" s="4"/>
      <c r="G913" s="18"/>
      <c r="L913" s="4"/>
      <c r="M913" s="18"/>
      <c r="AA913" s="18"/>
    </row>
    <row r="914" ht="15.75" customHeight="1">
      <c r="F914" s="4"/>
      <c r="G914" s="18"/>
      <c r="L914" s="4"/>
      <c r="M914" s="18"/>
      <c r="AA914" s="18"/>
    </row>
    <row r="915" ht="15.75" customHeight="1">
      <c r="F915" s="4"/>
      <c r="G915" s="18"/>
      <c r="L915" s="4"/>
      <c r="M915" s="18"/>
      <c r="AA915" s="18"/>
    </row>
    <row r="916" ht="15.75" customHeight="1">
      <c r="F916" s="4"/>
      <c r="G916" s="18"/>
      <c r="L916" s="4"/>
      <c r="M916" s="18"/>
      <c r="AA916" s="18"/>
    </row>
    <row r="917" ht="15.75" customHeight="1">
      <c r="F917" s="4"/>
      <c r="G917" s="18"/>
      <c r="L917" s="4"/>
      <c r="M917" s="18"/>
      <c r="AA917" s="18"/>
    </row>
    <row r="918" ht="15.75" customHeight="1">
      <c r="F918" s="4"/>
      <c r="G918" s="18"/>
      <c r="L918" s="4"/>
      <c r="M918" s="18"/>
      <c r="AA918" s="18"/>
    </row>
    <row r="919" ht="15.75" customHeight="1">
      <c r="F919" s="4"/>
      <c r="G919" s="18"/>
      <c r="L919" s="4"/>
      <c r="M919" s="18"/>
      <c r="AA919" s="18"/>
    </row>
    <row r="920" ht="15.75" customHeight="1">
      <c r="F920" s="4"/>
      <c r="G920" s="18"/>
      <c r="L920" s="4"/>
      <c r="M920" s="18"/>
      <c r="AA920" s="18"/>
    </row>
    <row r="921" ht="15.75" customHeight="1">
      <c r="F921" s="4"/>
      <c r="G921" s="18"/>
      <c r="L921" s="4"/>
      <c r="M921" s="18"/>
      <c r="AA921" s="18"/>
    </row>
    <row r="922" ht="15.75" customHeight="1">
      <c r="F922" s="4"/>
      <c r="G922" s="18"/>
      <c r="L922" s="4"/>
      <c r="M922" s="18"/>
      <c r="AA922" s="18"/>
    </row>
    <row r="923" ht="15.75" customHeight="1">
      <c r="F923" s="4"/>
      <c r="G923" s="18"/>
      <c r="L923" s="4"/>
      <c r="M923" s="18"/>
      <c r="AA923" s="18"/>
    </row>
    <row r="924" ht="15.75" customHeight="1">
      <c r="F924" s="4"/>
      <c r="G924" s="18"/>
      <c r="L924" s="4"/>
      <c r="M924" s="18"/>
      <c r="AA924" s="18"/>
    </row>
    <row r="925" ht="15.75" customHeight="1">
      <c r="F925" s="4"/>
      <c r="G925" s="18"/>
      <c r="L925" s="4"/>
      <c r="M925" s="18"/>
      <c r="AA925" s="18"/>
    </row>
    <row r="926" ht="15.75" customHeight="1">
      <c r="F926" s="4"/>
      <c r="G926" s="18"/>
      <c r="L926" s="4"/>
      <c r="M926" s="18"/>
      <c r="AA926" s="18"/>
    </row>
    <row r="927" ht="15.75" customHeight="1">
      <c r="F927" s="4"/>
      <c r="G927" s="18"/>
      <c r="L927" s="4"/>
      <c r="M927" s="18"/>
      <c r="AA927" s="18"/>
    </row>
    <row r="928" ht="15.75" customHeight="1">
      <c r="F928" s="4"/>
      <c r="G928" s="18"/>
      <c r="L928" s="4"/>
      <c r="M928" s="18"/>
      <c r="AA928" s="18"/>
    </row>
    <row r="929" ht="15.75" customHeight="1">
      <c r="F929" s="4"/>
      <c r="G929" s="18"/>
      <c r="L929" s="4"/>
      <c r="M929" s="18"/>
      <c r="AA929" s="18"/>
    </row>
    <row r="930" ht="15.75" customHeight="1">
      <c r="F930" s="4"/>
      <c r="G930" s="18"/>
      <c r="L930" s="4"/>
      <c r="M930" s="18"/>
      <c r="AA930" s="18"/>
    </row>
    <row r="931" ht="15.75" customHeight="1">
      <c r="F931" s="4"/>
      <c r="G931" s="18"/>
      <c r="L931" s="4"/>
      <c r="M931" s="18"/>
      <c r="AA931" s="18"/>
    </row>
    <row r="932" ht="15.75" customHeight="1">
      <c r="F932" s="4"/>
      <c r="G932" s="18"/>
      <c r="L932" s="4"/>
      <c r="M932" s="18"/>
      <c r="AA932" s="18"/>
    </row>
    <row r="933" ht="15.75" customHeight="1">
      <c r="F933" s="4"/>
      <c r="G933" s="18"/>
      <c r="L933" s="4"/>
      <c r="M933" s="18"/>
      <c r="AA933" s="18"/>
    </row>
    <row r="934" ht="15.75" customHeight="1">
      <c r="F934" s="4"/>
      <c r="G934" s="18"/>
      <c r="L934" s="4"/>
      <c r="M934" s="18"/>
      <c r="AA934" s="18"/>
    </row>
    <row r="935" ht="15.75" customHeight="1">
      <c r="F935" s="4"/>
      <c r="G935" s="18"/>
      <c r="L935" s="4"/>
      <c r="M935" s="18"/>
      <c r="AA935" s="18"/>
    </row>
    <row r="936" ht="15.75" customHeight="1">
      <c r="F936" s="4"/>
      <c r="G936" s="18"/>
      <c r="L936" s="4"/>
      <c r="M936" s="18"/>
      <c r="AA936" s="18"/>
    </row>
    <row r="937" ht="15.75" customHeight="1">
      <c r="F937" s="4"/>
      <c r="G937" s="18"/>
      <c r="L937" s="4"/>
      <c r="M937" s="18"/>
      <c r="AA937" s="18"/>
    </row>
    <row r="938" ht="15.75" customHeight="1">
      <c r="F938" s="4"/>
      <c r="G938" s="18"/>
      <c r="L938" s="4"/>
      <c r="M938" s="18"/>
      <c r="AA938" s="18"/>
    </row>
    <row r="939" ht="15.75" customHeight="1">
      <c r="F939" s="4"/>
      <c r="G939" s="18"/>
      <c r="L939" s="4"/>
      <c r="M939" s="18"/>
      <c r="AA939" s="18"/>
    </row>
    <row r="940" ht="15.75" customHeight="1">
      <c r="F940" s="4"/>
      <c r="G940" s="18"/>
      <c r="L940" s="4"/>
      <c r="M940" s="18"/>
      <c r="AA940" s="18"/>
    </row>
    <row r="941" ht="15.75" customHeight="1">
      <c r="F941" s="4"/>
      <c r="G941" s="18"/>
      <c r="L941" s="4"/>
      <c r="M941" s="18"/>
      <c r="AA941" s="18"/>
    </row>
    <row r="942" ht="15.75" customHeight="1">
      <c r="F942" s="4"/>
      <c r="G942" s="18"/>
      <c r="L942" s="4"/>
      <c r="M942" s="18"/>
      <c r="AA942" s="18"/>
    </row>
    <row r="943" ht="15.75" customHeight="1">
      <c r="F943" s="4"/>
      <c r="G943" s="18"/>
      <c r="L943" s="4"/>
      <c r="M943" s="18"/>
      <c r="AA943" s="18"/>
    </row>
    <row r="944" ht="15.75" customHeight="1">
      <c r="F944" s="4"/>
      <c r="G944" s="18"/>
      <c r="L944" s="4"/>
      <c r="M944" s="18"/>
      <c r="AA944" s="18"/>
    </row>
    <row r="945" ht="15.75" customHeight="1">
      <c r="F945" s="4"/>
      <c r="G945" s="18"/>
      <c r="L945" s="4"/>
      <c r="M945" s="18"/>
      <c r="AA945" s="18"/>
    </row>
    <row r="946" ht="15.75" customHeight="1">
      <c r="F946" s="4"/>
      <c r="G946" s="18"/>
      <c r="L946" s="4"/>
      <c r="M946" s="18"/>
      <c r="AA946" s="18"/>
    </row>
    <row r="947" ht="15.75" customHeight="1">
      <c r="F947" s="4"/>
      <c r="G947" s="18"/>
      <c r="L947" s="4"/>
      <c r="M947" s="18"/>
      <c r="AA947" s="18"/>
    </row>
    <row r="948" ht="15.75" customHeight="1">
      <c r="F948" s="4"/>
      <c r="G948" s="18"/>
      <c r="L948" s="4"/>
      <c r="M948" s="18"/>
      <c r="AA948" s="18"/>
    </row>
    <row r="949" ht="15.75" customHeight="1">
      <c r="F949" s="4"/>
      <c r="G949" s="18"/>
      <c r="L949" s="4"/>
      <c r="M949" s="18"/>
      <c r="AA949" s="18"/>
    </row>
    <row r="950" ht="15.75" customHeight="1">
      <c r="F950" s="4"/>
      <c r="G950" s="18"/>
      <c r="L950" s="4"/>
      <c r="M950" s="18"/>
      <c r="AA950" s="18"/>
    </row>
    <row r="951" ht="15.75" customHeight="1">
      <c r="F951" s="4"/>
      <c r="G951" s="18"/>
      <c r="L951" s="4"/>
      <c r="M951" s="18"/>
      <c r="AA951" s="18"/>
    </row>
    <row r="952" ht="15.75" customHeight="1">
      <c r="F952" s="4"/>
      <c r="G952" s="18"/>
      <c r="L952" s="4"/>
      <c r="M952" s="18"/>
      <c r="AA952" s="18"/>
    </row>
    <row r="953" ht="15.75" customHeight="1">
      <c r="F953" s="4"/>
      <c r="G953" s="18"/>
      <c r="L953" s="4"/>
      <c r="M953" s="18"/>
      <c r="AA953" s="18"/>
    </row>
    <row r="954" ht="15.75" customHeight="1">
      <c r="F954" s="4"/>
      <c r="G954" s="18"/>
      <c r="L954" s="4"/>
      <c r="M954" s="18"/>
      <c r="AA954" s="18"/>
    </row>
    <row r="955" ht="15.75" customHeight="1">
      <c r="F955" s="4"/>
      <c r="G955" s="18"/>
      <c r="L955" s="4"/>
      <c r="M955" s="18"/>
      <c r="AA955" s="18"/>
    </row>
    <row r="956" ht="15.75" customHeight="1">
      <c r="F956" s="4"/>
      <c r="G956" s="18"/>
      <c r="L956" s="4"/>
      <c r="M956" s="18"/>
      <c r="AA956" s="18"/>
    </row>
    <row r="957" ht="15.75" customHeight="1">
      <c r="F957" s="4"/>
      <c r="G957" s="18"/>
      <c r="L957" s="4"/>
      <c r="M957" s="18"/>
      <c r="AA957" s="18"/>
    </row>
    <row r="958" ht="15.75" customHeight="1">
      <c r="F958" s="4"/>
      <c r="G958" s="18"/>
      <c r="L958" s="4"/>
      <c r="M958" s="18"/>
      <c r="AA958" s="18"/>
    </row>
    <row r="959" ht="15.75" customHeight="1">
      <c r="F959" s="4"/>
      <c r="G959" s="18"/>
      <c r="L959" s="4"/>
      <c r="M959" s="18"/>
      <c r="AA959" s="18"/>
    </row>
    <row r="960" ht="15.75" customHeight="1">
      <c r="F960" s="4"/>
      <c r="G960" s="18"/>
      <c r="L960" s="4"/>
      <c r="M960" s="18"/>
      <c r="AA960" s="18"/>
    </row>
    <row r="961" ht="15.75" customHeight="1">
      <c r="F961" s="4"/>
      <c r="G961" s="18"/>
      <c r="L961" s="4"/>
      <c r="M961" s="18"/>
      <c r="AA961" s="18"/>
    </row>
    <row r="962" ht="15.75" customHeight="1">
      <c r="F962" s="4"/>
      <c r="G962" s="18"/>
      <c r="L962" s="4"/>
      <c r="M962" s="18"/>
      <c r="AA962" s="18"/>
    </row>
    <row r="963" ht="15.75" customHeight="1">
      <c r="F963" s="4"/>
      <c r="G963" s="18"/>
      <c r="L963" s="4"/>
      <c r="M963" s="18"/>
      <c r="AA963" s="18"/>
    </row>
    <row r="964" ht="15.75" customHeight="1">
      <c r="F964" s="4"/>
      <c r="G964" s="18"/>
      <c r="L964" s="4"/>
      <c r="M964" s="18"/>
      <c r="AA964" s="18"/>
    </row>
    <row r="965" ht="15.75" customHeight="1">
      <c r="F965" s="4"/>
      <c r="G965" s="18"/>
      <c r="L965" s="4"/>
      <c r="M965" s="18"/>
      <c r="AA965" s="18"/>
    </row>
    <row r="966" ht="15.75" customHeight="1">
      <c r="F966" s="4"/>
      <c r="G966" s="18"/>
      <c r="L966" s="4"/>
      <c r="M966" s="18"/>
      <c r="AA966" s="18"/>
    </row>
    <row r="967" ht="15.75" customHeight="1">
      <c r="F967" s="4"/>
      <c r="G967" s="18"/>
      <c r="L967" s="4"/>
      <c r="M967" s="18"/>
      <c r="AA967" s="18"/>
    </row>
    <row r="968" ht="15.75" customHeight="1">
      <c r="F968" s="4"/>
      <c r="G968" s="18"/>
      <c r="L968" s="4"/>
      <c r="M968" s="18"/>
      <c r="AA968" s="18"/>
    </row>
    <row r="969" ht="15.75" customHeight="1">
      <c r="F969" s="4"/>
      <c r="G969" s="18"/>
      <c r="L969" s="4"/>
      <c r="M969" s="18"/>
      <c r="AA969" s="18"/>
    </row>
    <row r="970" ht="15.75" customHeight="1">
      <c r="F970" s="4"/>
      <c r="G970" s="18"/>
      <c r="L970" s="4"/>
      <c r="M970" s="18"/>
      <c r="AA970" s="18"/>
    </row>
    <row r="971" ht="15.75" customHeight="1">
      <c r="F971" s="4"/>
      <c r="G971" s="18"/>
      <c r="L971" s="4"/>
      <c r="M971" s="18"/>
      <c r="AA971" s="18"/>
    </row>
    <row r="972" ht="15.75" customHeight="1">
      <c r="F972" s="4"/>
      <c r="G972" s="18"/>
      <c r="L972" s="4"/>
      <c r="M972" s="18"/>
      <c r="AA972" s="18"/>
    </row>
    <row r="973" ht="15.75" customHeight="1">
      <c r="F973" s="4"/>
      <c r="G973" s="18"/>
      <c r="L973" s="4"/>
      <c r="M973" s="18"/>
      <c r="AA973" s="18"/>
    </row>
    <row r="974" ht="15.75" customHeight="1">
      <c r="F974" s="4"/>
      <c r="G974" s="18"/>
      <c r="L974" s="4"/>
      <c r="M974" s="18"/>
      <c r="AA974" s="18"/>
    </row>
    <row r="975" ht="15.75" customHeight="1">
      <c r="F975" s="4"/>
      <c r="G975" s="18"/>
      <c r="L975" s="4"/>
      <c r="M975" s="18"/>
      <c r="AA975" s="18"/>
    </row>
    <row r="976" ht="15.75" customHeight="1">
      <c r="F976" s="4"/>
      <c r="G976" s="18"/>
      <c r="L976" s="4"/>
      <c r="M976" s="18"/>
      <c r="AA976" s="18"/>
    </row>
    <row r="977" ht="15.75" customHeight="1">
      <c r="F977" s="4"/>
      <c r="G977" s="18"/>
      <c r="L977" s="4"/>
      <c r="M977" s="18"/>
      <c r="AA977" s="18"/>
    </row>
    <row r="978" ht="15.75" customHeight="1">
      <c r="F978" s="4"/>
      <c r="G978" s="18"/>
      <c r="L978" s="4"/>
      <c r="M978" s="18"/>
      <c r="AA978" s="18"/>
    </row>
    <row r="979" ht="15.75" customHeight="1">
      <c r="F979" s="4"/>
      <c r="G979" s="18"/>
      <c r="L979" s="4"/>
      <c r="M979" s="18"/>
      <c r="AA979" s="18"/>
    </row>
    <row r="980" ht="15.75" customHeight="1">
      <c r="F980" s="4"/>
      <c r="G980" s="18"/>
      <c r="L980" s="4"/>
      <c r="M980" s="18"/>
      <c r="AA980" s="18"/>
    </row>
    <row r="981" ht="15.75" customHeight="1">
      <c r="F981" s="4"/>
      <c r="G981" s="18"/>
      <c r="L981" s="4"/>
      <c r="M981" s="18"/>
      <c r="AA981" s="18"/>
    </row>
    <row r="982" ht="15.75" customHeight="1">
      <c r="F982" s="4"/>
      <c r="G982" s="18"/>
      <c r="L982" s="4"/>
      <c r="M982" s="18"/>
      <c r="AA982" s="18"/>
    </row>
    <row r="983" ht="15.75" customHeight="1">
      <c r="F983" s="4"/>
      <c r="G983" s="18"/>
      <c r="L983" s="4"/>
      <c r="M983" s="18"/>
      <c r="AA983" s="18"/>
    </row>
    <row r="984" ht="15.75" customHeight="1">
      <c r="F984" s="4"/>
      <c r="G984" s="18"/>
      <c r="L984" s="4"/>
      <c r="M984" s="18"/>
      <c r="AA984" s="18"/>
    </row>
    <row r="985" ht="15.75" customHeight="1">
      <c r="F985" s="4"/>
      <c r="G985" s="18"/>
      <c r="L985" s="4"/>
      <c r="M985" s="18"/>
      <c r="AA985" s="18"/>
    </row>
    <row r="986" ht="15.75" customHeight="1">
      <c r="F986" s="4"/>
      <c r="G986" s="18"/>
      <c r="L986" s="4"/>
      <c r="M986" s="18"/>
      <c r="AA986" s="18"/>
    </row>
    <row r="987" ht="15.75" customHeight="1">
      <c r="F987" s="4"/>
      <c r="G987" s="18"/>
      <c r="L987" s="4"/>
      <c r="M987" s="18"/>
      <c r="AA987" s="18"/>
    </row>
    <row r="988" ht="15.75" customHeight="1">
      <c r="F988" s="4"/>
      <c r="G988" s="18"/>
      <c r="L988" s="4"/>
      <c r="M988" s="18"/>
      <c r="AA988" s="18"/>
    </row>
    <row r="989" ht="15.75" customHeight="1">
      <c r="F989" s="4"/>
      <c r="G989" s="18"/>
      <c r="L989" s="4"/>
      <c r="M989" s="18"/>
      <c r="AA989" s="18"/>
    </row>
    <row r="990" ht="15.75" customHeight="1">
      <c r="F990" s="4"/>
      <c r="G990" s="18"/>
      <c r="L990" s="4"/>
      <c r="M990" s="18"/>
      <c r="AA990" s="18"/>
    </row>
    <row r="991" ht="15.75" customHeight="1">
      <c r="F991" s="4"/>
      <c r="G991" s="18"/>
      <c r="L991" s="4"/>
      <c r="M991" s="18"/>
      <c r="AA991" s="18"/>
    </row>
    <row r="992" ht="15.75" customHeight="1">
      <c r="F992" s="4"/>
      <c r="G992" s="18"/>
      <c r="L992" s="4"/>
      <c r="M992" s="18"/>
      <c r="AA992" s="18"/>
    </row>
    <row r="993" ht="15.75" customHeight="1">
      <c r="F993" s="4"/>
      <c r="G993" s="18"/>
      <c r="L993" s="4"/>
      <c r="M993" s="18"/>
      <c r="AA993" s="18"/>
    </row>
    <row r="994" ht="15.75" customHeight="1">
      <c r="F994" s="4"/>
      <c r="G994" s="18"/>
      <c r="L994" s="4"/>
      <c r="M994" s="18"/>
      <c r="AA994" s="18"/>
    </row>
    <row r="995" ht="15.75" customHeight="1">
      <c r="F995" s="4"/>
      <c r="G995" s="18"/>
      <c r="L995" s="4"/>
      <c r="M995" s="18"/>
      <c r="AA995" s="18"/>
    </row>
    <row r="996" ht="15.75" customHeight="1">
      <c r="F996" s="4"/>
      <c r="G996" s="18"/>
      <c r="L996" s="4"/>
      <c r="M996" s="18"/>
      <c r="AA996" s="18"/>
    </row>
    <row r="997" ht="15.75" customHeight="1">
      <c r="F997" s="4"/>
      <c r="G997" s="18"/>
      <c r="L997" s="4"/>
      <c r="M997" s="18"/>
      <c r="AA997" s="18"/>
    </row>
    <row r="998" ht="15.75" customHeight="1">
      <c r="F998" s="4"/>
      <c r="G998" s="18"/>
      <c r="L998" s="4"/>
      <c r="M998" s="18"/>
      <c r="AA998" s="18"/>
    </row>
    <row r="999" ht="15.75" customHeight="1">
      <c r="F999" s="4"/>
      <c r="G999" s="18"/>
      <c r="L999" s="4"/>
      <c r="M999" s="18"/>
      <c r="AA999" s="18"/>
    </row>
    <row r="1000" ht="15.75" customHeight="1">
      <c r="F1000" s="4"/>
      <c r="G1000" s="18"/>
      <c r="L1000" s="4"/>
      <c r="M1000" s="18"/>
      <c r="AA1000" s="18"/>
    </row>
  </sheetData>
  <autoFilter ref="$A$5:$AD$5">
    <sortState ref="A5:AD5">
      <sortCondition ref="F5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2025-11-19T17:43:48Z</dcterms:created>
  <dc:creator>Andrew Weissert</dc:creator>
</cp:coreProperties>
</file>